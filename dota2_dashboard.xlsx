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ndre\Downloads\202604\"/>
    </mc:Choice>
  </mc:AlternateContent>
  <xr:revisionPtr revIDLastSave="0" documentId="13_ncr:1_{F3BF665A-26EB-4FBB-B0E2-EC952DBE6CED}" xr6:coauthVersionLast="47" xr6:coauthVersionMax="47" xr10:uidLastSave="{00000000-0000-0000-0000-000000000000}"/>
  <bookViews>
    <workbookView xWindow="-108" yWindow="-108" windowWidth="23256" windowHeight="12456" xr2:uid="{00000000-000D-0000-FFFF-FFFF00000000}"/>
  </bookViews>
  <sheets>
    <sheet name="dashboard" sheetId="1" r:id="rId1"/>
    <sheet name="player_summary" sheetId="12" r:id="rId2"/>
    <sheet name="team_summary" sheetId="7" r:id="rId3"/>
    <sheet name="pivot_team_win_rate" sheetId="8" r:id="rId4"/>
    <sheet name="hero_lane_summary" sheetId="2" r:id="rId5"/>
    <sheet name="hero_summary" sheetId="5" r:id="rId6"/>
    <sheet name="pivot_win_rate" sheetId="4" r:id="rId7"/>
    <sheet name="pivot_ban_rate" sheetId="6" r:id="rId8"/>
  </sheets>
  <definedNames>
    <definedName name="_xlnm._FilterDatabase" localSheetId="4" hidden="1">hero_lane_summary!$A$1:$G$541</definedName>
    <definedName name="_xlnm._FilterDatabase" localSheetId="1" hidden="1">player_summary!$A$1:$I$220</definedName>
    <definedName name="_xlnm._FilterDatabase" localSheetId="2" hidden="1">team_summary!$A$1:$E$261</definedName>
    <definedName name="Slicer_role_name">#N/A</definedName>
  </definedNames>
  <calcPr calcId="191029"/>
  <pivotCaches>
    <pivotCache cacheId="0" r:id="rId9"/>
    <pivotCache cacheId="1" r:id="rId10"/>
    <pivotCache cacheId="5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X90" i="1" l="1" a="1"/>
  <c r="AX90" i="1" s="1"/>
  <c r="AX91" i="1" a="1"/>
  <c r="AX91" i="1" s="1"/>
  <c r="AX92" i="1" a="1"/>
  <c r="AX92" i="1" s="1"/>
  <c r="AX93" i="1" a="1"/>
  <c r="AX93" i="1" s="1"/>
  <c r="AX94" i="1" a="1"/>
  <c r="AX94" i="1" s="1"/>
  <c r="AX89" i="1" a="1"/>
  <c r="AX89" i="1" s="1"/>
  <c r="AV90" i="1" a="1"/>
  <c r="AV90" i="1" s="1"/>
  <c r="AV91" i="1" a="1"/>
  <c r="AV91" i="1" s="1"/>
  <c r="AV92" i="1" a="1"/>
  <c r="AV92" i="1" s="1"/>
  <c r="AV93" i="1" a="1"/>
  <c r="AV93" i="1" s="1"/>
  <c r="AV94" i="1" a="1"/>
  <c r="AV94" i="1" s="1"/>
  <c r="AV89" i="1" a="1"/>
  <c r="AV89" i="1" s="1"/>
  <c r="AT90" i="1" a="1"/>
  <c r="AT90" i="1" s="1"/>
  <c r="AT91" i="1" a="1"/>
  <c r="AT91" i="1" s="1"/>
  <c r="AT92" i="1" a="1"/>
  <c r="AT92" i="1" s="1"/>
  <c r="AT93" i="1" a="1"/>
  <c r="AT93" i="1" s="1"/>
  <c r="AT94" i="1" a="1"/>
  <c r="AT94" i="1" s="1"/>
  <c r="AT89" i="1" a="1"/>
  <c r="AT89" i="1" s="1"/>
  <c r="AD90" i="1" a="1"/>
  <c r="AD90" i="1" s="1"/>
  <c r="AD91" i="1" a="1"/>
  <c r="AD91" i="1" s="1"/>
  <c r="AD92" i="1" a="1"/>
  <c r="AD92" i="1" s="1"/>
  <c r="AD93" i="1" a="1"/>
  <c r="AD93" i="1" s="1"/>
  <c r="AD94" i="1" a="1"/>
  <c r="AD94" i="1" s="1"/>
  <c r="AD89" i="1" a="1"/>
  <c r="AD89" i="1" s="1"/>
  <c r="AB90" i="1" a="1"/>
  <c r="AB90" i="1" s="1"/>
  <c r="AB91" i="1" a="1"/>
  <c r="AB91" i="1" s="1"/>
  <c r="AB92" i="1" a="1"/>
  <c r="AB92" i="1" s="1"/>
  <c r="AB93" i="1" a="1"/>
  <c r="AB93" i="1" s="1"/>
  <c r="AB94" i="1" a="1"/>
  <c r="AB94" i="1" s="1"/>
  <c r="AB89" i="1" a="1"/>
  <c r="AB89" i="1" s="1"/>
  <c r="Z90" i="1" a="1"/>
  <c r="Z90" i="1" s="1"/>
  <c r="Z91" i="1" a="1"/>
  <c r="Z91" i="1" s="1"/>
  <c r="Z92" i="1" a="1"/>
  <c r="Z92" i="1" s="1"/>
  <c r="Z93" i="1" a="1"/>
  <c r="Z93" i="1" s="1"/>
  <c r="Z94" i="1" a="1"/>
  <c r="Z94" i="1" s="1"/>
  <c r="Z89" i="1" a="1"/>
  <c r="Z89" i="1" s="1"/>
  <c r="BH80" i="1" a="1"/>
  <c r="BH80" i="1" s="1"/>
  <c r="BH81" i="1" a="1"/>
  <c r="BH81" i="1" s="1"/>
  <c r="BH82" i="1" a="1"/>
  <c r="BH82" i="1" s="1"/>
  <c r="BH83" i="1" a="1"/>
  <c r="BH83" i="1" s="1"/>
  <c r="BH84" i="1" a="1"/>
  <c r="BH84" i="1" s="1"/>
  <c r="BH79" i="1" a="1"/>
  <c r="BH79" i="1" s="1"/>
  <c r="BF80" i="1" a="1"/>
  <c r="BF80" i="1" s="1"/>
  <c r="BF81" i="1" a="1"/>
  <c r="BF81" i="1" s="1"/>
  <c r="BF82" i="1" a="1"/>
  <c r="BF82" i="1" s="1"/>
  <c r="BF83" i="1" a="1"/>
  <c r="BF83" i="1" s="1"/>
  <c r="BF84" i="1" a="1"/>
  <c r="BF84" i="1" s="1"/>
  <c r="BF79" i="1" a="1"/>
  <c r="BF79" i="1" s="1"/>
  <c r="BD80" i="1" a="1"/>
  <c r="BD80" i="1" s="1"/>
  <c r="BD81" i="1" a="1"/>
  <c r="BD81" i="1" s="1"/>
  <c r="BD82" i="1" a="1"/>
  <c r="BD82" i="1" s="1"/>
  <c r="BD83" i="1" a="1"/>
  <c r="BD83" i="1" s="1"/>
  <c r="BD84" i="1" a="1"/>
  <c r="BD84" i="1" s="1"/>
  <c r="BD79" i="1" a="1"/>
  <c r="BD79" i="1" s="1"/>
  <c r="AN80" i="1" a="1"/>
  <c r="AN80" i="1" s="1"/>
  <c r="AN81" i="1" a="1"/>
  <c r="AN81" i="1" s="1"/>
  <c r="AN82" i="1" a="1"/>
  <c r="AN82" i="1" s="1"/>
  <c r="AN83" i="1" a="1"/>
  <c r="AN83" i="1" s="1"/>
  <c r="AN84" i="1" a="1"/>
  <c r="AN84" i="1" s="1"/>
  <c r="AN79" i="1" a="1"/>
  <c r="AN79" i="1" s="1"/>
  <c r="AL80" i="1" a="1"/>
  <c r="AL80" i="1" s="1"/>
  <c r="AL81" i="1" a="1"/>
  <c r="AL81" i="1" s="1"/>
  <c r="AL82" i="1" a="1"/>
  <c r="AL82" i="1" s="1"/>
  <c r="AL83" i="1" a="1"/>
  <c r="AL83" i="1" s="1"/>
  <c r="AL84" i="1" a="1"/>
  <c r="AL84" i="1" s="1"/>
  <c r="AL79" i="1" a="1"/>
  <c r="AL79" i="1" s="1"/>
  <c r="AJ80" i="1" a="1"/>
  <c r="AJ80" i="1" s="1"/>
  <c r="AJ81" i="1" a="1"/>
  <c r="AJ81" i="1" s="1"/>
  <c r="AJ82" i="1" a="1"/>
  <c r="AJ82" i="1" s="1"/>
  <c r="AJ83" i="1" a="1"/>
  <c r="AJ83" i="1" s="1"/>
  <c r="AJ84" i="1" a="1"/>
  <c r="AJ84" i="1" s="1"/>
  <c r="AJ79" i="1" a="1"/>
  <c r="AJ79" i="1" s="1"/>
  <c r="T80" i="1" a="1"/>
  <c r="T80" i="1" s="1"/>
  <c r="T81" i="1" a="1"/>
  <c r="T81" i="1" s="1"/>
  <c r="T82" i="1" a="1"/>
  <c r="T82" i="1" s="1"/>
  <c r="T83" i="1" a="1"/>
  <c r="T83" i="1" s="1"/>
  <c r="T84" i="1" a="1"/>
  <c r="T84" i="1" s="1"/>
  <c r="T79" i="1" a="1"/>
  <c r="T79" i="1" s="1"/>
  <c r="R80" i="1" a="1"/>
  <c r="R80" i="1" s="1"/>
  <c r="R81" i="1" a="1"/>
  <c r="R81" i="1" s="1"/>
  <c r="R82" i="1" a="1"/>
  <c r="R82" i="1" s="1"/>
  <c r="R83" i="1" a="1"/>
  <c r="R83" i="1" s="1"/>
  <c r="R84" i="1" a="1"/>
  <c r="R84" i="1" s="1"/>
  <c r="R79" i="1" a="1"/>
  <c r="R79" i="1" s="1"/>
  <c r="P80" i="1" a="1"/>
  <c r="P80" i="1" s="1"/>
  <c r="P81" i="1" a="1"/>
  <c r="P81" i="1" s="1"/>
  <c r="P82" i="1" a="1"/>
  <c r="P82" i="1" s="1"/>
  <c r="P83" i="1" a="1"/>
  <c r="P83" i="1" s="1"/>
  <c r="P84" i="1" a="1"/>
  <c r="P84" i="1" s="1"/>
  <c r="P79" i="1" a="1"/>
  <c r="P79" i="1" s="1"/>
  <c r="J83" i="1" a="1"/>
  <c r="J83" i="1" s="1"/>
  <c r="J82" i="1" a="1"/>
  <c r="J82" i="1" s="1"/>
  <c r="J80" i="1" a="1"/>
  <c r="J80" i="1" s="1"/>
  <c r="J79" i="1" a="1"/>
  <c r="J79" i="1" s="1"/>
  <c r="J84" i="1" a="1"/>
  <c r="J84" i="1" s="1"/>
  <c r="J81" i="1" a="1"/>
  <c r="J81" i="1" s="1"/>
  <c r="AD79" i="1" a="1"/>
  <c r="AD79" i="1" s="1"/>
  <c r="AD80" i="1" a="1"/>
  <c r="AD80" i="1" s="1"/>
  <c r="AD81" i="1" a="1"/>
  <c r="AD81" i="1" s="1"/>
  <c r="AD82" i="1" a="1"/>
  <c r="AD82" i="1" s="1"/>
  <c r="AD83" i="1" a="1"/>
  <c r="AD83" i="1" s="1"/>
  <c r="AD84" i="1" a="1"/>
  <c r="AD84" i="1" s="1"/>
  <c r="AN92" i="1" a="1"/>
  <c r="AN92" i="1" s="1"/>
  <c r="AN93" i="1" a="1"/>
  <c r="AN93" i="1" s="1"/>
  <c r="S93" i="1" a="1"/>
  <c r="S93" i="1" s="1"/>
  <c r="AI89" i="1" a="1"/>
  <c r="AI89" i="1" s="1"/>
  <c r="O89" i="1" a="1"/>
  <c r="O89" i="1" s="1"/>
  <c r="S89" i="1" s="1" a="1"/>
  <c r="S89" i="1" s="1"/>
  <c r="AX81" i="1" a="1"/>
  <c r="AX81" i="1" s="1"/>
  <c r="AX83" i="1" a="1"/>
  <c r="AX83" i="1" s="1"/>
  <c r="AX84" i="1" a="1"/>
  <c r="AX84" i="1" s="1"/>
  <c r="AS79" i="1" a="1"/>
  <c r="AS79" i="1" s="1"/>
  <c r="AX79" i="1" s="1" a="1"/>
  <c r="AX79" i="1" s="1"/>
  <c r="Y79" i="1" a="1"/>
  <c r="Y79" i="1" s="1"/>
  <c r="E79" i="1" a="1"/>
  <c r="E79" i="1" s="1"/>
  <c r="AX80" i="1" l="1" a="1"/>
  <c r="AX80" i="1" s="1"/>
  <c r="AN89" i="1" a="1"/>
  <c r="AN89" i="1" s="1"/>
  <c r="AX82" i="1" a="1"/>
  <c r="AX82" i="1" s="1"/>
  <c r="AN94" i="1" a="1"/>
  <c r="AN94" i="1" s="1"/>
  <c r="AN91" i="1" a="1"/>
  <c r="AN91" i="1" s="1"/>
  <c r="AN90" i="1" a="1"/>
  <c r="AN90" i="1" s="1"/>
  <c r="S94" i="1" a="1"/>
  <c r="S94" i="1" s="1"/>
  <c r="S92" i="1" a="1"/>
  <c r="S92" i="1" s="1"/>
  <c r="S91" i="1" a="1"/>
  <c r="S91" i="1" s="1"/>
  <c r="S90" i="1" a="1"/>
  <c r="S90" i="1" s="1"/>
  <c r="BA44" i="1" a="1"/>
  <c r="BA44" i="1" s="1"/>
  <c r="BH44" i="1" s="1" a="1"/>
  <c r="BH44" i="1" s="1"/>
  <c r="AO44" i="1" a="1"/>
  <c r="AO44" i="1" s="1"/>
  <c r="AV44" i="1" s="1" a="1"/>
  <c r="AV44" i="1" s="1"/>
  <c r="AC44" i="1" a="1"/>
  <c r="AC44" i="1" s="1"/>
  <c r="AH44" i="1" s="1" a="1"/>
  <c r="AH44" i="1" s="1"/>
  <c r="Q44" i="1" a="1"/>
  <c r="Q44" i="1" s="1"/>
  <c r="V44" i="1" s="1" a="1"/>
  <c r="V44" i="1" s="1"/>
  <c r="E44" i="1" a="1"/>
  <c r="E44" i="1" s="1"/>
  <c r="L44" i="1" s="1" a="1"/>
  <c r="L44" i="1" s="1"/>
  <c r="H2" i="2" a="1"/>
  <c r="H2" i="2" s="1"/>
  <c r="L2" i="2"/>
  <c r="L1" i="2"/>
  <c r="L3" i="2"/>
  <c r="J44" i="1" l="1" a="1"/>
  <c r="J44" i="1" s="1"/>
  <c r="V45" i="1" a="1"/>
  <c r="V45" i="1" s="1"/>
  <c r="J49" i="1" a="1"/>
  <c r="J49" i="1" s="1"/>
  <c r="X44" i="1" a="1"/>
  <c r="X44" i="1" s="1"/>
  <c r="J47" i="1" a="1"/>
  <c r="J47" i="1" s="1"/>
  <c r="X49" i="1" a="1"/>
  <c r="X49" i="1" s="1"/>
  <c r="AH48" i="1" a="1"/>
  <c r="AH48" i="1" s="1"/>
  <c r="AT49" i="1" a="1"/>
  <c r="AT49" i="1" s="1"/>
  <c r="BF44" i="1" a="1"/>
  <c r="BF44" i="1" s="1"/>
  <c r="BH47" i="1" a="1"/>
  <c r="BH47" i="1" s="1"/>
  <c r="AH45" i="1" a="1"/>
  <c r="AH45" i="1" s="1"/>
  <c r="AT46" i="1" a="1"/>
  <c r="AT46" i="1" s="1"/>
  <c r="BF47" i="1" a="1"/>
  <c r="BF47" i="1" s="1"/>
  <c r="X47" i="1" a="1"/>
  <c r="X47" i="1" s="1"/>
  <c r="AJ44" i="1" a="1"/>
  <c r="AJ44" i="1" s="1"/>
  <c r="AT45" i="1" a="1"/>
  <c r="AT45" i="1" s="1"/>
  <c r="BF46" i="1" a="1"/>
  <c r="BF46" i="1" s="1"/>
  <c r="BH45" i="1" a="1"/>
  <c r="BH45" i="1" s="1"/>
  <c r="AV49" i="1" a="1"/>
  <c r="AV49" i="1" s="1"/>
  <c r="BH48" i="1" a="1"/>
  <c r="BH48" i="1" s="1"/>
  <c r="L45" i="1" a="1"/>
  <c r="L45" i="1" s="1"/>
  <c r="J48" i="1" a="1"/>
  <c r="J48" i="1" s="1"/>
  <c r="AH49" i="1" a="1"/>
  <c r="AH49" i="1" s="1"/>
  <c r="AT44" i="1" a="1"/>
  <c r="AT44" i="1" s="1"/>
  <c r="J46" i="1" a="1"/>
  <c r="J46" i="1" s="1"/>
  <c r="AH47" i="1" a="1"/>
  <c r="AH47" i="1" s="1"/>
  <c r="AT48" i="1" a="1"/>
  <c r="AT48" i="1" s="1"/>
  <c r="BF49" i="1" a="1"/>
  <c r="BF49" i="1" s="1"/>
  <c r="J45" i="1" a="1"/>
  <c r="J45" i="1" s="1"/>
  <c r="X48" i="1" a="1"/>
  <c r="X48" i="1" s="1"/>
  <c r="AH46" i="1" a="1"/>
  <c r="AH46" i="1" s="1"/>
  <c r="AT47" i="1" a="1"/>
  <c r="AT47" i="1" s="1"/>
  <c r="BF48" i="1" a="1"/>
  <c r="BF48" i="1" s="1"/>
  <c r="BH46" i="1" a="1"/>
  <c r="BH46" i="1" s="1"/>
  <c r="V49" i="1" a="1"/>
  <c r="V49" i="1" s="1"/>
  <c r="AJ49" i="1" a="1"/>
  <c r="AJ49" i="1" s="1"/>
  <c r="BF45" i="1" a="1"/>
  <c r="BF45" i="1" s="1"/>
  <c r="V48" i="1" a="1"/>
  <c r="V48" i="1" s="1"/>
  <c r="X46" i="1" a="1"/>
  <c r="X46" i="1" s="1"/>
  <c r="AJ48" i="1" a="1"/>
  <c r="AJ48" i="1" s="1"/>
  <c r="AV48" i="1" a="1"/>
  <c r="AV48" i="1" s="1"/>
  <c r="L49" i="1" a="1"/>
  <c r="L49" i="1" s="1"/>
  <c r="V47" i="1" a="1"/>
  <c r="V47" i="1" s="1"/>
  <c r="AJ47" i="1" a="1"/>
  <c r="AJ47" i="1" s="1"/>
  <c r="AV47" i="1" a="1"/>
  <c r="AV47" i="1" s="1"/>
  <c r="L48" i="1" a="1"/>
  <c r="L48" i="1" s="1"/>
  <c r="V46" i="1" a="1"/>
  <c r="V46" i="1" s="1"/>
  <c r="X45" i="1" a="1"/>
  <c r="X45" i="1" s="1"/>
  <c r="AJ46" i="1" a="1"/>
  <c r="AJ46" i="1" s="1"/>
  <c r="AV46" i="1" a="1"/>
  <c r="AV46" i="1" s="1"/>
  <c r="BH49" i="1" a="1"/>
  <c r="BH49" i="1" s="1"/>
  <c r="L47" i="1" a="1"/>
  <c r="L47" i="1" s="1"/>
  <c r="AJ45" i="1" a="1"/>
  <c r="AJ45" i="1" s="1"/>
  <c r="AV45" i="1" a="1"/>
  <c r="AV45" i="1" s="1"/>
  <c r="L46" i="1" a="1"/>
  <c r="L4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<sst xmlns="http://schemas.openxmlformats.org/spreadsheetml/2006/main" count="3613" uniqueCount="664">
  <si>
    <t>DOTA 2 APRIL 2026 PRO MATCHES ANALYSIS</t>
  </si>
  <si>
    <t xml:space="preserve"> Tracking the meta: picks, bans, wins, and top performers</t>
  </si>
  <si>
    <t xml:space="preserve"> TOTAL MATCHES</t>
  </si>
  <si>
    <t xml:space="preserve"> April 2026</t>
  </si>
  <si>
    <t xml:space="preserve"> TOTAL HEROES</t>
  </si>
  <si>
    <t>Tracked in Data Set</t>
  </si>
  <si>
    <t>QUALIFIED TEAMS</t>
  </si>
  <si>
    <t>10+ Matches Played</t>
  </si>
  <si>
    <t>MOST BANNED HEROES</t>
  </si>
  <si>
    <t>MOST PICKED HEROES</t>
  </si>
  <si>
    <t>hero_name</t>
  </si>
  <si>
    <t>role_name</t>
  </si>
  <si>
    <t>times_picked</t>
  </si>
  <si>
    <t>times_won</t>
  </si>
  <si>
    <t>win_rate</t>
  </si>
  <si>
    <t>qualify</t>
  </si>
  <si>
    <t>lane_rank</t>
  </si>
  <si>
    <t>Abaddon</t>
  </si>
  <si>
    <t>Off Lane</t>
  </si>
  <si>
    <t>Yes</t>
  </si>
  <si>
    <t>Alchemist</t>
  </si>
  <si>
    <t>Anti-Mage</t>
  </si>
  <si>
    <t>Axe</t>
  </si>
  <si>
    <t>Batrider</t>
  </si>
  <si>
    <t>Beastmaster</t>
  </si>
  <si>
    <t>Bloodseeker</t>
  </si>
  <si>
    <t>No</t>
  </si>
  <si>
    <t>N/A</t>
  </si>
  <si>
    <t>Bounty Hunter</t>
  </si>
  <si>
    <t>Brewmaster</t>
  </si>
  <si>
    <t>Bristleback</t>
  </si>
  <si>
    <t>Broodmother</t>
  </si>
  <si>
    <t>Centaur Warrunner</t>
  </si>
  <si>
    <t>Chaos Knight</t>
  </si>
  <si>
    <t>Chen</t>
  </si>
  <si>
    <t>Clinkz</t>
  </si>
  <si>
    <t>Clockwerk</t>
  </si>
  <si>
    <t>Dark Seer</t>
  </si>
  <si>
    <t>Dawnbreaker</t>
  </si>
  <si>
    <t>Death Prophet</t>
  </si>
  <si>
    <t>Disruptor</t>
  </si>
  <si>
    <t>Doom</t>
  </si>
  <si>
    <t>Dragon Knight</t>
  </si>
  <si>
    <t>Earthshaker</t>
  </si>
  <si>
    <t>Elder Titan</t>
  </si>
  <si>
    <t>Ember Spirit</t>
  </si>
  <si>
    <t>Enchantress</t>
  </si>
  <si>
    <t>Enigma</t>
  </si>
  <si>
    <t>Faceless Void</t>
  </si>
  <si>
    <t>Grimstroke</t>
  </si>
  <si>
    <t>Hoodwink</t>
  </si>
  <si>
    <t>Huskar</t>
  </si>
  <si>
    <t>Io</t>
  </si>
  <si>
    <t>Jakiro</t>
  </si>
  <si>
    <t>Keeper of the Light</t>
  </si>
  <si>
    <t>Kez</t>
  </si>
  <si>
    <t>Kunkka</t>
  </si>
  <si>
    <t>Largo</t>
  </si>
  <si>
    <t>Legion Commander</t>
  </si>
  <si>
    <t>Leshrac</t>
  </si>
  <si>
    <t>Lifestealer</t>
  </si>
  <si>
    <t>Lion</t>
  </si>
  <si>
    <t>Lone Druid</t>
  </si>
  <si>
    <t>Lycan</t>
  </si>
  <si>
    <t>Magnus</t>
  </si>
  <si>
    <t>Marci</t>
  </si>
  <si>
    <t>Mars</t>
  </si>
  <si>
    <t>Medusa</t>
  </si>
  <si>
    <t>Meepo</t>
  </si>
  <si>
    <t>Mirana</t>
  </si>
  <si>
    <t>Monkey King</t>
  </si>
  <si>
    <t>Muerta</t>
  </si>
  <si>
    <t>Naga Siren</t>
  </si>
  <si>
    <t>Nature's Prophet</t>
  </si>
  <si>
    <t>Necrophos</t>
  </si>
  <si>
    <t>Night Stalker</t>
  </si>
  <si>
    <t>Nyx Assassin</t>
  </si>
  <si>
    <t>Ogre Magi</t>
  </si>
  <si>
    <t>Omniknight</t>
  </si>
  <si>
    <t>Pangolier</t>
  </si>
  <si>
    <t>Phoenix</t>
  </si>
  <si>
    <t>Primal Beast</t>
  </si>
  <si>
    <t>Pudge</t>
  </si>
  <si>
    <t>Pugna</t>
  </si>
  <si>
    <t>Queen of Pain</t>
  </si>
  <si>
    <t>Razor</t>
  </si>
  <si>
    <t>Riki</t>
  </si>
  <si>
    <t>Rubick</t>
  </si>
  <si>
    <t>Sand King</t>
  </si>
  <si>
    <t>Shadow Demon</t>
  </si>
  <si>
    <t>Shadow Fiend</t>
  </si>
  <si>
    <t>Shadow Shaman</t>
  </si>
  <si>
    <t>Skywrath Mage</t>
  </si>
  <si>
    <t>Slardar</t>
  </si>
  <si>
    <t>Slark</t>
  </si>
  <si>
    <t>Snapfire</t>
  </si>
  <si>
    <t>Sniper</t>
  </si>
  <si>
    <t>Spirit Breaker</t>
  </si>
  <si>
    <t>Techies</t>
  </si>
  <si>
    <t>Tidehunter</t>
  </si>
  <si>
    <t>Timbersaw</t>
  </si>
  <si>
    <t>Tinker</t>
  </si>
  <si>
    <t>Tiny</t>
  </si>
  <si>
    <t>Treant Protector</t>
  </si>
  <si>
    <t>Troll Warlord</t>
  </si>
  <si>
    <t>Underlord</t>
  </si>
  <si>
    <t>Undying</t>
  </si>
  <si>
    <t>Ursa</t>
  </si>
  <si>
    <t>Vengeful Spirit</t>
  </si>
  <si>
    <t>Venomancer</t>
  </si>
  <si>
    <t>Viper</t>
  </si>
  <si>
    <t>Visage</t>
  </si>
  <si>
    <t>Void Spirit</t>
  </si>
  <si>
    <t>Weaver</t>
  </si>
  <si>
    <t>Windranger</t>
  </si>
  <si>
    <t>Winter Wyvern</t>
  </si>
  <si>
    <t>Wraith King</t>
  </si>
  <si>
    <t>Zeus</t>
  </si>
  <si>
    <t>Row Labels</t>
  </si>
  <si>
    <t>Ancient Apparition</t>
  </si>
  <si>
    <t>Arc Warden</t>
  </si>
  <si>
    <t>Bane</t>
  </si>
  <si>
    <t>Crystal Maiden</t>
  </si>
  <si>
    <t>Dark Willow</t>
  </si>
  <si>
    <t>Dazzle</t>
  </si>
  <si>
    <t>Drow Ranger</t>
  </si>
  <si>
    <t>Earth Spirit</t>
  </si>
  <si>
    <t>Gyrocopter</t>
  </si>
  <si>
    <t>Invoker</t>
  </si>
  <si>
    <t>Juggernaut</t>
  </si>
  <si>
    <t>Lich</t>
  </si>
  <si>
    <t>Lina</t>
  </si>
  <si>
    <t>Luna</t>
  </si>
  <si>
    <t>Morphling</t>
  </si>
  <si>
    <t>Oracle</t>
  </si>
  <si>
    <t>Outworld Destroyer</t>
  </si>
  <si>
    <t>Phantom Assassin</t>
  </si>
  <si>
    <t>Phantom Lancer</t>
  </si>
  <si>
    <t>Puck</t>
  </si>
  <si>
    <t>Ringmaster</t>
  </si>
  <si>
    <t>Silencer</t>
  </si>
  <si>
    <t>Spectre</t>
  </si>
  <si>
    <t>Storm Spirit</t>
  </si>
  <si>
    <t>Sven</t>
  </si>
  <si>
    <t>Templar Assassin</t>
  </si>
  <si>
    <t>Terrorblade</t>
  </si>
  <si>
    <t>Tusk</t>
  </si>
  <si>
    <t>Warlock</t>
  </si>
  <si>
    <t>Witch Doctor</t>
  </si>
  <si>
    <t>Grand Total</t>
  </si>
  <si>
    <t>times_banned</t>
  </si>
  <si>
    <t>pick_rate</t>
  </si>
  <si>
    <t>ban_rate</t>
  </si>
  <si>
    <t>score</t>
  </si>
  <si>
    <t>tier</t>
  </si>
  <si>
    <t>Carry</t>
  </si>
  <si>
    <t>Hard Support</t>
  </si>
  <si>
    <t>Soft Support</t>
  </si>
  <si>
    <t>Mid</t>
  </si>
  <si>
    <t>Roam</t>
  </si>
  <si>
    <t>D</t>
  </si>
  <si>
    <t>A</t>
  </si>
  <si>
    <t>C</t>
  </si>
  <si>
    <t>B</t>
  </si>
  <si>
    <t>S</t>
  </si>
  <si>
    <t>Times won</t>
  </si>
  <si>
    <t>Times Picked</t>
  </si>
  <si>
    <t>Sum of times_banned</t>
  </si>
  <si>
    <t>BEST PERFORMING HERO PER ROLE</t>
  </si>
  <si>
    <t>"Top 6 heroes per role ranked by win rate, minimum 10 matches played."</t>
  </si>
  <si>
    <t>CARRY</t>
  </si>
  <si>
    <t>MID</t>
  </si>
  <si>
    <t>SOFT SUPPORT</t>
  </si>
  <si>
    <t>HARD SUPPORT</t>
  </si>
  <si>
    <t>OFF LANE</t>
  </si>
  <si>
    <t>team_name</t>
  </si>
  <si>
    <t>times_played</t>
  </si>
  <si>
    <t>DARKNESS GAMING</t>
  </si>
  <si>
    <t>Night Vision</t>
  </si>
  <si>
    <t>Vitality Warriors</t>
  </si>
  <si>
    <t>VERTEX PACK</t>
  </si>
  <si>
    <t>Flawless Goblins</t>
  </si>
  <si>
    <t>Dark Rebellion</t>
  </si>
  <si>
    <t>Foxy gaming</t>
  </si>
  <si>
    <t>Night Force</t>
  </si>
  <si>
    <t>Elite Eclipse</t>
  </si>
  <si>
    <t>LSG</t>
  </si>
  <si>
    <t>Teiko</t>
  </si>
  <si>
    <t>Nova Pulse</t>
  </si>
  <si>
    <t>Riftwalkers</t>
  </si>
  <si>
    <t>LV United</t>
  </si>
  <si>
    <t>Wiser Warriors</t>
  </si>
  <si>
    <t>Shinigami Gaming</t>
  </si>
  <si>
    <t>Lunar Vibes</t>
  </si>
  <si>
    <t>Air Defence</t>
  </si>
  <si>
    <t>Eye Gaming</t>
  </si>
  <si>
    <t>PYPSIKI</t>
  </si>
  <si>
    <t>Yellow Submarine</t>
  </si>
  <si>
    <t>1w Team</t>
  </si>
  <si>
    <t>Wild Dragon</t>
  </si>
  <si>
    <t>CrimsonSky</t>
  </si>
  <si>
    <t>REKONIX</t>
  </si>
  <si>
    <t>FALL VICTIMS</t>
  </si>
  <si>
    <t>Cloud Dawning</t>
  </si>
  <si>
    <t>Titan Strikers</t>
  </si>
  <si>
    <t>Ivory</t>
  </si>
  <si>
    <t>Roar</t>
  </si>
  <si>
    <t>Execration</t>
  </si>
  <si>
    <t>Mideng dreamer</t>
  </si>
  <si>
    <t>Team Nemesis</t>
  </si>
  <si>
    <t>Xtreme Gaming</t>
  </si>
  <si>
    <t>Team Lynx</t>
  </si>
  <si>
    <t>BALU TEAM</t>
  </si>
  <si>
    <t>KukuysV2</t>
  </si>
  <si>
    <t>NGNB</t>
  </si>
  <si>
    <t>GLYPH</t>
  </si>
  <si>
    <t>Yakult Brothers</t>
  </si>
  <si>
    <t>Nemiga Gaming</t>
  </si>
  <si>
    <t>Ghost Sheep</t>
  </si>
  <si>
    <t>Ilbirs Esports</t>
  </si>
  <si>
    <t>BloodyRose</t>
  </si>
  <si>
    <t>PARIVISION</t>
  </si>
  <si>
    <t>Virtus.pro</t>
  </si>
  <si>
    <t>MODUS</t>
  </si>
  <si>
    <t>L1GA TEAM</t>
  </si>
  <si>
    <t>fp anti-mage</t>
  </si>
  <si>
    <t>Team Spirit Academy</t>
  </si>
  <si>
    <t>ÐœÐ˜ÐÐ•Ð¢Ð§Ð˜Ð¦Ð«</t>
  </si>
  <si>
    <t>ALIS VENTORUS</t>
  </si>
  <si>
    <t>Satan666</t>
  </si>
  <si>
    <t>Nethercore</t>
  </si>
  <si>
    <t>Essence</t>
  </si>
  <si>
    <t>Carstensz Esports</t>
  </si>
  <si>
    <t>Aurora Gaming</t>
  </si>
  <si>
    <t>Rune Eaters</t>
  </si>
  <si>
    <t>Ð¿Ð¾Ð²ÐµÑ€ Ñ€ÐµÐ½Ð´Ð¶ÐµÑ€Ñ</t>
  </si>
  <si>
    <t>TEAM TpaBoMaH</t>
  </si>
  <si>
    <t>FLYING FORTUNE</t>
  </si>
  <si>
    <t>Nigma Galaxy</t>
  </si>
  <si>
    <t>Zero Tenacity</t>
  </si>
  <si>
    <t>TUNDRA PRIME</t>
  </si>
  <si>
    <t>_PowerRangers</t>
  </si>
  <si>
    <t>Ð³Ð°Ð½Ð´Ð¾Ð¾Ð¾Ð½Ñ‹ Ð´Ð°Ð°Ð°Ð²Ð°Ð¹</t>
  </si>
  <si>
    <t>Greyhound Team</t>
  </si>
  <si>
    <t>Jetpack Team</t>
  </si>
  <si>
    <t>rostov radost</t>
  </si>
  <si>
    <t>Pipsqueak+4</t>
  </si>
  <si>
    <t>ShIShUlI</t>
  </si>
  <si>
    <t>if six was nine team</t>
  </si>
  <si>
    <t>VMYASO TEAM</t>
  </si>
  <si>
    <t>Fortnite</t>
  </si>
  <si>
    <t>BOCEMHAXA</t>
  </si>
  <si>
    <t>Vodka</t>
  </si>
  <si>
    <t>NAVI Junior</t>
  </si>
  <si>
    <t>InterActive Philippines</t>
  </si>
  <si>
    <t>VP.Prodigy</t>
  </si>
  <si>
    <t>Cinqueblinks</t>
  </si>
  <si>
    <t>GamerLegion</t>
  </si>
  <si>
    <t>Inner Circle x Insanity</t>
  </si>
  <si>
    <t>Ð¡Ð¼ÐµÑˆÐ°Ñ€Ð¸ÐºÐ¸</t>
  </si>
  <si>
    <t>The goal of all life is death</t>
  </si>
  <si>
    <t>Thriving</t>
  </si>
  <si>
    <t>Winter Squadron</t>
  </si>
  <si>
    <t>PlayTime</t>
  </si>
  <si>
    <t>Team Spirit</t>
  </si>
  <si>
    <t>golybci</t>
  </si>
  <si>
    <t>kijeyka</t>
  </si>
  <si>
    <t>Legion</t>
  </si>
  <si>
    <t>Team Lipstick</t>
  </si>
  <si>
    <t>Prime Time</t>
  </si>
  <si>
    <t>Team Liquid</t>
  </si>
  <si>
    <t>Aegis Americana</t>
  </si>
  <si>
    <t>HEROIC</t>
  </si>
  <si>
    <t>Bayou Bloodseekers</t>
  </si>
  <si>
    <t>The Bug</t>
  </si>
  <si>
    <t>GIOR DOTA</t>
  </si>
  <si>
    <t>OnlyGuapos</t>
  </si>
  <si>
    <t>EARTH GAMING</t>
  </si>
  <si>
    <t>Ember Enjoyers</t>
  </si>
  <si>
    <t>Barrancobar</t>
  </si>
  <si>
    <t>Acatsuki</t>
  </si>
  <si>
    <t>Infamous Gaming</t>
  </si>
  <si>
    <t>Zetta Games</t>
  </si>
  <si>
    <t>EHOME SA</t>
  </si>
  <si>
    <t>BTS Army</t>
  </si>
  <si>
    <t>Cloud Rising</t>
  </si>
  <si>
    <t>Team Resilience</t>
  </si>
  <si>
    <t>Pleaze Gaming</t>
  </si>
  <si>
    <t>Rock n Sports</t>
  </si>
  <si>
    <t>Eoka</t>
  </si>
  <si>
    <t>Agressiv Style</t>
  </si>
  <si>
    <t>Team Freedom</t>
  </si>
  <si>
    <t>Hokori</t>
  </si>
  <si>
    <t>BIZ GAMING</t>
  </si>
  <si>
    <t>RAW</t>
  </si>
  <si>
    <t>EEZZ</t>
  </si>
  <si>
    <t>Azutive Fans</t>
  </si>
  <si>
    <t>Breeki Cheeki</t>
  </si>
  <si>
    <t>Outsiders</t>
  </si>
  <si>
    <t>Guerreros ZZZ</t>
  </si>
  <si>
    <t>BIZCOCHOS KARIM</t>
  </si>
  <si>
    <t>LAVA SPORTS</t>
  </si>
  <si>
    <t>ToLight</t>
  </si>
  <si>
    <t>Team Levantic</t>
  </si>
  <si>
    <t>xd</t>
  </si>
  <si>
    <t>KINGSURF</t>
  </si>
  <si>
    <t>Not</t>
  </si>
  <si>
    <t>The Bros</t>
  </si>
  <si>
    <t>Panda5</t>
  </si>
  <si>
    <t>Vector Velocity</t>
  </si>
  <si>
    <t>F-150</t>
  </si>
  <si>
    <t>Los Jinetes</t>
  </si>
  <si>
    <t>Neon Knights</t>
  </si>
  <si>
    <t>Yangon Galacticos</t>
  </si>
  <si>
    <t>OG</t>
  </si>
  <si>
    <t>Vici Gaming</t>
  </si>
  <si>
    <t>Dominion</t>
  </si>
  <si>
    <t>SouthAmericaRejects</t>
  </si>
  <si>
    <t>BTC Gaming</t>
  </si>
  <si>
    <t>Natus Vincere</t>
  </si>
  <si>
    <t>MightyGods</t>
  </si>
  <si>
    <t>Chandogs</t>
  </si>
  <si>
    <t>Meta Strikers</t>
  </si>
  <si>
    <t>Golden Wolves</t>
  </si>
  <si>
    <t>Clown Crew</t>
  </si>
  <si>
    <t>BetBoom Team</t>
  </si>
  <si>
    <t>Team Antares</t>
  </si>
  <si>
    <t>Amaru Flame</t>
  </si>
  <si>
    <t>MOUZ</t>
  </si>
  <si>
    <t>Pattern Hunters</t>
  </si>
  <si>
    <t>Alis Ventorus</t>
  </si>
  <si>
    <t>Signal Forge</t>
  </si>
  <si>
    <t>Estar Backs</t>
  </si>
  <si>
    <t>Yakult Brothers.XiongChuMo</t>
  </si>
  <si>
    <t>Team Falcons</t>
  </si>
  <si>
    <t>Team Yandex</t>
  </si>
  <si>
    <t>Tundra Esports</t>
  </si>
  <si>
    <t>OwNing ProS DaiLy</t>
  </si>
  <si>
    <t>Kiba Arms</t>
  </si>
  <si>
    <t>WinteR Squadron</t>
  </si>
  <si>
    <t>HELLBEAR HEROES</t>
  </si>
  <si>
    <t>PANDA 5</t>
  </si>
  <si>
    <t>WARRIORS OF ANGELI</t>
  </si>
  <si>
    <t>NotChainedAnymore</t>
  </si>
  <si>
    <t>Team WL</t>
  </si>
  <si>
    <t>Ð–Ð¸Ñ€Ð½Ñ‹Ðµ Ð”ÐµÑ‚Ð¸ Ð² Ð”ÐµÐ¿Ñ€ÐµÑÑÐ¸Ð¸</t>
  </si>
  <si>
    <t>5Prisoners</t>
  </si>
  <si>
    <t>Team SuperNova</t>
  </si>
  <si>
    <t>Raidd Boss</t>
  </si>
  <si>
    <t>team popov+4</t>
  </si>
  <si>
    <t>Ð”Ð¾ÑÑ€Ð¾Ñ‡Ð½Ð°Ñ ÑÐ´Ð°Ñ‡Ð° (1 ÑÑ‚Ð°Ð¶)</t>
  </si>
  <si>
    <t>Ð¼Ð¸Ð½Ð¸Ð±Ð°Ñ€ÑÐ°</t>
  </si>
  <si>
    <t>Selyuk_team</t>
  </si>
  <si>
    <t>Shinra tensei</t>
  </si>
  <si>
    <t>52turbo</t>
  </si>
  <si>
    <t>Team Mandarin</t>
  </si>
  <si>
    <t>AMF.wbt</t>
  </si>
  <si>
    <t>GachiGang</t>
  </si>
  <si>
    <t>SHAPITO</t>
  </si>
  <si>
    <t>Night KnightS</t>
  </si>
  <si>
    <t>Enjoy</t>
  </si>
  <si>
    <t>ÑƒÑ‡Ð¸Ð¼ Ð´Ð¾Ñ‚Ðµ 2</t>
  </si>
  <si>
    <t>Gold Aleksa</t>
  </si>
  <si>
    <t>CHIPAP</t>
  </si>
  <si>
    <t>E-Bite</t>
  </si>
  <si>
    <t>Ð’-Ð’Ð¾ÑÑ…Ð¸Ñ‚Ð¸Ñ‚ÐµÐ»ÑŒÐ½Ñ‹Ð¹</t>
  </si>
  <si>
    <t>loodowolfs</t>
  </si>
  <si>
    <t>Team Stels</t>
  </si>
  <si>
    <t>KIBA ARMS</t>
  </si>
  <si>
    <t>La Passion</t>
  </si>
  <si>
    <t>Veroja Gaming</t>
  </si>
  <si>
    <t>Ruina</t>
  </si>
  <si>
    <t>...</t>
  </si>
  <si>
    <t>TEAM LENS</t>
  </si>
  <si>
    <t>XR</t>
  </si>
  <si>
    <t>MaMa9aka</t>
  </si>
  <si>
    <t>Ð¡Ñ€ÐµÐ´Ð½ÑÑ ÑˆÐºÐ¾Ð»Ð° Ð¢ÐµÐ¹ÐºÐ¾</t>
  </si>
  <si>
    <t>Gaduka gang</t>
  </si>
  <si>
    <t>YURI SAGDEEV MINDSET</t>
  </si>
  <si>
    <t>STARIY TINKER X2</t>
  </si>
  <si>
    <t>67TEAM</t>
  </si>
  <si>
    <t>Public Revolution</t>
  </si>
  <si>
    <t>penis</t>
  </si>
  <si>
    <t>ShIShulI</t>
  </si>
  <si>
    <t>recruitFOREVER</t>
  </si>
  <si>
    <t>BigChickenEight</t>
  </si>
  <si>
    <t>KINGS</t>
  </si>
  <si>
    <t>1æ¢1</t>
  </si>
  <si>
    <t>Dark Horses</t>
  </si>
  <si>
    <t>Leto</t>
  </si>
  <si>
    <t>Sunny Girls</t>
  </si>
  <si>
    <t>Kitsune Esports</t>
  </si>
  <si>
    <t>Captains</t>
  </si>
  <si>
    <t>KVARTAL95</t>
  </si>
  <si>
    <t>Pancakes &amp; Pango</t>
  </si>
  <si>
    <t>Manhattan Melee</t>
  </si>
  <si>
    <t>DarkStorm</t>
  </si>
  <si>
    <t>Well</t>
  </si>
  <si>
    <t>Phoenix E-Sports</t>
  </si>
  <si>
    <t>Chincha Players</t>
  </si>
  <si>
    <t>Aukka Gaming</t>
  </si>
  <si>
    <t>Belial Gaming</t>
  </si>
  <si>
    <t>Los Waskas</t>
  </si>
  <si>
    <t>InmortalClass</t>
  </si>
  <si>
    <t>El otro equipo me la chupa</t>
  </si>
  <si>
    <t>KukuysV3</t>
  </si>
  <si>
    <t>Gator Legs</t>
  </si>
  <si>
    <t>Gensokyo</t>
  </si>
  <si>
    <t>ggboom</t>
  </si>
  <si>
    <t>Whoa-Sirus</t>
  </si>
  <si>
    <t>FIC EMPIRE</t>
  </si>
  <si>
    <t>Icefly</t>
  </si>
  <si>
    <t>KaiserNet</t>
  </si>
  <si>
    <t>ÐšÑ€ÑƒÑ‚ÐµÑ†ÐºÐ°Ñ ÐšÑ€ÑƒÑ‚ÑŒ</t>
  </si>
  <si>
    <t>SoNNeikO clan</t>
  </si>
  <si>
    <t>Y2K</t>
  </si>
  <si>
    <t>Ositos Tilteados</t>
  </si>
  <si>
    <t>No Tidehunter</t>
  </si>
  <si>
    <t>Data Thunder</t>
  </si>
  <si>
    <t>x5 Gaming</t>
  </si>
  <si>
    <t>Etherium Warriors</t>
  </si>
  <si>
    <t>NaiLong</t>
  </si>
  <si>
    <t>Tabakerka</t>
  </si>
  <si>
    <t>Mellstroy Team</t>
  </si>
  <si>
    <t>BLACK_TERIC</t>
  </si>
  <si>
    <t>james&amp;jeremy</t>
  </si>
  <si>
    <t>Dan+4</t>
  </si>
  <si>
    <t>Falanga Gaming</t>
  </si>
  <si>
    <t>holesterin team</t>
  </si>
  <si>
    <t>Gribbs</t>
  </si>
  <si>
    <t>Ra4kiii</t>
  </si>
  <si>
    <t>Ð¡Ñ‹Ñ€ÐºÐ¾Ð¿Ñ‡ÐµÐ½Ð½Ñ‹Ðµ</t>
  </si>
  <si>
    <t>Ð“Ð²Ð¾Ð·Ð´Ð¸ Ð² ÐºÐµÐ´Ð°Ñ… &lt;3</t>
  </si>
  <si>
    <t>SuperPerci</t>
  </si>
  <si>
    <t>DOGSENT</t>
  </si>
  <si>
    <t>Team Nord</t>
  </si>
  <si>
    <t>(All)</t>
  </si>
  <si>
    <t>BEST PERFORMING PLAYERS PER ROLE</t>
  </si>
  <si>
    <t>name</t>
  </si>
  <si>
    <t>main_hero</t>
  </si>
  <si>
    <t>lane</t>
  </si>
  <si>
    <t>avg_gpm</t>
  </si>
  <si>
    <t>avg_xpm</t>
  </si>
  <si>
    <t xml:space="preserve"> chipikao</t>
  </si>
  <si>
    <t>23savage</t>
  </si>
  <si>
    <t>7eeeeeee</t>
  </si>
  <si>
    <t>9Class</t>
  </si>
  <si>
    <t>å‘½é‹ reinprince</t>
  </si>
  <si>
    <t>Abed</t>
  </si>
  <si>
    <t>AbyssWalker</t>
  </si>
  <si>
    <t>Ace â™ </t>
  </si>
  <si>
    <t>æ¥¼</t>
  </si>
  <si>
    <t>aik</t>
  </si>
  <si>
    <t>Ainkrad</t>
  </si>
  <si>
    <t>Akamu</t>
  </si>
  <si>
    <t>Akashi</t>
  </si>
  <si>
    <t>alberkaaa</t>
  </si>
  <si>
    <t>Ame</t>
  </si>
  <si>
    <t>AMMAR_THE_F</t>
  </si>
  <si>
    <t>ani-san</t>
  </si>
  <si>
    <t>Artemis</t>
  </si>
  <si>
    <t>ArzenT</t>
  </si>
  <si>
    <t>asdekor_r</t>
  </si>
  <si>
    <t>Bach</t>
  </si>
  <si>
    <t>BEEBIE</t>
  </si>
  <si>
    <t>Beyond</t>
  </si>
  <si>
    <t>Bignum</t>
  </si>
  <si>
    <t>BloodStorm</t>
  </si>
  <si>
    <t>BoBoKa</t>
  </si>
  <si>
    <t>BOOM</t>
  </si>
  <si>
    <t>ButterflyEffect</t>
  </si>
  <si>
    <t>ç”Ÿæ­»</t>
  </si>
  <si>
    <t>Çuo×Ÿâ±¯lone&lt;</t>
  </si>
  <si>
    <t>Carlo</t>
  </si>
  <si>
    <t>Copy</t>
  </si>
  <si>
    <t>CoYoTÃ£o</t>
  </si>
  <si>
    <t>Cr1t-</t>
  </si>
  <si>
    <t>CreepSlayer</t>
  </si>
  <si>
    <t>Crystallis</t>
  </si>
  <si>
    <t>cutie</t>
  </si>
  <si>
    <t>d1man41g</t>
  </si>
  <si>
    <t>dalul</t>
  </si>
  <si>
    <t>Darklord^</t>
  </si>
  <si>
    <t>DarkMagoâ™¡</t>
  </si>
  <si>
    <t>Davai Lama</t>
  </si>
  <si>
    <t>daze</t>
  </si>
  <si>
    <t>DCMC</t>
  </si>
  <si>
    <t>DJ</t>
  </si>
  <si>
    <t>Dukalis</t>
  </si>
  <si>
    <t>é¡¹ç¾½</t>
  </si>
  <si>
    <t>EchozZ</t>
  </si>
  <si>
    <t>Ekki</t>
  </si>
  <si>
    <t>Elmisho</t>
  </si>
  <si>
    <t>Emo</t>
  </si>
  <si>
    <t>Erice</t>
  </si>
  <si>
    <t>Ethereal</t>
  </si>
  <si>
    <t>Faker</t>
  </si>
  <si>
    <t>Fantassy19-</t>
  </si>
  <si>
    <t>Fayde</t>
  </si>
  <si>
    <t>Fbz</t>
  </si>
  <si>
    <t>Fernans</t>
  </si>
  <si>
    <t>Fly</t>
  </si>
  <si>
    <t>flyfly</t>
  </si>
  <si>
    <t>fy</t>
  </si>
  <si>
    <t>gbc</t>
  </si>
  <si>
    <t>GH</t>
  </si>
  <si>
    <t>Ghost</t>
  </si>
  <si>
    <t>Gothic-</t>
  </si>
  <si>
    <t>gotthejuice</t>
  </si>
  <si>
    <t>gpk~</t>
  </si>
  <si>
    <t>Han</t>
  </si>
  <si>
    <t>Hanzama &lt;</t>
  </si>
  <si>
    <t>Hellgrove</t>
  </si>
  <si>
    <t>Hellscream</t>
  </si>
  <si>
    <t>Hermit</t>
  </si>
  <si>
    <t>Hyuga</t>
  </si>
  <si>
    <t>Î±ce</t>
  </si>
  <si>
    <t>inYourdreaM</t>
  </si>
  <si>
    <t>Jabz</t>
  </si>
  <si>
    <t>JACKBOYS</t>
  </si>
  <si>
    <t>JANTER</t>
  </si>
  <si>
    <t>Jaunuel</t>
  </si>
  <si>
    <t>Jhocam</t>
  </si>
  <si>
    <t>JT-</t>
  </si>
  <si>
    <t>k1 hector tqmM</t>
  </si>
  <si>
    <t>KÅtarÅ.sr4ever</t>
  </si>
  <si>
    <t>kaeioet^^</t>
  </si>
  <si>
    <t>kaori</t>
  </si>
  <si>
    <t>kasane</t>
  </si>
  <si>
    <t>Kataomi`</t>
  </si>
  <si>
    <t>Ken</t>
  </si>
  <si>
    <t>KG_Zayac</t>
  </si>
  <si>
    <t>Kidaro</t>
  </si>
  <si>
    <t>KingJungles</t>
  </si>
  <si>
    <t>Kiri &lt;</t>
  </si>
  <si>
    <t>Kiritych~</t>
  </si>
  <si>
    <t>kiyotaka</t>
  </si>
  <si>
    <t>KNP</t>
  </si>
  <si>
    <t>Kr1sStå¨‡å°</t>
  </si>
  <si>
    <t>krol9ash</t>
  </si>
  <si>
    <t>Kuku^</t>
  </si>
  <si>
    <t>laise</t>
  </si>
  <si>
    <t>lalatronii &lt;</t>
  </si>
  <si>
    <t>Larl</t>
  </si>
  <si>
    <t>lewis</t>
  </si>
  <si>
    <t>lorenof</t>
  </si>
  <si>
    <t>lowskill</t>
  </si>
  <si>
    <t>Lqc.</t>
  </si>
  <si>
    <t>m1CKe</t>
  </si>
  <si>
    <t>Mac</t>
  </si>
  <si>
    <t>Malik</t>
  </si>
  <si>
    <t>Malr1ne</t>
  </si>
  <si>
    <t>mellojul</t>
  </si>
  <si>
    <t>MieRo</t>
  </si>
  <si>
    <t>Mikoto</t>
  </si>
  <si>
    <t>Mira</t>
  </si>
  <si>
    <t>Mjz</t>
  </si>
  <si>
    <t>MoOz</t>
  </si>
  <si>
    <t>n1ght</t>
  </si>
  <si>
    <t>Nameless9299</t>
  </si>
  <si>
    <t>NARMAN</t>
  </si>
  <si>
    <t>nefrit</t>
  </si>
  <si>
    <t>nesfeer</t>
  </si>
  <si>
    <t>Nicky`Cool</t>
  </si>
  <si>
    <t>Nightfall</t>
  </si>
  <si>
    <t>Niku</t>
  </si>
  <si>
    <t>Nisha</t>
  </si>
  <si>
    <t>niu</t>
  </si>
  <si>
    <t>No!obâ„¢</t>
  </si>
  <si>
    <t>No[o]ne-</t>
  </si>
  <si>
    <t>not me</t>
  </si>
  <si>
    <t>NothingToSay</t>
  </si>
  <si>
    <t>Noticed</t>
  </si>
  <si>
    <t>OmaR</t>
  </si>
  <si>
    <t>onLiTaL</t>
  </si>
  <si>
    <t>osito</t>
  </si>
  <si>
    <t>pamplona</t>
  </si>
  <si>
    <t>Panda</t>
  </si>
  <si>
    <t>panto</t>
  </si>
  <si>
    <t>payk</t>
  </si>
  <si>
    <t>PiPi</t>
  </si>
  <si>
    <t>planet</t>
  </si>
  <si>
    <t>pma</t>
  </si>
  <si>
    <t>ponlo</t>
  </si>
  <si>
    <t>Prada</t>
  </si>
  <si>
    <t>prblms</t>
  </si>
  <si>
    <t>Q</t>
  </si>
  <si>
    <t>Q7</t>
  </si>
  <si>
    <t>queezy</t>
  </si>
  <si>
    <t>qute</t>
  </si>
  <si>
    <t>raregods</t>
  </si>
  <si>
    <t>raven</t>
  </si>
  <si>
    <t>RCY</t>
  </si>
  <si>
    <t>RESPECT</t>
  </si>
  <si>
    <t>Riddys</t>
  </si>
  <si>
    <t>rincyq</t>
  </si>
  <si>
    <t>Roy</t>
  </si>
  <si>
    <t>rue</t>
  </si>
  <si>
    <t>Rupido</t>
  </si>
  <si>
    <t>ryota</t>
  </si>
  <si>
    <t>Ryu</t>
  </si>
  <si>
    <t>Saberlight</t>
  </si>
  <si>
    <t>Satanic</t>
  </si>
  <si>
    <t>Save-</t>
  </si>
  <si>
    <t>sayuw</t>
  </si>
  <si>
    <t>Scofield</t>
  </si>
  <si>
    <t>Se</t>
  </si>
  <si>
    <t>seimei</t>
  </si>
  <si>
    <t>selfhate</t>
  </si>
  <si>
    <t>Serenada</t>
  </si>
  <si>
    <t>setuna</t>
  </si>
  <si>
    <t>SHEOL</t>
  </si>
  <si>
    <t>shigetsu</t>
  </si>
  <si>
    <t>shiro</t>
  </si>
  <si>
    <t>shy</t>
  </si>
  <si>
    <t>skiter</t>
  </si>
  <si>
    <t>SLATEM$</t>
  </si>
  <si>
    <t>Sneyking</t>
  </si>
  <si>
    <t>Speeed</t>
  </si>
  <si>
    <t>squad1x</t>
  </si>
  <si>
    <t>ssnovv1</t>
  </si>
  <si>
    <t>SSS</t>
  </si>
  <si>
    <t>Summer</t>
  </si>
  <si>
    <t>swedenstrong</t>
  </si>
  <si>
    <t>TA2000</t>
  </si>
  <si>
    <t>TakecareMia</t>
  </si>
  <si>
    <t>takizawa</t>
  </si>
  <si>
    <t>Tala</t>
  </si>
  <si>
    <t>Teehee</t>
  </si>
  <si>
    <t>Thiolicor</t>
  </si>
  <si>
    <t>Tianming</t>
  </si>
  <si>
    <t>Tiger</t>
  </si>
  <si>
    <t>Till The End</t>
  </si>
  <si>
    <t>tOfu</t>
  </si>
  <si>
    <t>ukiyo</t>
  </si>
  <si>
    <t>v1olentâ€“</t>
  </si>
  <si>
    <t>Varizh</t>
  </si>
  <si>
    <t>Vitaly èª‡ã‚Š</t>
  </si>
  <si>
    <t>VoidRift</t>
  </si>
  <si>
    <t>waveformn</t>
  </si>
  <si>
    <t>Wisper</t>
  </si>
  <si>
    <t>Wits</t>
  </si>
  <si>
    <t>Worick</t>
  </si>
  <si>
    <t>Ws`</t>
  </si>
  <si>
    <t>Xakoda</t>
  </si>
  <si>
    <t>XinQ</t>
  </si>
  <si>
    <t>Xm</t>
  </si>
  <si>
    <t>xNova</t>
  </si>
  <si>
    <t>Xxs</t>
  </si>
  <si>
    <t>y`</t>
  </si>
  <si>
    <t>Yatoro</t>
  </si>
  <si>
    <t>YiSuS</t>
  </si>
  <si>
    <t>Yor</t>
  </si>
  <si>
    <t>YSR-04E</t>
  </si>
  <si>
    <t>Yuma</t>
  </si>
  <si>
    <t>Yume-</t>
  </si>
  <si>
    <t>Yumeyume-</t>
  </si>
  <si>
    <t>Zasa</t>
  </si>
  <si>
    <t>zeal</t>
  </si>
  <si>
    <t>zzq</t>
  </si>
  <si>
    <t>423</t>
  </si>
  <si>
    <t>Win Rate</t>
  </si>
  <si>
    <t xml:space="preserve">BEST PERFORMING TEAM DURING PGL WALLACHIA SEASON 8 </t>
  </si>
  <si>
    <t>"Top 6 players per role ranked by win rate during PGL"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</si>
</sst>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0.0%"/>
    <numFmt numFmtId="165" formatCode="#,##0.00_ ;\-#,##0.00\ "/>
    <numFmt numFmtId="166" formatCode="0.0"/>
  </numFmts>
  <fonts count="30" x14ac:knownFonts="1">
    <font>
      <sz val="11"/>
      <color theme="1"/>
      <name val="Calibri"/>
      <family val="2"/>
      <scheme val="minor"/>
    </font>
    <font>
      <sz val="11"/>
      <color theme="0"/>
      <name val="Calibri"/>
      <family val="2"/>
      <scheme val="minor"/>
    </font>
    <font>
      <sz val="20"/>
      <color theme="0"/>
      <name val="Calibri"/>
      <family val="2"/>
      <scheme val="minor"/>
    </font>
    <font>
      <sz val="16"/>
      <color theme="0"/>
      <name val="Calibri"/>
      <family val="2"/>
      <scheme val="minor"/>
    </font>
    <font>
      <sz val="14"/>
      <color theme="0"/>
      <name val="Tahoma"/>
      <family val="2"/>
    </font>
    <font>
      <sz val="24"/>
      <color theme="0"/>
      <name val="Bahnschrift"/>
      <family val="2"/>
    </font>
    <font>
      <sz val="9"/>
      <color theme="0"/>
      <name val="Bahnschrift"/>
      <family val="2"/>
    </font>
    <font>
      <sz val="11"/>
      <color rgb="FF1E1E1E"/>
      <name val="Calibri"/>
      <family val="2"/>
      <scheme val="minor"/>
    </font>
    <font>
      <sz val="11"/>
      <color theme="2" tint="-0.249977111117893"/>
      <name val="Bahnschrift"/>
      <family val="2"/>
    </font>
    <font>
      <b/>
      <sz val="20"/>
      <color rgb="FF00B4D8"/>
      <name val="Bahnschrift"/>
      <family val="2"/>
    </font>
    <font>
      <sz val="9"/>
      <color theme="2" tint="-0.499984740745262"/>
      <name val="Calibri"/>
      <family val="2"/>
      <scheme val="minor"/>
    </font>
    <font>
      <sz val="9"/>
      <color theme="1"/>
      <name val="Calibri"/>
      <family val="2"/>
      <scheme val="minor"/>
    </font>
    <font>
      <b/>
      <sz val="11"/>
      <color theme="2" tint="-9.9978637043366805E-2"/>
      <name val="Bahnschrift"/>
      <family val="2"/>
    </font>
    <font>
      <b/>
      <sz val="14"/>
      <color theme="2" tint="-9.9978637043366805E-2"/>
      <name val="Bahnschrift"/>
      <family val="2"/>
    </font>
    <font>
      <sz val="11"/>
      <color theme="1"/>
      <name val="Calibri"/>
      <family val="2"/>
      <scheme val="minor"/>
    </font>
    <font>
      <b/>
      <sz val="11"/>
      <color theme="0"/>
      <name val="Calibri"/>
      <family val="2"/>
      <scheme val="minor"/>
    </font>
    <font>
      <sz val="11"/>
      <color theme="2" tint="-9.9978637043366805E-2"/>
      <name val="Calibri"/>
      <family val="2"/>
      <scheme val="minor"/>
    </font>
    <font>
      <b/>
      <sz val="16"/>
      <color theme="2" tint="-9.9978637043366805E-2"/>
      <name val="Bahnschrift"/>
      <family val="2"/>
    </font>
    <font>
      <i/>
      <sz val="11"/>
      <color theme="2" tint="-9.9978637043366805E-2"/>
      <name val="Calibri"/>
      <family val="2"/>
      <scheme val="minor"/>
    </font>
    <font>
      <sz val="11"/>
      <color theme="2"/>
      <name val="Calibri"/>
      <family val="2"/>
      <scheme val="minor"/>
    </font>
    <font>
      <sz val="16"/>
      <color theme="2"/>
      <name val="Bahnschrift"/>
      <family val="2"/>
    </font>
    <font>
      <sz val="10"/>
      <color theme="2"/>
      <name val="Bahnschrift"/>
      <family val="2"/>
    </font>
    <font>
      <sz val="10"/>
      <color theme="2" tint="-9.9978637043366805E-2"/>
      <name val="Bahnschrift"/>
      <family val="2"/>
    </font>
    <font>
      <sz val="10"/>
      <color theme="0"/>
      <name val="Bahnschrift"/>
      <family val="2"/>
    </font>
    <font>
      <sz val="10"/>
      <color rgb="FF2ECC71"/>
      <name val="Bahnschrift"/>
      <family val="2"/>
    </font>
    <font>
      <sz val="10"/>
      <color rgb="FF00B4D8"/>
      <name val="Bahnschrift"/>
      <family val="2"/>
    </font>
    <font>
      <sz val="11"/>
      <color rgb="FF00B4D8"/>
      <name val="Calibri"/>
      <family val="2"/>
      <scheme val="minor"/>
    </font>
    <font>
      <sz val="16"/>
      <color theme="0"/>
      <name val="Bahnschrift"/>
      <family val="2"/>
    </font>
    <font>
      <sz val="11"/>
      <color theme="0"/>
      <name val="Bahnschrift"/>
      <family val="2"/>
    </font>
    <font>
      <sz val="10"/>
      <color rgb="FFFFD700"/>
      <name val="Bahnschrift"/>
      <family val="2"/>
    </font>
  </fonts>
  <fills count="9">
    <fill>
      <patternFill patternType="none"/>
    </fill>
    <fill>
      <patternFill patternType="gray125"/>
    </fill>
    <fill>
      <patternFill patternType="solid">
        <fgColor rgb="FF121212"/>
        <bgColor indexed="64"/>
      </patternFill>
    </fill>
    <fill>
      <patternFill patternType="solid">
        <fgColor rgb="FF1E1E1E"/>
        <bgColor indexed="64"/>
      </patternFill>
    </fill>
    <fill>
      <patternFill patternType="solid">
        <fgColor theme="2" tint="-0.249977111117893"/>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0" tint="-0.14999847407452621"/>
        <bgColor indexed="64"/>
      </patternFill>
    </fill>
  </fills>
  <borders count="9">
    <border>
      <left/>
      <right/>
      <top/>
      <bottom/>
      <diagonal/>
    </border>
    <border>
      <left style="thick">
        <color rgb="FFFF0000"/>
      </left>
      <right/>
      <top/>
      <bottom/>
      <diagonal/>
    </border>
    <border>
      <left/>
      <right/>
      <top style="thick">
        <color rgb="FF00B4D8"/>
      </top>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3">
    <xf numFmtId="0" fontId="0" fillId="0" borderId="0"/>
    <xf numFmtId="9" fontId="14" fillId="0" borderId="0" applyFont="0" applyFill="0" applyBorder="0" applyAlignment="0" applyProtection="0"/>
    <xf numFmtId="43" fontId="14" fillId="0" borderId="0" applyFont="0" applyFill="0" applyBorder="0" applyAlignment="0" applyProtection="0"/>
  </cellStyleXfs>
  <cellXfs count="100">
    <xf numFmtId="0" fontId="0" fillId="0" borderId="0" xfId="0"/>
    <xf numFmtId="0" fontId="0" fillId="2" borderId="0" xfId="0" applyFill="1"/>
    <xf numFmtId="0" fontId="2" fillId="2" borderId="0" xfId="0" applyFont="1" applyFill="1" applyAlignment="1">
      <alignment vertical="center"/>
    </xf>
    <xf numFmtId="0" fontId="2" fillId="3" borderId="0" xfId="0" applyFont="1" applyFill="1" applyAlignment="1">
      <alignment vertical="center"/>
    </xf>
    <xf numFmtId="0" fontId="0" fillId="3" borderId="0" xfId="0" applyFill="1"/>
    <xf numFmtId="0" fontId="4" fillId="3" borderId="0" xfId="0" applyFont="1" applyFill="1" applyAlignment="1">
      <alignment vertical="center"/>
    </xf>
    <xf numFmtId="0" fontId="2" fillId="3" borderId="1" xfId="0" applyFont="1" applyFill="1" applyBorder="1" applyAlignment="1">
      <alignment vertical="center"/>
    </xf>
    <xf numFmtId="0" fontId="0" fillId="3" borderId="2" xfId="0" applyFill="1" applyBorder="1"/>
    <xf numFmtId="0" fontId="8" fillId="3" borderId="0" xfId="0" applyFont="1" applyFill="1" applyAlignment="1">
      <alignment vertical="center"/>
    </xf>
    <xf numFmtId="0" fontId="9" fillId="3" borderId="0" xfId="0" applyFont="1" applyFill="1" applyAlignment="1">
      <alignment vertical="center"/>
    </xf>
    <xf numFmtId="49" fontId="11" fillId="3" borderId="0" xfId="0" applyNumberFormat="1" applyFont="1" applyFill="1" applyAlignment="1">
      <alignment vertical="top"/>
    </xf>
    <xf numFmtId="0" fontId="7" fillId="3" borderId="0" xfId="0" applyFont="1" applyFill="1"/>
    <xf numFmtId="0" fontId="1" fillId="3" borderId="0" xfId="0" applyFont="1" applyFill="1"/>
    <xf numFmtId="0" fontId="3" fillId="2" borderId="0" xfId="0" applyFont="1" applyFill="1" applyAlignment="1">
      <alignment vertical="center"/>
    </xf>
    <xf numFmtId="0" fontId="7" fillId="2" borderId="0" xfId="0" applyFont="1" applyFill="1"/>
    <xf numFmtId="0" fontId="12" fillId="3" borderId="0" xfId="0" applyFont="1" applyFill="1" applyAlignment="1">
      <alignment vertical="center"/>
    </xf>
    <xf numFmtId="0" fontId="15" fillId="5" borderId="3" xfId="0" applyFont="1" applyFill="1" applyBorder="1"/>
    <xf numFmtId="0" fontId="15" fillId="5" borderId="0" xfId="0" applyFont="1" applyFill="1"/>
    <xf numFmtId="164" fontId="0" fillId="0" borderId="0" xfId="1" applyNumberFormat="1" applyFont="1"/>
    <xf numFmtId="0" fontId="0" fillId="0" borderId="0" xfId="0" pivotButton="1"/>
    <xf numFmtId="0" fontId="0" fillId="0" borderId="0" xfId="0" applyAlignment="1">
      <alignment horizontal="left"/>
    </xf>
    <xf numFmtId="0" fontId="15" fillId="5" borderId="4" xfId="0" applyFont="1" applyFill="1" applyBorder="1"/>
    <xf numFmtId="0" fontId="15" fillId="5" borderId="5" xfId="0" applyFont="1" applyFill="1" applyBorder="1"/>
    <xf numFmtId="0" fontId="0" fillId="6" borderId="4" xfId="0" applyFill="1" applyBorder="1"/>
    <xf numFmtId="0" fontId="0" fillId="0" borderId="4" xfId="0" applyBorder="1"/>
    <xf numFmtId="0" fontId="0" fillId="6" borderId="6" xfId="0" applyFill="1" applyBorder="1"/>
    <xf numFmtId="0" fontId="0" fillId="6" borderId="3" xfId="0" applyFill="1" applyBorder="1"/>
    <xf numFmtId="164" fontId="0" fillId="6" borderId="3" xfId="1" applyNumberFormat="1" applyFont="1" applyFill="1" applyBorder="1"/>
    <xf numFmtId="164" fontId="0" fillId="6" borderId="5" xfId="1" applyNumberFormat="1" applyFont="1" applyFill="1" applyBorder="1"/>
    <xf numFmtId="2" fontId="0" fillId="0" borderId="0" xfId="0" applyNumberFormat="1"/>
    <xf numFmtId="0" fontId="7" fillId="4" borderId="0" xfId="0" applyFont="1" applyFill="1"/>
    <xf numFmtId="0" fontId="16" fillId="7" borderId="0" xfId="0" applyFont="1" applyFill="1"/>
    <xf numFmtId="165" fontId="15" fillId="5" borderId="0" xfId="2" applyNumberFormat="1" applyFont="1" applyFill="1"/>
    <xf numFmtId="165" fontId="0" fillId="0" borderId="0" xfId="2" applyNumberFormat="1" applyFont="1"/>
    <xf numFmtId="0" fontId="19" fillId="2" borderId="0" xfId="0" applyFont="1" applyFill="1"/>
    <xf numFmtId="0" fontId="0" fillId="8" borderId="0" xfId="0" applyFill="1"/>
    <xf numFmtId="0" fontId="19" fillId="3" borderId="0" xfId="0" applyFont="1" applyFill="1"/>
    <xf numFmtId="165" fontId="0" fillId="0" borderId="0" xfId="0" applyNumberFormat="1"/>
    <xf numFmtId="165" fontId="0" fillId="0" borderId="0" xfId="0" applyNumberFormat="1" applyAlignment="1">
      <alignment wrapText="1"/>
    </xf>
    <xf numFmtId="0" fontId="21" fillId="2" borderId="0" xfId="0" applyFont="1" applyFill="1"/>
    <xf numFmtId="0" fontId="19" fillId="2" borderId="0" xfId="0" applyFont="1" applyFill="1" applyAlignment="1">
      <alignment vertical="top"/>
    </xf>
    <xf numFmtId="0" fontId="21" fillId="2" borderId="0" xfId="0" applyFont="1" applyFill="1" applyAlignment="1">
      <alignment horizontal="left" vertical="center"/>
    </xf>
    <xf numFmtId="0" fontId="21" fillId="3" borderId="0" xfId="0" applyFont="1" applyFill="1" applyAlignment="1">
      <alignment horizontal="left" vertical="center"/>
    </xf>
    <xf numFmtId="0" fontId="0" fillId="0" borderId="6" xfId="0" applyBorder="1"/>
    <xf numFmtId="0" fontId="0" fillId="0" borderId="7" xfId="0" applyBorder="1"/>
    <xf numFmtId="0" fontId="0" fillId="0" borderId="8" xfId="0" applyBorder="1"/>
    <xf numFmtId="9" fontId="0" fillId="6" borderId="3" xfId="1" applyFont="1" applyFill="1" applyBorder="1"/>
    <xf numFmtId="0" fontId="0" fillId="6" borderId="5" xfId="0" applyFill="1" applyBorder="1"/>
    <xf numFmtId="0" fontId="0" fillId="0" borderId="3" xfId="0" applyBorder="1"/>
    <xf numFmtId="9" fontId="0" fillId="0" borderId="3" xfId="1" applyFont="1" applyBorder="1"/>
    <xf numFmtId="0" fontId="0" fillId="0" borderId="5" xfId="0" applyBorder="1"/>
    <xf numFmtId="9" fontId="0" fillId="0" borderId="7" xfId="1" applyFont="1" applyBorder="1"/>
    <xf numFmtId="9" fontId="0" fillId="0" borderId="0" xfId="0" applyNumberFormat="1"/>
    <xf numFmtId="0" fontId="0" fillId="6" borderId="7" xfId="0" applyFill="1" applyBorder="1"/>
    <xf numFmtId="2" fontId="0" fillId="6" borderId="3" xfId="0" applyNumberFormat="1" applyFill="1" applyBorder="1"/>
    <xf numFmtId="2" fontId="0" fillId="6" borderId="5" xfId="0" applyNumberFormat="1" applyFill="1" applyBorder="1"/>
    <xf numFmtId="2" fontId="0" fillId="0" borderId="3" xfId="0" applyNumberFormat="1" applyBorder="1"/>
    <xf numFmtId="2" fontId="0" fillId="0" borderId="5" xfId="0" applyNumberFormat="1" applyBorder="1"/>
    <xf numFmtId="2" fontId="0" fillId="6" borderId="7" xfId="0" applyNumberFormat="1" applyFill="1" applyBorder="1"/>
    <xf numFmtId="2" fontId="0" fillId="6" borderId="8" xfId="0" applyNumberFormat="1" applyFill="1" applyBorder="1"/>
    <xf numFmtId="49" fontId="0" fillId="6" borderId="4" xfId="0" applyNumberFormat="1" applyFill="1" applyBorder="1"/>
    <xf numFmtId="49" fontId="0" fillId="0" borderId="4" xfId="0" applyNumberFormat="1" applyBorder="1"/>
    <xf numFmtId="49" fontId="0" fillId="6" borderId="6" xfId="0" applyNumberFormat="1" applyFill="1" applyBorder="1"/>
    <xf numFmtId="0" fontId="1" fillId="2" borderId="0" xfId="0" applyFont="1" applyFill="1"/>
    <xf numFmtId="0" fontId="20" fillId="3" borderId="0" xfId="0" applyFont="1" applyFill="1" applyAlignment="1">
      <alignment vertical="center"/>
    </xf>
    <xf numFmtId="0" fontId="23" fillId="2" borderId="0" xfId="0" applyFont="1" applyFill="1" applyAlignment="1">
      <alignment horizontal="left"/>
    </xf>
    <xf numFmtId="0" fontId="23" fillId="3" borderId="0" xfId="0" applyFont="1" applyFill="1" applyAlignment="1">
      <alignment horizontal="left"/>
    </xf>
    <xf numFmtId="0" fontId="20" fillId="2" borderId="0" xfId="0" applyFont="1" applyFill="1" applyAlignment="1">
      <alignment horizontal="center" vertical="center"/>
    </xf>
    <xf numFmtId="0" fontId="13" fillId="3" borderId="0" xfId="0" applyFont="1" applyFill="1" applyAlignment="1">
      <alignment horizontal="left"/>
    </xf>
    <xf numFmtId="0" fontId="21" fillId="2" borderId="0" xfId="0" applyFont="1" applyFill="1" applyAlignment="1">
      <alignment horizontal="center" vertical="center"/>
    </xf>
    <xf numFmtId="9" fontId="22" fillId="2" borderId="0" xfId="1" applyFont="1" applyFill="1" applyAlignment="1">
      <alignment horizontal="center" vertical="center"/>
    </xf>
    <xf numFmtId="0" fontId="18" fillId="3" borderId="0" xfId="0" applyFont="1" applyFill="1" applyAlignment="1">
      <alignment horizontal="center"/>
    </xf>
    <xf numFmtId="0" fontId="0" fillId="3" borderId="0" xfId="0" applyFill="1" applyAlignment="1">
      <alignment horizontal="center"/>
    </xf>
    <xf numFmtId="0" fontId="17" fillId="3" borderId="0" xfId="0" applyFont="1" applyFill="1" applyAlignment="1">
      <alignment horizontal="center" vertical="center"/>
    </xf>
    <xf numFmtId="0" fontId="5" fillId="3" borderId="0" xfId="0" applyFont="1" applyFill="1" applyAlignment="1">
      <alignment horizontal="left" vertical="top"/>
    </xf>
    <xf numFmtId="0" fontId="6" fillId="2" borderId="0" xfId="0" applyFont="1" applyFill="1" applyAlignment="1">
      <alignment horizontal="left" vertical="center"/>
    </xf>
    <xf numFmtId="0" fontId="8" fillId="3" borderId="0" xfId="0" applyFont="1" applyFill="1" applyAlignment="1">
      <alignment horizontal="left" vertical="center"/>
    </xf>
    <xf numFmtId="3" fontId="9" fillId="3" borderId="0" xfId="0" applyNumberFormat="1" applyFont="1" applyFill="1" applyAlignment="1">
      <alignment horizontal="left" vertical="center"/>
    </xf>
    <xf numFmtId="49" fontId="10" fillId="3" borderId="0" xfId="0" applyNumberFormat="1" applyFont="1" applyFill="1" applyAlignment="1">
      <alignment horizontal="left" vertical="top"/>
    </xf>
    <xf numFmtId="0" fontId="9" fillId="3" borderId="0" xfId="0" applyFont="1" applyFill="1" applyAlignment="1">
      <alignment horizontal="left" vertical="center"/>
    </xf>
    <xf numFmtId="49" fontId="11" fillId="3" borderId="0" xfId="0" applyNumberFormat="1" applyFont="1" applyFill="1" applyAlignment="1">
      <alignment horizontal="left" vertical="top"/>
    </xf>
    <xf numFmtId="0" fontId="27" fillId="2" borderId="0" xfId="0" applyFont="1" applyFill="1" applyAlignment="1">
      <alignment horizontal="center" vertical="center"/>
    </xf>
    <xf numFmtId="0" fontId="28" fillId="3" borderId="0" xfId="0" applyFont="1" applyFill="1"/>
    <xf numFmtId="0" fontId="28" fillId="2" borderId="0" xfId="0" applyFont="1" applyFill="1"/>
    <xf numFmtId="49" fontId="23" fillId="2" borderId="0" xfId="0" applyNumberFormat="1" applyFont="1" applyFill="1" applyAlignment="1">
      <alignment horizontal="left" vertical="center"/>
    </xf>
    <xf numFmtId="0" fontId="23" fillId="2" borderId="0" xfId="0" applyFont="1" applyFill="1" applyAlignment="1">
      <alignment horizontal="left" vertical="center"/>
    </xf>
    <xf numFmtId="9" fontId="23" fillId="2" borderId="0" xfId="1" applyFont="1" applyFill="1" applyAlignment="1">
      <alignment horizontal="left" vertical="center"/>
    </xf>
    <xf numFmtId="166" fontId="23" fillId="2" borderId="0" xfId="0" applyNumberFormat="1" applyFont="1" applyFill="1" applyAlignment="1">
      <alignment horizontal="left" vertical="center"/>
    </xf>
    <xf numFmtId="0" fontId="23" fillId="3" borderId="0" xfId="0" applyFont="1" applyFill="1" applyAlignment="1">
      <alignment horizontal="left" vertical="center"/>
    </xf>
    <xf numFmtId="0" fontId="27" fillId="3" borderId="0" xfId="0" applyFont="1" applyFill="1" applyAlignment="1">
      <alignment horizontal="left"/>
    </xf>
    <xf numFmtId="0" fontId="0" fillId="2" borderId="0" xfId="0" applyFill="1" applyAlignment="1">
      <alignment horizontal="left"/>
    </xf>
    <xf numFmtId="9" fontId="24" fillId="2" borderId="0" xfId="1" applyFont="1" applyFill="1" applyAlignment="1">
      <alignment horizontal="center" vertical="center"/>
    </xf>
    <xf numFmtId="9" fontId="24" fillId="2" borderId="0" xfId="1" applyFont="1" applyFill="1" applyAlignment="1">
      <alignment horizontal="center"/>
    </xf>
    <xf numFmtId="166" fontId="29" fillId="2" borderId="0" xfId="0" applyNumberFormat="1" applyFont="1" applyFill="1" applyAlignment="1">
      <alignment horizontal="center" vertical="center"/>
    </xf>
    <xf numFmtId="166" fontId="29" fillId="2" borderId="0" xfId="0" applyNumberFormat="1" applyFont="1" applyFill="1" applyAlignment="1">
      <alignment horizontal="center"/>
    </xf>
    <xf numFmtId="0" fontId="0" fillId="4" borderId="0" xfId="0" applyFill="1"/>
    <xf numFmtId="0" fontId="16" fillId="4" borderId="0" xfId="0" applyFont="1" applyFill="1"/>
    <xf numFmtId="0" fontId="26" fillId="2" borderId="0" xfId="0" applyFont="1" applyFill="1"/>
    <xf numFmtId="166" fontId="25" fillId="2" borderId="0" xfId="0" applyNumberFormat="1" applyFont="1" applyFill="1" applyAlignment="1">
      <alignment horizontal="center"/>
    </xf>
    <xf numFmtId="0" fontId="0" fillId="0" borderId="0" xfId="0" applyNumberFormat="1"/>
  </cellXfs>
  <cellStyles count="3">
    <cellStyle name="Comma" xfId="2" builtinId="3"/>
    <cellStyle name="Normal" xfId="0" builtinId="0"/>
    <cellStyle name="Percent" xfId="1" builtinId="5"/>
  </cellStyles>
  <dxfs count="21">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rgb="FFFFD700"/>
      </font>
    </dxf>
    <dxf>
      <font>
        <color rgb="FF2ECC71"/>
      </font>
    </dxf>
    <dxf>
      <font>
        <color rgb="FF00B4D8"/>
      </font>
    </dxf>
    <dxf>
      <font>
        <color rgb="FFFFD700"/>
      </font>
    </dxf>
    <dxf>
      <font>
        <color rgb="FF2ECC71"/>
      </font>
    </dxf>
    <dxf>
      <font>
        <color rgb="FF00B4D8"/>
      </font>
    </dxf>
    <dxf>
      <font>
        <b val="0"/>
        <i val="0"/>
        <sz val="9"/>
        <name val="Bahnschrift"/>
        <family val="2"/>
        <scheme val="none"/>
      </font>
    </dxf>
    <dxf>
      <font>
        <color theme="2" tint="-9.9948118533890809E-2"/>
      </font>
      <fill>
        <patternFill>
          <bgColor rgb="FF1E1E1E"/>
        </patternFill>
      </fill>
    </dxf>
  </dxfs>
  <tableStyles count="1" defaultTableStyle="TableStyleMedium2" defaultPivotStyle="PivotStyleLight16">
    <tableStyle name="Slicer Style 5" pivot="0" table="0" count="6" xr9:uid="{870AE63A-43FE-4EA3-92E3-ADD22208AB5F}">
      <tableStyleElement type="wholeTable" dxfId="20"/>
      <tableStyleElement type="headerRow" dxfId="19"/>
    </tableStyle>
  </tableStyles>
  <colors>
    <mruColors>
      <color rgb="FF00B4D8"/>
      <color rgb="FF1E1E1E"/>
      <color rgb="FF9B59B6"/>
      <color rgb="FF121212"/>
      <color rgb="FFFFD700"/>
      <color rgb="FF2ECC71"/>
      <color rgb="FFE24B4A"/>
      <color rgb="FFFF0000"/>
      <color rgb="FF2A475E"/>
      <color rgb="FF1B2838"/>
    </mruColors>
  </colors>
  <extLst>
    <ext xmlns:x14="http://schemas.microsoft.com/office/spreadsheetml/2009/9/main" uri="{46F421CA-312F-682f-3DD2-61675219B42D}">
      <x14:dxfs count="4">
        <dxf>
          <font>
            <b val="0"/>
            <i val="0"/>
            <sz val="9"/>
            <color rgb="FF00B4D8"/>
            <name val="Bahnschrift"/>
            <family val="2"/>
            <scheme val="none"/>
          </font>
          <fill>
            <patternFill>
              <bgColor rgb="FF2A2A2A"/>
            </patternFill>
          </fill>
        </dxf>
        <dxf>
          <font>
            <sz val="9"/>
            <color theme="2" tint="-9.9948118533890809E-2"/>
            <name val="Bahnschrift"/>
            <family val="2"/>
            <scheme val="none"/>
          </font>
          <fill>
            <patternFill>
              <bgColor rgb="FF2A2A2A"/>
            </patternFill>
          </fill>
        </dxf>
        <dxf>
          <font>
            <b val="0"/>
            <i val="0"/>
            <sz val="9"/>
            <color rgb="FF00B4D8"/>
            <name val="Bahnschrift"/>
            <family val="2"/>
            <scheme val="none"/>
          </font>
          <fill>
            <patternFill>
              <bgColor rgb="FF2A2A2A"/>
            </patternFill>
          </fill>
        </dxf>
        <dxf>
          <font>
            <sz val="9"/>
            <color theme="2" tint="-9.9917600024414813E-2"/>
            <name val="Bahnschrift"/>
            <family val="2"/>
            <scheme val="none"/>
          </font>
          <fill>
            <patternFill>
              <bgColor rgb="FF2A2A2A"/>
            </patternFill>
          </fill>
        </dxf>
      </x14:dxfs>
    </ext>
    <ext xmlns:x14="http://schemas.microsoft.com/office/spreadsheetml/2009/9/main" uri="{EB79DEF2-80B8-43e5-95BD-54CBDDF9020C}">
      <x14:slicerStyles defaultSlicerStyle="SlicerStyleLight1">
        <x14:slicerStyle name="Slicer Style 5">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[dota2_dashboard.xlsx]pivot_win_rate!PivotTable1</c:name>
    <c:fmtId val="4"/>
  </c:pivotSource>
  <c:chart>
    <c:autoTitleDeleted val="1"/>
    <c:pivotFmts>
      <c:pivotFmt>
        <c:idx val="0"/>
        <c:spPr>
          <a:solidFill>
            <a:srgbClr val="00B4D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2ECC71"/>
          </a:solidFill>
          <a:ln>
            <a:noFill/>
          </a:ln>
          <a:effectLst/>
        </c:spPr>
      </c:pivotFmt>
      <c:pivotFmt>
        <c:idx val="5"/>
        <c:spPr>
          <a:solidFill>
            <a:srgbClr val="2ECC7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00B4D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2ECC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82461978465561"/>
          <c:y val="5.0119155114237632E-2"/>
          <c:w val="0.60185408833083476"/>
          <c:h val="0.87932773950649579"/>
        </c:manualLayout>
      </c:layout>
      <c:barChart>
        <c:barDir val="bar"/>
        <c:grouping val="clustered"/>
        <c:varyColors val="0"/>
        <c:ser>
          <c:idx val="0"/>
          <c:order val="0"/>
          <c:tx>
            <c:strRef>
              <c:f>pivot_win_rate!$B$3</c:f>
              <c:strCache>
                <c:ptCount val="1"/>
                <c:pt idx="0">
                  <c:v>Times won</c:v>
                </c:pt>
              </c:strCache>
            </c:strRef>
          </c:tx>
          <c:spPr>
            <a:solidFill>
              <a:srgbClr val="2ECC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pivot_win_rate!$A$4:$A$15</c:f>
              <c:strCache>
                <c:ptCount val="11"/>
                <c:pt idx="0">
                  <c:v>Luna</c:v>
                </c:pt>
                <c:pt idx="1">
                  <c:v>Lion</c:v>
                </c:pt>
                <c:pt idx="2">
                  <c:v>Shadow Fiend</c:v>
                </c:pt>
                <c:pt idx="3">
                  <c:v>Disruptor</c:v>
                </c:pt>
                <c:pt idx="4">
                  <c:v>Queen of Pain</c:v>
                </c:pt>
                <c:pt idx="5">
                  <c:v>Tusk</c:v>
                </c:pt>
                <c:pt idx="6">
                  <c:v>Hoodwink</c:v>
                </c:pt>
                <c:pt idx="7">
                  <c:v>Tidehunter</c:v>
                </c:pt>
                <c:pt idx="8">
                  <c:v>Phoenix</c:v>
                </c:pt>
                <c:pt idx="9">
                  <c:v>Pangolier</c:v>
                </c:pt>
                <c:pt idx="10">
                  <c:v>Rubick</c:v>
                </c:pt>
              </c:strCache>
            </c:strRef>
          </c:cat>
          <c:val>
            <c:numRef>
              <c:f>pivot_win_rate!$B$4:$B$15</c:f>
              <c:numCache>
                <c:formatCode>General</c:formatCode>
                <c:ptCount val="11"/>
                <c:pt idx="0">
                  <c:v>220</c:v>
                </c:pt>
                <c:pt idx="1">
                  <c:v>209</c:v>
                </c:pt>
                <c:pt idx="2">
                  <c:v>204</c:v>
                </c:pt>
                <c:pt idx="3">
                  <c:v>206</c:v>
                </c:pt>
                <c:pt idx="4">
                  <c:v>238</c:v>
                </c:pt>
                <c:pt idx="5">
                  <c:v>293</c:v>
                </c:pt>
                <c:pt idx="6">
                  <c:v>285</c:v>
                </c:pt>
                <c:pt idx="7">
                  <c:v>269</c:v>
                </c:pt>
                <c:pt idx="8">
                  <c:v>354</c:v>
                </c:pt>
                <c:pt idx="9">
                  <c:v>342</c:v>
                </c:pt>
                <c:pt idx="10">
                  <c:v>547</c:v>
                </c:pt>
              </c:numCache>
            </c:numRef>
          </c:val>
          <c:extLst>
            <c:ext xmlns:c16="http://schemas.microsoft.com/office/drawing/2014/chart" uri="{C3380CC4-5D6E-409C-BE32-E72D297353CC}">
              <c16:uniqueId val="{00000000-14EA-4493-9456-D8F8F514A1FC}"/>
            </c:ext>
          </c:extLst>
        </c:ser>
        <c:ser>
          <c:idx val="1"/>
          <c:order val="1"/>
          <c:tx>
            <c:strRef>
              <c:f>pivot_win_rate!$C$3</c:f>
              <c:strCache>
                <c:ptCount val="1"/>
                <c:pt idx="0">
                  <c:v>Times Picked</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pivot_win_rate!$A$4:$A$15</c:f>
              <c:strCache>
                <c:ptCount val="11"/>
                <c:pt idx="0">
                  <c:v>Luna</c:v>
                </c:pt>
                <c:pt idx="1">
                  <c:v>Lion</c:v>
                </c:pt>
                <c:pt idx="2">
                  <c:v>Shadow Fiend</c:v>
                </c:pt>
                <c:pt idx="3">
                  <c:v>Disruptor</c:v>
                </c:pt>
                <c:pt idx="4">
                  <c:v>Queen of Pain</c:v>
                </c:pt>
                <c:pt idx="5">
                  <c:v>Tusk</c:v>
                </c:pt>
                <c:pt idx="6">
                  <c:v>Hoodwink</c:v>
                </c:pt>
                <c:pt idx="7">
                  <c:v>Tidehunter</c:v>
                </c:pt>
                <c:pt idx="8">
                  <c:v>Phoenix</c:v>
                </c:pt>
                <c:pt idx="9">
                  <c:v>Pangolier</c:v>
                </c:pt>
                <c:pt idx="10">
                  <c:v>Rubick</c:v>
                </c:pt>
              </c:strCache>
            </c:strRef>
          </c:cat>
          <c:val>
            <c:numRef>
              <c:f>pivot_win_rate!$C$4:$C$15</c:f>
              <c:numCache>
                <c:formatCode>General</c:formatCode>
                <c:ptCount val="11"/>
                <c:pt idx="0">
                  <c:v>438</c:v>
                </c:pt>
                <c:pt idx="1">
                  <c:v>438</c:v>
                </c:pt>
                <c:pt idx="2">
                  <c:v>450</c:v>
                </c:pt>
                <c:pt idx="3">
                  <c:v>450</c:v>
                </c:pt>
                <c:pt idx="4">
                  <c:v>484</c:v>
                </c:pt>
                <c:pt idx="5">
                  <c:v>541</c:v>
                </c:pt>
                <c:pt idx="6">
                  <c:v>543</c:v>
                </c:pt>
                <c:pt idx="7">
                  <c:v>577</c:v>
                </c:pt>
                <c:pt idx="8">
                  <c:v>591</c:v>
                </c:pt>
                <c:pt idx="9">
                  <c:v>643</c:v>
                </c:pt>
                <c:pt idx="10">
                  <c:v>1070</c:v>
                </c:pt>
              </c:numCache>
            </c:numRef>
          </c:val>
          <c:extLst>
            <c:ext xmlns:c16="http://schemas.microsoft.com/office/drawing/2014/chart" uri="{C3380CC4-5D6E-409C-BE32-E72D297353CC}">
              <c16:uniqueId val="{00000001-14EA-4493-9456-D8F8F514A1FC}"/>
            </c:ext>
          </c:extLst>
        </c:ser>
        <c:dLbls>
          <c:dLblPos val="outEnd"/>
          <c:showLegendKey val="0"/>
          <c:showVal val="1"/>
          <c:showCatName val="0"/>
          <c:showSerName val="0"/>
          <c:showPercent val="0"/>
          <c:showBubbleSize val="0"/>
        </c:dLbls>
        <c:gapWidth val="60"/>
        <c:axId val="967710816"/>
        <c:axId val="967724256"/>
      </c:barChart>
      <c:catAx>
        <c:axId val="9677108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Bahnschrift Light" panose="020B0502040204020203" pitchFamily="34" charset="0"/>
                <a:ea typeface="+mn-ea"/>
                <a:cs typeface="+mn-cs"/>
              </a:defRPr>
            </a:pPr>
            <a:endParaRPr lang="en-US"/>
          </a:p>
        </c:txPr>
        <c:crossAx val="967724256"/>
        <c:crosses val="autoZero"/>
        <c:auto val="1"/>
        <c:lblAlgn val="ctr"/>
        <c:lblOffset val="100"/>
        <c:noMultiLvlLbl val="0"/>
      </c:catAx>
      <c:valAx>
        <c:axId val="96772425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9677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2"/>
              </a:solidFill>
              <a:latin typeface="Bahnschrift Ligh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[dota2_dashboard.xlsx]pivot_ban_rate!PivotTable1</c:name>
    <c:fmtId val="4"/>
  </c:pivotSource>
  <c:chart>
    <c:autoTitleDeleted val="1"/>
    <c:pivotFmts>
      <c:pivotFmt>
        <c:idx val="0"/>
        <c:spPr>
          <a:solidFill>
            <a:srgbClr val="E24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24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24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53543849357378"/>
          <c:y val="4.9410434833047905E-2"/>
          <c:w val="0.76982246750364758"/>
          <c:h val="0.90117913033390418"/>
        </c:manualLayout>
      </c:layout>
      <c:barChart>
        <c:barDir val="bar"/>
        <c:grouping val="clustered"/>
        <c:varyColors val="0"/>
        <c:ser>
          <c:idx val="0"/>
          <c:order val="0"/>
          <c:tx>
            <c:strRef>
              <c:f>pivot_ban_rate!$B$3</c:f>
              <c:strCache>
                <c:ptCount val="1"/>
                <c:pt idx="0">
                  <c:v>Total</c:v>
                </c:pt>
              </c:strCache>
            </c:strRef>
          </c:tx>
          <c:spPr>
            <a:solidFill>
              <a:srgbClr val="E24B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pivot_ban_rate!$A$4:$A$14</c:f>
              <c:strCache>
                <c:ptCount val="10"/>
                <c:pt idx="0">
                  <c:v>Batrider</c:v>
                </c:pt>
                <c:pt idx="1">
                  <c:v>Pangolier</c:v>
                </c:pt>
                <c:pt idx="2">
                  <c:v>Alchemist</c:v>
                </c:pt>
                <c:pt idx="3">
                  <c:v>Beastmaster</c:v>
                </c:pt>
                <c:pt idx="4">
                  <c:v>Doom</c:v>
                </c:pt>
                <c:pt idx="5">
                  <c:v>Phoenix</c:v>
                </c:pt>
                <c:pt idx="6">
                  <c:v>Void Spirit</c:v>
                </c:pt>
                <c:pt idx="7">
                  <c:v>Puck</c:v>
                </c:pt>
                <c:pt idx="8">
                  <c:v>Venomancer</c:v>
                </c:pt>
                <c:pt idx="9">
                  <c:v>Queen of Pain</c:v>
                </c:pt>
              </c:strCache>
            </c:strRef>
          </c:cat>
          <c:val>
            <c:numRef>
              <c:f>pivot_ban_rate!$B$4:$B$14</c:f>
              <c:numCache>
                <c:formatCode>General</c:formatCode>
                <c:ptCount val="10"/>
                <c:pt idx="0">
                  <c:v>1455</c:v>
                </c:pt>
                <c:pt idx="1">
                  <c:v>1127</c:v>
                </c:pt>
                <c:pt idx="2">
                  <c:v>1092</c:v>
                </c:pt>
                <c:pt idx="3">
                  <c:v>1082</c:v>
                </c:pt>
                <c:pt idx="4">
                  <c:v>921</c:v>
                </c:pt>
                <c:pt idx="5">
                  <c:v>835</c:v>
                </c:pt>
                <c:pt idx="6">
                  <c:v>813</c:v>
                </c:pt>
                <c:pt idx="7">
                  <c:v>795</c:v>
                </c:pt>
                <c:pt idx="8">
                  <c:v>781</c:v>
                </c:pt>
                <c:pt idx="9">
                  <c:v>738</c:v>
                </c:pt>
              </c:numCache>
            </c:numRef>
          </c:val>
          <c:extLst>
            <c:ext xmlns:c16="http://schemas.microsoft.com/office/drawing/2014/chart" uri="{C3380CC4-5D6E-409C-BE32-E72D297353CC}">
              <c16:uniqueId val="{00000000-E2DB-4120-B3B6-8201CECAE938}"/>
            </c:ext>
          </c:extLst>
        </c:ser>
        <c:dLbls>
          <c:dLblPos val="outEnd"/>
          <c:showLegendKey val="0"/>
          <c:showVal val="1"/>
          <c:showCatName val="0"/>
          <c:showSerName val="0"/>
          <c:showPercent val="0"/>
          <c:showBubbleSize val="0"/>
        </c:dLbls>
        <c:gapWidth val="60"/>
        <c:axId val="1135189216"/>
        <c:axId val="1135197376"/>
      </c:barChart>
      <c:catAx>
        <c:axId val="113518921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Bahnschrift Light" panose="020B0502040204020203" pitchFamily="34" charset="0"/>
                <a:ea typeface="+mn-ea"/>
                <a:cs typeface="+mn-cs"/>
              </a:defRPr>
            </a:pPr>
            <a:endParaRPr lang="en-US"/>
          </a:p>
        </c:txPr>
        <c:crossAx val="1135197376"/>
        <c:crosses val="autoZero"/>
        <c:auto val="1"/>
        <c:lblAlgn val="ctr"/>
        <c:lblOffset val="100"/>
        <c:noMultiLvlLbl val="0"/>
      </c:catAx>
      <c:valAx>
        <c:axId val="113519737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11351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[dota2_dashboard.xlsx]pivot_team_win_rate!PivotTable1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ECC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59479677755346"/>
          <c:y val="4.1697974971624217E-2"/>
          <c:w val="0.80753955762521035"/>
          <c:h val="0.89828774665858502"/>
        </c:manualLayout>
      </c:layout>
      <c:barChart>
        <c:barDir val="bar"/>
        <c:grouping val="clustered"/>
        <c:varyColors val="0"/>
        <c:ser>
          <c:idx val="0"/>
          <c:order val="0"/>
          <c:tx>
            <c:strRef>
              <c:f>pivot_team_win_rate!$B$3</c:f>
              <c:strCache>
                <c:ptCount val="1"/>
                <c:pt idx="0">
                  <c:v>Total</c:v>
                </c:pt>
              </c:strCache>
            </c:strRef>
          </c:tx>
          <c:spPr>
            <a:solidFill>
              <a:srgbClr val="2ECC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pivot_team_win_rate!$A$4:$A$14</c:f>
              <c:strCache>
                <c:ptCount val="10"/>
                <c:pt idx="0">
                  <c:v>InterActive Philippines</c:v>
                </c:pt>
                <c:pt idx="1">
                  <c:v>PARIVISION</c:v>
                </c:pt>
                <c:pt idx="2">
                  <c:v>REKONIX</c:v>
                </c:pt>
                <c:pt idx="3">
                  <c:v>Xtreme Gaming</c:v>
                </c:pt>
                <c:pt idx="4">
                  <c:v>Nigma Galaxy</c:v>
                </c:pt>
                <c:pt idx="5">
                  <c:v>L1GA TEAM</c:v>
                </c:pt>
                <c:pt idx="6">
                  <c:v>Team Antares</c:v>
                </c:pt>
                <c:pt idx="7">
                  <c:v>GLYPH</c:v>
                </c:pt>
                <c:pt idx="8">
                  <c:v>BetBoom Team</c:v>
                </c:pt>
                <c:pt idx="9">
                  <c:v>Team Nemesis</c:v>
                </c:pt>
              </c:strCache>
            </c:strRef>
          </c:cat>
          <c:val>
            <c:numRef>
              <c:f>pivot_team_win_rate!$B$4:$B$14</c:f>
              <c:numCache>
                <c:formatCode>0%</c:formatCode>
                <c:ptCount val="10"/>
                <c:pt idx="0">
                  <c:v>0.65</c:v>
                </c:pt>
                <c:pt idx="1">
                  <c:v>0.58064516129032262</c:v>
                </c:pt>
                <c:pt idx="2">
                  <c:v>0.5714285714285714</c:v>
                </c:pt>
                <c:pt idx="3">
                  <c:v>0.5</c:v>
                </c:pt>
                <c:pt idx="4">
                  <c:v>0.46938775510204084</c:v>
                </c:pt>
                <c:pt idx="5">
                  <c:v>0.45901639344262296</c:v>
                </c:pt>
                <c:pt idx="6">
                  <c:v>0.45454545454545453</c:v>
                </c:pt>
                <c:pt idx="7">
                  <c:v>0.43478260869565216</c:v>
                </c:pt>
                <c:pt idx="8">
                  <c:v>0.41176470588235292</c:v>
                </c:pt>
                <c:pt idx="9">
                  <c:v>0.41176470588235292</c:v>
                </c:pt>
              </c:numCache>
            </c:numRef>
          </c:val>
          <c:extLst>
            <c:ext xmlns:c16="http://schemas.microsoft.com/office/drawing/2014/chart" uri="{C3380CC4-5D6E-409C-BE32-E72D297353CC}">
              <c16:uniqueId val="{00000000-AD44-4F12-B32B-0E3DAA3FE70C}"/>
            </c:ext>
          </c:extLst>
        </c:ser>
        <c:dLbls>
          <c:dLblPos val="outEnd"/>
          <c:showLegendKey val="0"/>
          <c:showVal val="1"/>
          <c:showCatName val="0"/>
          <c:showSerName val="0"/>
          <c:showPercent val="0"/>
          <c:showBubbleSize val="0"/>
        </c:dLbls>
        <c:gapWidth val="60"/>
        <c:axId val="512109424"/>
        <c:axId val="512126704"/>
      </c:barChart>
      <c:catAx>
        <c:axId val="51210942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Bahnschrift Light" panose="020B0502040204020203" pitchFamily="34" charset="0"/>
                <a:ea typeface="+mn-ea"/>
                <a:cs typeface="+mn-cs"/>
              </a:defRPr>
            </a:pPr>
            <a:endParaRPr lang="en-US"/>
          </a:p>
        </c:txPr>
        <c:crossAx val="512126704"/>
        <c:crosses val="autoZero"/>
        <c:auto val="1"/>
        <c:lblAlgn val="ctr"/>
        <c:lblOffset val="100"/>
        <c:noMultiLvlLbl val="0"/>
      </c:catAx>
      <c:valAx>
        <c:axId val="512126704"/>
        <c:scaling>
          <c:orientation val="minMax"/>
        </c:scaling>
        <c:delete val="1"/>
        <c:axPos val="t"/>
        <c:majorGridlines>
          <c:spPr>
            <a:ln w="9525" cap="flat" cmpd="sng" algn="ctr">
              <a:noFill/>
              <a:round/>
            </a:ln>
            <a:effectLst/>
          </c:spPr>
        </c:majorGridlines>
        <c:numFmt formatCode="0%" sourceLinked="1"/>
        <c:majorTickMark val="none"/>
        <c:minorTickMark val="none"/>
        <c:tickLblPos val="nextTo"/>
        <c:crossAx val="51210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[dota2_dashboard.xlsx]pivot_team_win_rate!PivotTable1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pivot_team_win_rate!$B$3</c:f>
              <c:strCache>
                <c:ptCount val="1"/>
                <c:pt idx="0">
                  <c:v>Total</c:v>
                </c:pt>
              </c:strCache>
            </c:strRef>
          </c:tx>
          <c:spPr>
            <a:solidFill>
              <a:schemeClr val="accent1"/>
            </a:solidFill>
            <a:ln>
              <a:noFill/>
            </a:ln>
            <a:effectLst/>
          </c:spPr>
          <c:invertIfNegative val="0"/>
          <c:cat>
            <c:strRef>
              <c:f>pivot_team_win_rate!$A$4:$A$14</c:f>
              <c:strCache>
                <c:ptCount val="10"/>
                <c:pt idx="0">
                  <c:v>InterActive Philippines</c:v>
                </c:pt>
                <c:pt idx="1">
                  <c:v>PARIVISION</c:v>
                </c:pt>
                <c:pt idx="2">
                  <c:v>REKONIX</c:v>
                </c:pt>
                <c:pt idx="3">
                  <c:v>Xtreme Gaming</c:v>
                </c:pt>
                <c:pt idx="4">
                  <c:v>Nigma Galaxy</c:v>
                </c:pt>
                <c:pt idx="5">
                  <c:v>L1GA TEAM</c:v>
                </c:pt>
                <c:pt idx="6">
                  <c:v>Team Antares</c:v>
                </c:pt>
                <c:pt idx="7">
                  <c:v>GLYPH</c:v>
                </c:pt>
                <c:pt idx="8">
                  <c:v>BetBoom Team</c:v>
                </c:pt>
                <c:pt idx="9">
                  <c:v>Team Nemesis</c:v>
                </c:pt>
              </c:strCache>
            </c:strRef>
          </c:cat>
          <c:val>
            <c:numRef>
              <c:f>pivot_team_win_rate!$B$4:$B$14</c:f>
              <c:numCache>
                <c:formatCode>0%</c:formatCode>
                <c:ptCount val="10"/>
                <c:pt idx="0">
                  <c:v>0.65</c:v>
                </c:pt>
                <c:pt idx="1">
                  <c:v>0.58064516129032262</c:v>
                </c:pt>
                <c:pt idx="2">
                  <c:v>0.5714285714285714</c:v>
                </c:pt>
                <c:pt idx="3">
                  <c:v>0.5</c:v>
                </c:pt>
                <c:pt idx="4">
                  <c:v>0.46938775510204084</c:v>
                </c:pt>
                <c:pt idx="5">
                  <c:v>0.45901639344262296</c:v>
                </c:pt>
                <c:pt idx="6">
                  <c:v>0.45454545454545453</c:v>
                </c:pt>
                <c:pt idx="7">
                  <c:v>0.43478260869565216</c:v>
                </c:pt>
                <c:pt idx="8">
                  <c:v>0.41176470588235292</c:v>
                </c:pt>
                <c:pt idx="9">
                  <c:v>0.41176470588235292</c:v>
                </c:pt>
              </c:numCache>
            </c:numRef>
          </c:val>
          <c:extLst>
            <c:ext xmlns:c16="http://schemas.microsoft.com/office/drawing/2014/chart" uri="{C3380CC4-5D6E-409C-BE32-E72D297353CC}">
              <c16:uniqueId val="{00000000-947E-40A3-9B24-0CEF8360A82E}"/>
            </c:ext>
          </c:extLst>
        </c:ser>
        <c:dLbls>
          <c:showLegendKey val="0"/>
          <c:showVal val="0"/>
          <c:showCatName val="0"/>
          <c:showSerName val="0"/>
          <c:showPercent val="0"/>
          <c:showBubbleSize val="0"/>
        </c:dLbls>
        <c:gapWidth val="182"/>
        <c:axId val="512109424"/>
        <c:axId val="512126704"/>
      </c:barChart>
      <c:catAx>
        <c:axId val="51210942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26704"/>
        <c:crosses val="autoZero"/>
        <c:auto val="1"/>
        <c:lblAlgn val="ctr"/>
        <c:lblOffset val="100"/>
        <c:noMultiLvlLbl val="0"/>
      </c:catAx>
      <c:valAx>
        <c:axId val="512126704"/>
        <c:scaling>
          <c:orientation val="minMax"/>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10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[dota2_dashboard.xlsx]pivot_win_rate!PivotTable1</c:name>
    <c:fmtId val="0"/>
  </c:pivotSource>
  <c:chart>
    <c:autoTitleDeleted val="1"/>
    <c:pivotFmts>
      <c:pivotFmt>
        <c:idx val="0"/>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ECC7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pivot_win_rate!$B$3</c:f>
              <c:strCache>
                <c:ptCount val="1"/>
                <c:pt idx="0">
                  <c:v>Times won</c:v>
                </c:pt>
              </c:strCache>
            </c:strRef>
          </c:tx>
          <c:spPr>
            <a:solidFill>
              <a:srgbClr val="2ECC7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pivot_win_rate!$A$4:$A$15</c:f>
              <c:strCache>
                <c:ptCount val="11"/>
                <c:pt idx="0">
                  <c:v>Luna</c:v>
                </c:pt>
                <c:pt idx="1">
                  <c:v>Lion</c:v>
                </c:pt>
                <c:pt idx="2">
                  <c:v>Shadow Fiend</c:v>
                </c:pt>
                <c:pt idx="3">
                  <c:v>Disruptor</c:v>
                </c:pt>
                <c:pt idx="4">
                  <c:v>Queen of Pain</c:v>
                </c:pt>
                <c:pt idx="5">
                  <c:v>Tusk</c:v>
                </c:pt>
                <c:pt idx="6">
                  <c:v>Hoodwink</c:v>
                </c:pt>
                <c:pt idx="7">
                  <c:v>Tidehunter</c:v>
                </c:pt>
                <c:pt idx="8">
                  <c:v>Phoenix</c:v>
                </c:pt>
                <c:pt idx="9">
                  <c:v>Pangolier</c:v>
                </c:pt>
                <c:pt idx="10">
                  <c:v>Rubick</c:v>
                </c:pt>
              </c:strCache>
            </c:strRef>
          </c:cat>
          <c:val>
            <c:numRef>
              <c:f>pivot_win_rate!$B$4:$B$15</c:f>
              <c:numCache>
                <c:formatCode>General</c:formatCode>
                <c:ptCount val="11"/>
                <c:pt idx="0">
                  <c:v>220</c:v>
                </c:pt>
                <c:pt idx="1">
                  <c:v>209</c:v>
                </c:pt>
                <c:pt idx="2">
                  <c:v>204</c:v>
                </c:pt>
                <c:pt idx="3">
                  <c:v>206</c:v>
                </c:pt>
                <c:pt idx="4">
                  <c:v>238</c:v>
                </c:pt>
                <c:pt idx="5">
                  <c:v>293</c:v>
                </c:pt>
                <c:pt idx="6">
                  <c:v>285</c:v>
                </c:pt>
                <c:pt idx="7">
                  <c:v>269</c:v>
                </c:pt>
                <c:pt idx="8">
                  <c:v>354</c:v>
                </c:pt>
                <c:pt idx="9">
                  <c:v>342</c:v>
                </c:pt>
                <c:pt idx="10">
                  <c:v>547</c:v>
                </c:pt>
              </c:numCache>
            </c:numRef>
          </c:val>
          <c:extLst>
            <c:ext xmlns:c16="http://schemas.microsoft.com/office/drawing/2014/chart" uri="{C3380CC4-5D6E-409C-BE32-E72D297353CC}">
              <c16:uniqueId val="{000000FE-1EB4-4807-A992-2D39C0ECA62D}"/>
            </c:ext>
          </c:extLst>
        </c:ser>
        <c:ser>
          <c:idx val="1"/>
          <c:order val="1"/>
          <c:tx>
            <c:strRef>
              <c:f>pivot_win_rate!$C$3</c:f>
              <c:strCache>
                <c:ptCount val="1"/>
                <c:pt idx="0">
                  <c:v>Times Picked</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pivot_win_rate!$A$4:$A$15</c:f>
              <c:strCache>
                <c:ptCount val="11"/>
                <c:pt idx="0">
                  <c:v>Luna</c:v>
                </c:pt>
                <c:pt idx="1">
                  <c:v>Lion</c:v>
                </c:pt>
                <c:pt idx="2">
                  <c:v>Shadow Fiend</c:v>
                </c:pt>
                <c:pt idx="3">
                  <c:v>Disruptor</c:v>
                </c:pt>
                <c:pt idx="4">
                  <c:v>Queen of Pain</c:v>
                </c:pt>
                <c:pt idx="5">
                  <c:v>Tusk</c:v>
                </c:pt>
                <c:pt idx="6">
                  <c:v>Hoodwink</c:v>
                </c:pt>
                <c:pt idx="7">
                  <c:v>Tidehunter</c:v>
                </c:pt>
                <c:pt idx="8">
                  <c:v>Phoenix</c:v>
                </c:pt>
                <c:pt idx="9">
                  <c:v>Pangolier</c:v>
                </c:pt>
                <c:pt idx="10">
                  <c:v>Rubick</c:v>
                </c:pt>
              </c:strCache>
            </c:strRef>
          </c:cat>
          <c:val>
            <c:numRef>
              <c:f>pivot_win_rate!$C$4:$C$15</c:f>
              <c:numCache>
                <c:formatCode>General</c:formatCode>
                <c:ptCount val="11"/>
                <c:pt idx="0">
                  <c:v>438</c:v>
                </c:pt>
                <c:pt idx="1">
                  <c:v>438</c:v>
                </c:pt>
                <c:pt idx="2">
                  <c:v>450</c:v>
                </c:pt>
                <c:pt idx="3">
                  <c:v>450</c:v>
                </c:pt>
                <c:pt idx="4">
                  <c:v>484</c:v>
                </c:pt>
                <c:pt idx="5">
                  <c:v>541</c:v>
                </c:pt>
                <c:pt idx="6">
                  <c:v>543</c:v>
                </c:pt>
                <c:pt idx="7">
                  <c:v>577</c:v>
                </c:pt>
                <c:pt idx="8">
                  <c:v>591</c:v>
                </c:pt>
                <c:pt idx="9">
                  <c:v>643</c:v>
                </c:pt>
                <c:pt idx="10">
                  <c:v>1070</c:v>
                </c:pt>
              </c:numCache>
            </c:numRef>
          </c:val>
          <c:extLst>
            <c:ext xmlns:c16="http://schemas.microsoft.com/office/drawing/2014/chart" uri="{C3380CC4-5D6E-409C-BE32-E72D297353CC}">
              <c16:uniqueId val="{00000102-1EB4-4807-A992-2D39C0ECA62D}"/>
            </c:ext>
          </c:extLst>
        </c:ser>
        <c:dLbls>
          <c:dLblPos val="outEnd"/>
          <c:showLegendKey val="0"/>
          <c:showVal val="1"/>
          <c:showCatName val="0"/>
          <c:showSerName val="0"/>
          <c:showPercent val="0"/>
          <c:showBubbleSize val="0"/>
        </c:dLbls>
        <c:gapWidth val="60"/>
        <c:axId val="967710816"/>
        <c:axId val="967724256"/>
      </c:barChart>
      <c:catAx>
        <c:axId val="9677108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Bahnschrift Light" panose="020B0502040204020203" pitchFamily="34" charset="0"/>
                <a:ea typeface="+mn-ea"/>
                <a:cs typeface="+mn-cs"/>
              </a:defRPr>
            </a:pPr>
            <a:endParaRPr lang="en-US"/>
          </a:p>
        </c:txPr>
        <c:crossAx val="967724256"/>
        <c:crosses val="autoZero"/>
        <c:auto val="1"/>
        <c:lblAlgn val="ctr"/>
        <c:lblOffset val="100"/>
        <c:noMultiLvlLbl val="0"/>
      </c:catAx>
      <c:valAx>
        <c:axId val="96772425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9677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chemeClr val="bg2"/>
              </a:solidFill>
              <a:latin typeface="Bahnschrift Ligh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[dota2_dashboard.xlsx]pivot_ban_rate!PivotTable1</c:name>
    <c:fmtId val="0"/>
  </c:pivotSource>
  <c:chart>
    <c:autoTitleDeleted val="1"/>
    <c:pivotFmts>
      <c:pivotFmt>
        <c:idx val="0"/>
        <c:spPr>
          <a:solidFill>
            <a:srgbClr val="E24B4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pivot_ban_rate!$B$3</c:f>
              <c:strCache>
                <c:ptCount val="1"/>
                <c:pt idx="0">
                  <c:v>Total</c:v>
                </c:pt>
              </c:strCache>
            </c:strRef>
          </c:tx>
          <c:spPr>
            <a:solidFill>
              <a:srgbClr val="E24B4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75000"/>
                      </a:schemeClr>
                    </a:solidFill>
                    <a:latin typeface="Bahnschrift Ligh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pivot_ban_rate!$A$4:$A$14</c:f>
              <c:strCache>
                <c:ptCount val="10"/>
                <c:pt idx="0">
                  <c:v>Batrider</c:v>
                </c:pt>
                <c:pt idx="1">
                  <c:v>Pangolier</c:v>
                </c:pt>
                <c:pt idx="2">
                  <c:v>Alchemist</c:v>
                </c:pt>
                <c:pt idx="3">
                  <c:v>Beastmaster</c:v>
                </c:pt>
                <c:pt idx="4">
                  <c:v>Doom</c:v>
                </c:pt>
                <c:pt idx="5">
                  <c:v>Phoenix</c:v>
                </c:pt>
                <c:pt idx="6">
                  <c:v>Void Spirit</c:v>
                </c:pt>
                <c:pt idx="7">
                  <c:v>Puck</c:v>
                </c:pt>
                <c:pt idx="8">
                  <c:v>Venomancer</c:v>
                </c:pt>
                <c:pt idx="9">
                  <c:v>Queen of Pain</c:v>
                </c:pt>
              </c:strCache>
            </c:strRef>
          </c:cat>
          <c:val>
            <c:numRef>
              <c:f>pivot_ban_rate!$B$4:$B$14</c:f>
              <c:numCache>
                <c:formatCode>General</c:formatCode>
                <c:ptCount val="10"/>
                <c:pt idx="0">
                  <c:v>1455</c:v>
                </c:pt>
                <c:pt idx="1">
                  <c:v>1127</c:v>
                </c:pt>
                <c:pt idx="2">
                  <c:v>1092</c:v>
                </c:pt>
                <c:pt idx="3">
                  <c:v>1082</c:v>
                </c:pt>
                <c:pt idx="4">
                  <c:v>921</c:v>
                </c:pt>
                <c:pt idx="5">
                  <c:v>835</c:v>
                </c:pt>
                <c:pt idx="6">
                  <c:v>813</c:v>
                </c:pt>
                <c:pt idx="7">
                  <c:v>795</c:v>
                </c:pt>
                <c:pt idx="8">
                  <c:v>781</c:v>
                </c:pt>
                <c:pt idx="9">
                  <c:v>738</c:v>
                </c:pt>
              </c:numCache>
            </c:numRef>
          </c:val>
          <c:extLst>
            <c:ext xmlns:c16="http://schemas.microsoft.com/office/drawing/2014/chart" uri="{C3380CC4-5D6E-409C-BE32-E72D297353CC}">
              <c16:uniqueId val="{00000000-DD7A-4E77-9B10-8F464D6A4A47}"/>
            </c:ext>
          </c:extLst>
        </c:ser>
        <c:dLbls>
          <c:dLblPos val="outEnd"/>
          <c:showLegendKey val="0"/>
          <c:showVal val="1"/>
          <c:showCatName val="0"/>
          <c:showSerName val="0"/>
          <c:showPercent val="0"/>
          <c:showBubbleSize val="0"/>
        </c:dLbls>
        <c:gapWidth val="60"/>
        <c:axId val="1135189216"/>
        <c:axId val="1135197376"/>
      </c:barChart>
      <c:catAx>
        <c:axId val="113518921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Bahnschrift Light" panose="020B0502040204020203" pitchFamily="34" charset="0"/>
                <a:ea typeface="+mn-ea"/>
                <a:cs typeface="+mn-cs"/>
              </a:defRPr>
            </a:pPr>
            <a:endParaRPr lang="en-US"/>
          </a:p>
        </c:txPr>
        <c:crossAx val="1135197376"/>
        <c:crosses val="autoZero"/>
        <c:auto val="1"/>
        <c:lblAlgn val="ctr"/>
        <c:lblOffset val="100"/>
        <c:noMultiLvlLbl val="0"/>
      </c:catAx>
      <c:valAx>
        <c:axId val="1135197376"/>
        <c:scaling>
          <c:orientation val="minMax"/>
        </c:scaling>
        <c:delete val="1"/>
        <c:axPos val="t"/>
        <c:majorGridlines>
          <c:spPr>
            <a:ln w="9525" cap="flat" cmpd="sng" algn="ctr">
              <a:noFill/>
              <a:round/>
            </a:ln>
            <a:effectLst/>
          </c:spPr>
        </c:majorGridlines>
        <c:numFmt formatCode="General" sourceLinked="1"/>
        <c:majorTickMark val="none"/>
        <c:minorTickMark val="none"/>
        <c:tickLblPos val="nextTo"/>
        <c:crossAx val="113518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1E1E"/>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13249</xdr:colOff>
      <xdr:row>2</xdr:row>
      <xdr:rowOff>13250</xdr:rowOff>
    </xdr:from>
    <xdr:to>
      <xdr:col>6</xdr:col>
      <xdr:colOff>181805</xdr:colOff>
      <xdr:row>7</xdr:row>
      <xdr:rowOff>6625</xdr:rowOff>
    </xdr:to>
    <xdr:pic>
      <xdr:nvPicPr>
        <xdr:cNvPr id="11" name="Picture 10">
          <a:extLst>
            <a:ext uri="{FF2B5EF4-FFF2-40B4-BE49-F238E27FC236}">
              <a16:creationId xmlns:a16="http://schemas.microsoft.com/office/drawing/2014/main" id="{D4133413-660B-F473-F555-E165A60FD1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562" y="384311"/>
          <a:ext cx="940906" cy="921027"/>
        </a:xfrm>
        <a:prstGeom prst="rect">
          <a:avLst/>
        </a:prstGeom>
      </xdr:spPr>
    </xdr:pic>
    <xdr:clientData/>
  </xdr:twoCellAnchor>
  <xdr:twoCellAnchor>
    <xdr:from>
      <xdr:col>6</xdr:col>
      <xdr:colOff>152400</xdr:colOff>
      <xdr:row>4</xdr:row>
      <xdr:rowOff>145774</xdr:rowOff>
    </xdr:from>
    <xdr:to>
      <xdr:col>35</xdr:col>
      <xdr:colOff>159026</xdr:colOff>
      <xdr:row>6</xdr:row>
      <xdr:rowOff>6627</xdr:rowOff>
    </xdr:to>
    <xdr:sp macro="" textlink="">
      <xdr:nvSpPr>
        <xdr:cNvPr id="13" name="Rectangle 12">
          <a:extLst>
            <a:ext uri="{FF2B5EF4-FFF2-40B4-BE49-F238E27FC236}">
              <a16:creationId xmlns:a16="http://schemas.microsoft.com/office/drawing/2014/main" id="{DC4300E6-B63A-388A-60B5-6D5675B4EFE4}"/>
            </a:ext>
          </a:extLst>
        </xdr:cNvPr>
        <xdr:cNvSpPr/>
      </xdr:nvSpPr>
      <xdr:spPr>
        <a:xfrm>
          <a:off x="1305339" y="887896"/>
          <a:ext cx="5771322" cy="231914"/>
        </a:xfrm>
        <a:prstGeom prst="rect">
          <a:avLst/>
        </a:prstGeom>
        <a:solidFill>
          <a:srgbClr val="1E1E1E"/>
        </a:solidFill>
        <a:ln>
          <a:solidFill>
            <a:srgbClr val="1E1E1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PH" sz="1050" b="0" i="0" u="none" strike="noStrike">
              <a:solidFill>
                <a:schemeClr val="lt1"/>
              </a:solidFill>
              <a:effectLst/>
              <a:latin typeface="+mn-lt"/>
              <a:ea typeface="+mn-ea"/>
              <a:cs typeface="+mn-cs"/>
            </a:rPr>
            <a:t> </a:t>
          </a:r>
          <a:r>
            <a:rPr lang="en-PH" sz="1050" b="0" i="0" u="none" strike="noStrike">
              <a:solidFill>
                <a:schemeClr val="bg2">
                  <a:lumMod val="75000"/>
                </a:schemeClr>
              </a:solidFill>
              <a:effectLst/>
              <a:latin typeface="+mn-lt"/>
              <a:ea typeface="+mn-ea"/>
              <a:cs typeface="+mn-cs"/>
            </a:rPr>
            <a:t>April 2026 Matches </a:t>
          </a:r>
          <a:r>
            <a:rPr lang="en-PH" sz="1100" b="0" i="0">
              <a:solidFill>
                <a:schemeClr val="lt1"/>
              </a:solidFill>
              <a:effectLst/>
              <a:latin typeface="+mn-lt"/>
              <a:ea typeface="+mn-ea"/>
              <a:cs typeface="+mn-cs"/>
            </a:rPr>
            <a:t>· </a:t>
          </a:r>
          <a:r>
            <a:rPr lang="en-PH" sz="1100" b="0" i="0">
              <a:solidFill>
                <a:schemeClr val="bg2">
                  <a:lumMod val="75000"/>
                </a:schemeClr>
              </a:solidFill>
              <a:effectLst/>
              <a:latin typeface="+mn-lt"/>
              <a:ea typeface="+mn-ea"/>
              <a:cs typeface="+mn-cs"/>
            </a:rPr>
            <a:t>Patch 7.41b </a:t>
          </a:r>
          <a:r>
            <a:rPr lang="en-PH" sz="1050" b="0" i="0" u="none" strike="noStrike">
              <a:solidFill>
                <a:schemeClr val="bg2">
                  <a:lumMod val="75000"/>
                </a:schemeClr>
              </a:solidFill>
              <a:effectLst/>
              <a:latin typeface="+mn-lt"/>
              <a:ea typeface="+mn-ea"/>
              <a:cs typeface="+mn-cs"/>
            </a:rPr>
            <a:t>· Hero Performance · Team Stats · Player Insights</a:t>
          </a:r>
          <a:r>
            <a:rPr lang="en-PH" sz="1050">
              <a:solidFill>
                <a:schemeClr val="bg2">
                  <a:lumMod val="75000"/>
                </a:schemeClr>
              </a:solidFill>
              <a:effectLst/>
            </a:rPr>
            <a:t> </a:t>
          </a:r>
          <a:endParaRPr lang="en-PH" sz="1050">
            <a:solidFill>
              <a:schemeClr val="bg2">
                <a:lumMod val="75000"/>
              </a:schemeClr>
            </a:solidFill>
          </a:endParaRPr>
        </a:p>
      </xdr:txBody>
    </xdr:sp>
    <xdr:clientData/>
  </xdr:twoCellAnchor>
  <xdr:twoCellAnchor editAs="oneCell">
    <xdr:from>
      <xdr:col>48</xdr:col>
      <xdr:colOff>44742</xdr:colOff>
      <xdr:row>0</xdr:row>
      <xdr:rowOff>0</xdr:rowOff>
    </xdr:from>
    <xdr:to>
      <xdr:col>65</xdr:col>
      <xdr:colOff>24857</xdr:colOff>
      <xdr:row>6</xdr:row>
      <xdr:rowOff>169593</xdr:rowOff>
    </xdr:to>
    <xdr:pic>
      <xdr:nvPicPr>
        <xdr:cNvPr id="15" name="Picture 14">
          <a:extLst>
            <a:ext uri="{FF2B5EF4-FFF2-40B4-BE49-F238E27FC236}">
              <a16:creationId xmlns:a16="http://schemas.microsoft.com/office/drawing/2014/main" id="{F3AEA298-EF02-865F-31AD-7F5188BD651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44103"/>
        <a:stretch>
          <a:fillRect/>
        </a:stretch>
      </xdr:blipFill>
      <xdr:spPr>
        <a:xfrm>
          <a:off x="9296636" y="0"/>
          <a:ext cx="3189957" cy="1262018"/>
        </a:xfrm>
        <a:prstGeom prst="rect">
          <a:avLst/>
        </a:prstGeom>
      </xdr:spPr>
    </xdr:pic>
    <xdr:clientData/>
  </xdr:twoCellAnchor>
  <xdr:twoCellAnchor>
    <xdr:from>
      <xdr:col>1</xdr:col>
      <xdr:colOff>183874</xdr:colOff>
      <xdr:row>20</xdr:row>
      <xdr:rowOff>0</xdr:rowOff>
    </xdr:from>
    <xdr:to>
      <xdr:col>32</xdr:col>
      <xdr:colOff>0</xdr:colOff>
      <xdr:row>35</xdr:row>
      <xdr:rowOff>1044</xdr:rowOff>
    </xdr:to>
    <xdr:graphicFrame macro="">
      <xdr:nvGraphicFramePr>
        <xdr:cNvPr id="3" name="Chart 2">
          <a:extLst>
            <a:ext uri="{FF2B5EF4-FFF2-40B4-BE49-F238E27FC236}">
              <a16:creationId xmlns:a16="http://schemas.microsoft.com/office/drawing/2014/main" id="{0D95AE77-8C6F-44DC-B05B-6A9403A75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134311</xdr:colOff>
      <xdr:row>30</xdr:row>
      <xdr:rowOff>135043</xdr:rowOff>
    </xdr:from>
    <xdr:to>
      <xdr:col>31</xdr:col>
      <xdr:colOff>81521</xdr:colOff>
      <xdr:row>33</xdr:row>
      <xdr:rowOff>163021</xdr:rowOff>
    </xdr:to>
    <mc:AlternateContent xmlns:mc="http://schemas.openxmlformats.org/markup-compatibility/2006" xmlns:a14="http://schemas.microsoft.com/office/drawing/2010/main">
      <mc:Choice Requires="a14">
        <xdr:graphicFrame macro="">
          <xdr:nvGraphicFramePr>
            <xdr:cNvPr id="4" name="role_name 1">
              <a:extLst>
                <a:ext uri="{FF2B5EF4-FFF2-40B4-BE49-F238E27FC236}">
                  <a16:creationId xmlns:a16="http://schemas.microsoft.com/office/drawing/2014/main" id="{BF787311-D5EF-469F-A6CC-1ADA30FA5195}"/>
                </a:ext>
              </a:extLst>
            </xdr:cNvPr>
            <xdr:cNvGraphicFramePr/>
          </xdr:nvGraphicFramePr>
          <xdr:xfrm>
            <a:off x="0" y="0"/>
            <a:ext cx="0" cy="0"/>
          </xdr:xfrm>
          <a:graphic>
            <a:graphicData uri="http://schemas.microsoft.com/office/drawing/2010/slicer">
              <sle:slicer xmlns:sle="http://schemas.microsoft.com/office/drawing/2010/slicer" name="role_name 1"/>
            </a:graphicData>
          </a:graphic>
        </xdr:graphicFrame>
      </mc:Choice>
      <mc:Fallback xmlns="">
        <xdr:sp macro="" textlink="">
          <xdr:nvSpPr>
            <xdr:cNvPr id="0" name=""/>
            <xdr:cNvSpPr>
              <a:spLocks noTextEdit="1"/>
            </xdr:cNvSpPr>
          </xdr:nvSpPr>
          <xdr:spPr>
            <a:xfrm>
              <a:off x="4410842" y="5406839"/>
              <a:ext cx="1696699" cy="58781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358</xdr:colOff>
      <xdr:row>19</xdr:row>
      <xdr:rowOff>4567</xdr:rowOff>
    </xdr:from>
    <xdr:to>
      <xdr:col>62</xdr:col>
      <xdr:colOff>168584</xdr:colOff>
      <xdr:row>35</xdr:row>
      <xdr:rowOff>1</xdr:rowOff>
    </xdr:to>
    <xdr:graphicFrame macro="">
      <xdr:nvGraphicFramePr>
        <xdr:cNvPr id="5" name="Chart 4">
          <a:extLst>
            <a:ext uri="{FF2B5EF4-FFF2-40B4-BE49-F238E27FC236}">
              <a16:creationId xmlns:a16="http://schemas.microsoft.com/office/drawing/2014/main" id="{72B0540C-B79A-4957-8EEF-BE9DEF698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1246</xdr:colOff>
      <xdr:row>56</xdr:row>
      <xdr:rowOff>0</xdr:rowOff>
    </xdr:from>
    <xdr:to>
      <xdr:col>62</xdr:col>
      <xdr:colOff>165252</xdr:colOff>
      <xdr:row>70</xdr:row>
      <xdr:rowOff>9027</xdr:rowOff>
    </xdr:to>
    <xdr:graphicFrame macro="">
      <xdr:nvGraphicFramePr>
        <xdr:cNvPr id="2" name="Chart 1">
          <a:extLst>
            <a:ext uri="{FF2B5EF4-FFF2-40B4-BE49-F238E27FC236}">
              <a16:creationId xmlns:a16="http://schemas.microsoft.com/office/drawing/2014/main" id="{F13C3754-3DA0-417D-93CD-4DEE129A5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457200</xdr:colOff>
      <xdr:row>2</xdr:row>
      <xdr:rowOff>76200</xdr:rowOff>
    </xdr:from>
    <xdr:to>
      <xdr:col>12</xdr:col>
      <xdr:colOff>152400</xdr:colOff>
      <xdr:row>17</xdr:row>
      <xdr:rowOff>76200</xdr:rowOff>
    </xdr:to>
    <xdr:graphicFrame macro="">
      <xdr:nvGraphicFramePr>
        <xdr:cNvPr id="2" name="Chart 1">
          <a:extLst>
            <a:ext uri="{FF2B5EF4-FFF2-40B4-BE49-F238E27FC236}">
              <a16:creationId xmlns:a16="http://schemas.microsoft.com/office/drawing/2014/main" id="{D5B17403-06B6-F6AD-754A-2813DA41B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251460</xdr:colOff>
      <xdr:row>2</xdr:row>
      <xdr:rowOff>45720</xdr:rowOff>
    </xdr:from>
    <xdr:to>
      <xdr:col>11</xdr:col>
      <xdr:colOff>556260</xdr:colOff>
      <xdr:row>17</xdr:row>
      <xdr:rowOff>45720</xdr:rowOff>
    </xdr:to>
    <xdr:graphicFrame macro="">
      <xdr:nvGraphicFramePr>
        <xdr:cNvPr id="3" name="Chart 2">
          <a:extLst>
            <a:ext uri="{FF2B5EF4-FFF2-40B4-BE49-F238E27FC236}">
              <a16:creationId xmlns:a16="http://schemas.microsoft.com/office/drawing/2014/main" id="{1A99327F-5813-612A-2713-6CDDE7E9C1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32478</xdr:colOff>
      <xdr:row>4</xdr:row>
      <xdr:rowOff>142559</xdr:rowOff>
    </xdr:from>
    <xdr:to>
      <xdr:col>14</xdr:col>
      <xdr:colOff>32478</xdr:colOff>
      <xdr:row>8</xdr:row>
      <xdr:rowOff>26187</xdr:rowOff>
    </xdr:to>
    <mc:AlternateContent xmlns:mc="http://schemas.openxmlformats.org/markup-compatibility/2006" xmlns:a14="http://schemas.microsoft.com/office/drawing/2010/main">
      <mc:Choice Requires="a14">
        <xdr:graphicFrame macro="">
          <xdr:nvGraphicFramePr>
            <xdr:cNvPr id="4" name="role_name">
              <a:extLst>
                <a:ext uri="{FF2B5EF4-FFF2-40B4-BE49-F238E27FC236}">
                  <a16:creationId xmlns:a16="http://schemas.microsoft.com/office/drawing/2014/main" id="{216BDEBE-0327-BE84-36FB-EA54E641B4DA}"/>
                </a:ext>
              </a:extLst>
            </xdr:cNvPr>
            <xdr:cNvGraphicFramePr/>
          </xdr:nvGraphicFramePr>
          <xdr:xfrm>
            <a:off x="0" y="0"/>
            <a:ext cx="0" cy="0"/>
          </xdr:xfrm>
          <a:graphic>
            <a:graphicData uri="http://schemas.microsoft.com/office/drawing/2010/slicer">
              <sle:slicer xmlns:sle="http://schemas.microsoft.com/office/drawing/2010/slicer" name="role_name"/>
            </a:graphicData>
          </a:graphic>
        </xdr:graphicFrame>
      </mc:Choice>
      <mc:Fallback xmlns="">
        <xdr:sp macro="" textlink="">
          <xdr:nvSpPr>
            <xdr:cNvPr id="0" name=""/>
            <xdr:cNvSpPr>
              <a:spLocks noTextEdit="1"/>
            </xdr:cNvSpPr>
          </xdr:nvSpPr>
          <xdr:spPr>
            <a:xfrm>
              <a:off x="7282575" y="882365"/>
              <a:ext cx="1819922" cy="62343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312420</xdr:colOff>
      <xdr:row>3</xdr:row>
      <xdr:rowOff>45720</xdr:rowOff>
    </xdr:from>
    <xdr:to>
      <xdr:col>11</xdr:col>
      <xdr:colOff>7620</xdr:colOff>
      <xdr:row>18</xdr:row>
      <xdr:rowOff>45720</xdr:rowOff>
    </xdr:to>
    <xdr:graphicFrame macro="">
      <xdr:nvGraphicFramePr>
        <xdr:cNvPr id="3" name="Chart 2">
          <a:extLst>
            <a:ext uri="{FF2B5EF4-FFF2-40B4-BE49-F238E27FC236}">
              <a16:creationId xmlns:a16="http://schemas.microsoft.com/office/drawing/2014/main" id="{7FC6CF15-6676-4BCE-C804-097BC958F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Foh Twitch" refreshedDate="46194.886408796294" createdVersion="8" refreshedVersion="8" minRefreshableVersion="3" recordCount="540" xr:uid="{0C5DB209-A11B-4CB2-97B0-0F722C2EEC11}">
  <cacheSource type="worksheet">
    <worksheetSource ref="A1:G541" sheet="hero_lane_summary"/>
  </cacheSource>
  <cacheFields count="7">
    <cacheField name="hero_name" numFmtId="0">
      <sharedItems count="127">
        <s v="Abaddon"/>
        <s v="Alchemist"/>
        <s v="Ancient Apparition"/>
        <s v="Anti-Mage"/>
        <s v="Arc Warden"/>
        <s v="Axe"/>
        <s v="Bane"/>
        <s v="Batrider"/>
        <s v="Beastmaster"/>
        <s v="Bloodseeker"/>
        <s v="Bounty Hunter"/>
        <s v="Brewmaster"/>
        <s v="Bristleback"/>
        <s v="Broodmother"/>
        <s v="Centaur Warrunner"/>
        <s v="Chaos Knight"/>
        <s v="Chen"/>
        <s v="Clinkz"/>
        <s v="Clockwerk"/>
        <s v="Crystal Maiden"/>
        <s v="Dark Seer"/>
        <s v="Dark Willow"/>
        <s v="Dawnbreaker"/>
        <s v="Dazzle"/>
        <s v="Death Prophet"/>
        <s v="Disruptor"/>
        <s v="Doom"/>
        <s v="Dragon Knight"/>
        <s v="Drow Ranger"/>
        <s v="Earth Spirit"/>
        <s v="Earthshaker"/>
        <s v="Elder Titan"/>
        <s v="Ember Spirit"/>
        <s v="Enchantress"/>
        <s v="Enigma"/>
        <s v="Faceless Void"/>
        <s v="Grimstroke"/>
        <s v="Gyrocopter"/>
        <s v="Hoodwink"/>
        <s v="Huskar"/>
        <s v="Invoker"/>
        <s v="Io"/>
        <s v="Jakiro"/>
        <s v="Juggernaut"/>
        <s v="Keeper of the Light"/>
        <s v="Kez"/>
        <s v="Kunkka"/>
        <s v="Largo"/>
        <s v="Legion Commander"/>
        <s v="Leshrac"/>
        <s v="Lich"/>
        <s v="Lifestealer"/>
        <s v="Lina"/>
        <s v="Lion"/>
        <s v="Lone Druid"/>
        <s v="Luna"/>
        <s v="Lycan"/>
        <s v="Magnus"/>
        <s v="Marci"/>
        <s v="Mars"/>
        <s v="Medusa"/>
        <s v="Meepo"/>
        <s v="Mirana"/>
        <s v="Monkey King"/>
        <s v="Morphling"/>
        <s v="Muerta"/>
        <s v="Naga Siren"/>
        <s v="Nature's Prophet"/>
        <s v="Necrophos"/>
        <s v="Night Stalker"/>
        <s v="Nyx Assassin"/>
        <s v="Ogre Magi"/>
        <s v="Omniknight"/>
        <s v="Oracle"/>
        <s v="Outworld Destroyer"/>
        <s v="Pangolier"/>
        <s v="Phantom Assassin"/>
        <s v="Phantom Lancer"/>
        <s v="Phoenix"/>
        <s v="Primal Beast"/>
        <s v="Puck"/>
        <s v="Pudge"/>
        <s v="Pugna"/>
        <s v="Queen of Pain"/>
        <s v="Razor"/>
        <s v="Riki"/>
        <s v="Ringmaster"/>
        <s v="Rubick"/>
        <s v="Sand King"/>
        <s v="Shadow Demon"/>
        <s v="Shadow Fiend"/>
        <s v="Shadow Shaman"/>
        <s v="Silencer"/>
        <s v="Skywrath Mage"/>
        <s v="Slardar"/>
        <s v="Slark"/>
        <s v="Snapfire"/>
        <s v="Sniper"/>
        <s v="Spectre"/>
        <s v="Spirit Breaker"/>
        <s v="Storm Spirit"/>
        <s v="Sven"/>
        <s v="Techies"/>
        <s v="Templar Assassin"/>
        <s v="Terrorblade"/>
        <s v="Tidehunter"/>
        <s v="Timbersaw"/>
        <s v="Tinker"/>
        <s v="Tiny"/>
        <s v="Treant Protector"/>
        <s v="Troll Warlord"/>
        <s v="Tusk"/>
        <s v="Underlord"/>
        <s v="Undying"/>
        <s v="Ursa"/>
        <s v="Vengeful Spirit"/>
        <s v="Venomancer"/>
        <s v="Viper"/>
        <s v="Visage"/>
        <s v="Void Spirit"/>
        <s v="Warlock"/>
        <s v="Weaver"/>
        <s v="Windranger"/>
        <s v="Winter Wyvern"/>
        <s v="Witch Doctor"/>
        <s v="Wraith King"/>
        <s v="Zeus"/>
      </sharedItems>
    </cacheField>
    <cacheField name="role_name" numFmtId="0">
      <sharedItems count="6">
        <s v="Carry"/>
        <s v="Off Lane"/>
        <s v="Hard Support"/>
        <s v="Soft Support"/>
        <s v="Mid"/>
        <s v="Roam"/>
      </sharedItems>
    </cacheField>
    <cacheField name="times_picked" numFmtId="0">
      <sharedItems containsSemiMixedTypes="0" containsString="0" containsNumber="1" containsInteger="1" minValue="1" maxValue="547"/>
    </cacheField>
    <cacheField name="times_won" numFmtId="0">
      <sharedItems containsSemiMixedTypes="0" containsString="0" containsNumber="1" containsInteger="1" minValue="0" maxValue="254"/>
    </cacheField>
    <cacheField name="win_rate" numFmtId="164">
      <sharedItems containsSemiMixedTypes="0" containsString="0" containsNumber="1" minValue="0" maxValue="1" count="221">
        <n v="0.29166666666666669"/>
        <n v="0.33333333333333331"/>
        <n v="0.66666666666666663"/>
        <n v="0.625"/>
        <n v="0.51012145748987858"/>
        <n v="0.5"/>
        <n v="0.5714285714285714"/>
        <n v="1"/>
        <n v="0.48484848484848486"/>
        <n v="0.36"/>
        <n v="0.5423728813559322"/>
        <n v="0.27272727272727271"/>
        <n v="0.61538461538461542"/>
        <n v="0.48039215686274511"/>
        <n v="0.42857142857142855"/>
        <n v="0.68181818181818177"/>
        <n v="0.6"/>
        <n v="0.63694267515923564"/>
        <n v="0.52380952380952384"/>
        <n v="0.35294117647058826"/>
        <n v="0.5357142857142857"/>
        <n v="0.6428571428571429"/>
        <n v="0.49382716049382713"/>
        <n v="0.47682119205298013"/>
        <n v="0.51886792452830188"/>
        <n v="0.4"/>
        <n v="0.75"/>
        <n v="0"/>
        <n v="0.42342342342342343"/>
        <n v="0.47572815533980584"/>
        <n v="0.3888888888888889"/>
        <n v="0.72727272727272729"/>
        <n v="0.21428571428571427"/>
        <n v="0.46666666666666667"/>
        <n v="0.2"/>
        <n v="0.43137254901960786"/>
        <n v="0.52941176470588236"/>
        <n v="0.58695652173913049"/>
        <n v="0.51485148514851486"/>
        <n v="0.47368421052631576"/>
        <n v="0.59701492537313428"/>
        <n v="0.55454545454545456"/>
        <n v="0.49295774647887325"/>
        <n v="0.63636363636363635"/>
        <n v="0.35714285714285715"/>
        <n v="0.28333333333333333"/>
        <n v="0.43478260869565216"/>
        <n v="0.55555555555555558"/>
        <n v="0.51948051948051943"/>
        <n v="0.2857142857142857"/>
        <n v="0.4358974358974359"/>
        <n v="0.46153846153846156"/>
        <n v="0.59090909090909094"/>
        <n v="0.52173913043478259"/>
        <n v="0.4563758389261745"/>
        <n v="0.46296296296296297"/>
        <n v="0.46511627906976744"/>
        <n v="0.54761904761904767"/>
        <n v="0.51923076923076927"/>
        <n v="0.47058823529411764"/>
        <n v="0.53846153846153844"/>
        <n v="0.73076923076923073"/>
        <n v="0.45454545454545453"/>
        <n v="0.38095238095238093"/>
        <n v="0.375"/>
        <n v="0.25"/>
        <n v="0.49354005167958659"/>
        <n v="0.36363636363636365"/>
        <n v="0.44927536231884058"/>
        <n v="0.532258064516129"/>
        <n v="0.56321839080459768"/>
        <n v="0.58333333333333337"/>
        <n v="0.5036496350364964"/>
        <n v="0.16666666666666666"/>
        <n v="0.49056603773584906"/>
        <n v="0.38235294117647056"/>
        <n v="0.48062015503875971"/>
        <n v="0.50423728813559321"/>
        <n v="0.5467625899280576"/>
        <n v="0.54088050314465408"/>
        <n v="0.60606060606060608"/>
        <n v="0.46"/>
        <n v="0.54411764705882348"/>
        <n v="0.56666666666666665"/>
        <n v="0.51442307692307687"/>
        <n v="0.50877192982456143"/>
        <n v="0.57608695652173914"/>
        <n v="0.52631578947368418"/>
        <n v="0.73333333333333328"/>
        <n v="0.58260869565217388"/>
        <n v="0.56896551724137934"/>
        <n v="0.54430379746835444"/>
        <n v="0.55000000000000004"/>
        <n v="0.6875"/>
        <n v="0.1111111111111111"/>
        <n v="0.52577319587628868"/>
        <n v="0.52112676056338025"/>
        <n v="0.45185185185185184"/>
        <n v="0.48805460750853241"/>
        <n v="0.7"/>
        <n v="0.3"/>
        <n v="0.47843137254901963"/>
        <n v="0.47619047619047616"/>
        <n v="0.38461538461538464"/>
        <n v="0.53658536585365857"/>
        <n v="0.7142857142857143"/>
        <n v="0.65094339622641506"/>
        <n v="0.5625"/>
        <n v="0.52"/>
        <n v="0.51428571428571423"/>
        <n v="0.45"/>
        <n v="0.39130434782608697"/>
        <n v="0.23529411764705882"/>
        <n v="0.45323741007194246"/>
        <n v="0.4098360655737705"/>
        <n v="0.32500000000000001"/>
        <n v="0.47826086956521741"/>
        <n v="0.69230769230769229"/>
        <n v="0.52873563218390807"/>
        <n v="0.58015267175572516"/>
        <n v="0.4375"/>
        <n v="0.50902527075812276"/>
        <n v="0.6333333333333333"/>
        <n v="0.3783783783783784"/>
        <n v="0.54545454545454541"/>
        <n v="0.49230769230769234"/>
        <n v="0.62962962962962965"/>
        <n v="0.6071428571428571"/>
        <n v="0.55882352941176472"/>
        <n v="0.50847457627118642"/>
        <n v="0.59756097560975607"/>
        <n v="0.44966442953020136"/>
        <n v="0.53521126760563376"/>
        <n v="0.53333333333333333"/>
        <n v="0.61904761904761907"/>
        <n v="0.42105263157894735"/>
        <n v="0.51155115511551152"/>
        <n v="0.54925373134328359"/>
        <n v="0.40625"/>
        <n v="0.45098039215686275"/>
        <n v="0.73195876288659789"/>
        <n v="0.48809523809523808"/>
        <n v="0.56953642384105962"/>
        <n v="0.6588235294117647"/>
        <n v="0.47191011235955055"/>
        <n v="0.48148148148148145"/>
        <n v="0.56776556776556775"/>
        <n v="0.53246753246753242"/>
        <n v="0.47272727272727272"/>
        <n v="0.4107142857142857"/>
        <n v="0.81818181818181823"/>
        <n v="0.39436619718309857"/>
        <n v="0.7857142857142857"/>
        <n v="0.50456621004566216"/>
        <n v="0.14285714285714285"/>
        <n v="0.35227272727272729"/>
        <n v="0.4642857142857143"/>
        <n v="0.41176470588235292"/>
        <n v="0.47706422018348627"/>
        <n v="0.4247787610619469"/>
        <n v="0.46938775510204084"/>
        <n v="0.50322580645161286"/>
        <n v="0.49377593360995853"/>
        <n v="0.60317460317460314"/>
        <n v="0.49624060150375937"/>
        <n v="0.40845070422535212"/>
        <n v="0.48"/>
        <n v="0.39473684210526316"/>
        <n v="0.47183098591549294"/>
        <n v="0.4580152671755725"/>
        <n v="0.44385026737967914"/>
        <n v="0.4891304347826087"/>
        <n v="0.51572327044025157"/>
        <n v="0.51724137931034486"/>
        <n v="0.39175257731958762"/>
        <n v="0.72222222222222221"/>
        <n v="0.51470588235294112"/>
        <n v="0.4567901234567901"/>
        <n v="0.56774193548387097"/>
        <n v="0.53"/>
        <n v="0.50331125827814571"/>
        <n v="0.484375"/>
        <n v="0.65714285714285714"/>
        <n v="0.60784313725490191"/>
        <n v="0.47204968944099379"/>
        <n v="0.48314606741573035"/>
        <n v="0.54838709677419351"/>
        <n v="0.34426229508196721"/>
        <n v="0.8"/>
        <n v="0.50871080139372826"/>
        <n v="0.49206349206349204"/>
        <n v="0.53153153153153154"/>
        <n v="0.46875"/>
        <n v="0.46486486486486489"/>
        <n v="0.5490196078431373"/>
        <n v="0.58783783783783783"/>
        <n v="0.46435100548446068"/>
        <n v="0.44736842105263158"/>
        <n v="0.53103448275862064"/>
        <n v="0.5757575757575758"/>
        <n v="0.4861111111111111"/>
        <n v="0.52508361204013376"/>
        <n v="0.55970149253731338"/>
        <n v="0.44493392070484583"/>
        <n v="0.22222222222222221"/>
        <n v="0.48113207547169812"/>
        <n v="0.41095890410958902"/>
        <n v="0.52023121387283233"/>
        <n v="0.34883720930232559"/>
        <n v="0.59615384615384615"/>
        <n v="0.5078125"/>
        <n v="0.39933993399339934"/>
        <n v="0.47499999999999998"/>
        <n v="0.77777777777777779"/>
        <n v="0.56000000000000005"/>
        <n v="0.41666666666666669"/>
        <n v="0.38"/>
        <n v="0.46031746031746029"/>
        <n v="0.55769230769230771"/>
        <n v="0.52542372881355937"/>
        <n v="0.46341463414634149"/>
      </sharedItems>
    </cacheField>
    <cacheField name="qualify" numFmtId="0">
      <sharedItems/>
    </cacheField>
    <cacheField name="lane_rank" numFmtId="0">
      <sharedItems containsMixedTypes="1" containsNumber="1" containsInteger="1" minValue="1" maxValue="41"/>
    </cacheField>
  </cacheFields>
  <extLst>
    <ext xmlns:x14="http://schemas.microsoft.com/office/spreadsheetml/2009/9/main" uri="{725AE2AE-9491-48be-B2B4-4EB974FC3084}">
      <x14:pivotCacheDefinition pivotCacheId="17679697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Foh Twitch" refreshedDate="46195.828576157408" createdVersion="8" refreshedVersion="8" minRefreshableVersion="3" recordCount="127" xr:uid="{240ED76B-DBEA-45BC-9E47-753499ED15ED}">
  <cacheSource type="worksheet">
    <worksheetSource ref="A1:I128" sheet="hero_summary"/>
  </cacheSource>
  <cacheFields count="9">
    <cacheField name="hero_name" numFmtId="0">
      <sharedItems count="127">
        <s v="Abaddon"/>
        <s v="Alchemist"/>
        <s v="Ancient Apparition"/>
        <s v="Anti-Mage"/>
        <s v="Arc Warden"/>
        <s v="Axe"/>
        <s v="Bane"/>
        <s v="Batrider"/>
        <s v="Beastmaster"/>
        <s v="Bloodseeker"/>
        <s v="Bounty Hunter"/>
        <s v="Brewmaster"/>
        <s v="Bristleback"/>
        <s v="Broodmother"/>
        <s v="Centaur Warrunner"/>
        <s v="Chaos Knight"/>
        <s v="Chen"/>
        <s v="Clinkz"/>
        <s v="Clockwerk"/>
        <s v="Crystal Maiden"/>
        <s v="Dark Seer"/>
        <s v="Dark Willow"/>
        <s v="Dawnbreaker"/>
        <s v="Dazzle"/>
        <s v="Death Prophet"/>
        <s v="Disruptor"/>
        <s v="Doom"/>
        <s v="Dragon Knight"/>
        <s v="Drow Ranger"/>
        <s v="Earth Spirit"/>
        <s v="Earthshaker"/>
        <s v="Elder Titan"/>
        <s v="Ember Spirit"/>
        <s v="Enchantress"/>
        <s v="Enigma"/>
        <s v="Faceless Void"/>
        <s v="Grimstroke"/>
        <s v="Gyrocopter"/>
        <s v="Hoodwink"/>
        <s v="Huskar"/>
        <s v="Invoker"/>
        <s v="Io"/>
        <s v="Jakiro"/>
        <s v="Juggernaut"/>
        <s v="Keeper of the Light"/>
        <s v="Kez"/>
        <s v="Kunkka"/>
        <s v="Largo"/>
        <s v="Legion Commander"/>
        <s v="Leshrac"/>
        <s v="Lich"/>
        <s v="Lifestealer"/>
        <s v="Lina"/>
        <s v="Lion"/>
        <s v="Lone Druid"/>
        <s v="Luna"/>
        <s v="Lycan"/>
        <s v="Magnus"/>
        <s v="Marci"/>
        <s v="Mars"/>
        <s v="Medusa"/>
        <s v="Meepo"/>
        <s v="Mirana"/>
        <s v="Monkey King"/>
        <s v="Morphling"/>
        <s v="Muerta"/>
        <s v="Naga Siren"/>
        <s v="Nature's Prophet"/>
        <s v="Necrophos"/>
        <s v="Night Stalker"/>
        <s v="Nyx Assassin"/>
        <s v="Ogre Magi"/>
        <s v="Omniknight"/>
        <s v="Oracle"/>
        <s v="Outworld Destroyer"/>
        <s v="Pangolier"/>
        <s v="Phantom Assassin"/>
        <s v="Phantom Lancer"/>
        <s v="Phoenix"/>
        <s v="Primal Beast"/>
        <s v="Puck"/>
        <s v="Pudge"/>
        <s v="Pugna"/>
        <s v="Queen of Pain"/>
        <s v="Razor"/>
        <s v="Riki"/>
        <s v="Ringmaster"/>
        <s v="Rubick"/>
        <s v="Sand King"/>
        <s v="Shadow Demon"/>
        <s v="Shadow Fiend"/>
        <s v="Shadow Shaman"/>
        <s v="Silencer"/>
        <s v="Skywrath Mage"/>
        <s v="Slardar"/>
        <s v="Slark"/>
        <s v="Snapfire"/>
        <s v="Sniper"/>
        <s v="Spectre"/>
        <s v="Spirit Breaker"/>
        <s v="Storm Spirit"/>
        <s v="Sven"/>
        <s v="Techies"/>
        <s v="Templar Assassin"/>
        <s v="Terrorblade"/>
        <s v="Tidehunter"/>
        <s v="Timbersaw"/>
        <s v="Tinker"/>
        <s v="Tiny"/>
        <s v="Treant Protector"/>
        <s v="Troll Warlord"/>
        <s v="Tusk"/>
        <s v="Underlord"/>
        <s v="Undying"/>
        <s v="Ursa"/>
        <s v="Vengeful Spirit"/>
        <s v="Venomancer"/>
        <s v="Viper"/>
        <s v="Visage"/>
        <s v="Void Spirit"/>
        <s v="Warlock"/>
        <s v="Weaver"/>
        <s v="Windranger"/>
        <s v="Winter Wyvern"/>
        <s v="Witch Doctor"/>
        <s v="Wraith King"/>
        <s v="Zeus"/>
      </sharedItems>
    </cacheField>
    <cacheField name="times_picked" numFmtId="0">
      <sharedItems containsSemiMixedTypes="0" containsString="0" containsNumber="1" containsInteger="1" minValue="13" maxValue="1065"/>
    </cacheField>
    <cacheField name="times_banned" numFmtId="0">
      <sharedItems containsSemiMixedTypes="0" containsString="0" containsNumber="1" containsInteger="1" minValue="7" maxValue="1455"/>
    </cacheField>
    <cacheField name="pick_rate" numFmtId="164">
      <sharedItems containsSemiMixedTypes="0" containsString="0" containsNumber="1" minValue="2.6073004412354591E-3" maxValue="0.21359807460890493"/>
    </cacheField>
    <cacheField name="ban_rate" numFmtId="164">
      <sharedItems containsSemiMixedTypes="0" containsString="0" containsNumber="1" minValue="1.4039310068190934E-3" maxValue="0.29181708784596871"/>
    </cacheField>
    <cacheField name="times_won" numFmtId="0">
      <sharedItems containsSemiMixedTypes="0" containsString="0" containsNumber="1" containsInteger="1" minValue="4" maxValue="547"/>
    </cacheField>
    <cacheField name="win_rate" numFmtId="164">
      <sharedItems containsSemiMixedTypes="0" containsString="0" containsNumber="1" minValue="0.25" maxValue="0.65625"/>
    </cacheField>
    <cacheField name="score" numFmtId="2">
      <sharedItems containsSemiMixedTypes="0" containsString="0" containsNumber="1" minValue="0.12615322904131568" maxValue="0.38063802847260586"/>
    </cacheField>
    <cacheField name="tier"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Foh Twitch" refreshedDate="46204.873424537036" createdVersion="8" refreshedVersion="8" minRefreshableVersion="3" recordCount="260" xr:uid="{C2066311-7D8B-4273-8D4F-8246CB2F30E1}">
  <cacheSource type="worksheet">
    <worksheetSource ref="A1:E261" sheet="team_summary"/>
  </cacheSource>
  <cacheFields count="5">
    <cacheField name="team_name" numFmtId="0">
      <sharedItems containsMixedTypes="1" containsNumber="1" containsInteger="1" minValue="22312" maxValue="22312" count="256">
        <s v="rostov radost"/>
        <s v="Prime Time"/>
        <s v="Enjoy"/>
        <s v="fp anti-mage"/>
        <s v="Ð¿Ð¾Ð²ÐµÑ€ Ñ€ÐµÐ½Ð´Ð¶ÐµÑ€Ñ"/>
        <s v="TEAM TpaBoMaH"/>
        <s v="VMYASO TEAM"/>
        <s v="BOCEMHAXA"/>
        <s v="OnlyGuapos"/>
        <s v="Acatsuki"/>
        <s v="EHOME SA"/>
        <s v="BIZCOCHOS KARIM"/>
        <s v="LAVA SPORTS"/>
        <s v="xd"/>
        <s v="MightyGods"/>
        <s v="GachiGang"/>
        <s v="Greyhound Team"/>
        <s v="Bayou Bloodseekers"/>
        <s v="OwNing ProS DaiLy"/>
        <s v="InterActive Philippines"/>
        <s v="Barrancobar"/>
        <s v="PARIVISION"/>
        <s v="REKONIX"/>
        <s v="Ð”Ð¾ÑÑ€Ð¾Ñ‡Ð½Ð°Ñ ÑÐ´Ð°Ñ‡Ð° (1 ÑÑ‚Ð°Ð¶)"/>
        <s v="Pattern Hunters"/>
        <s v="Xtreme Gaming"/>
        <s v="Ð³Ð°Ð½Ð´Ð¾Ð¾Ð¾Ð½Ñ‹ Ð´Ð°Ð°Ð°Ð²Ð°Ð¹"/>
        <s v="Jetpack Team"/>
        <s v="ShIShUlI"/>
        <s v="if six was nine team"/>
        <s v="kijeyka"/>
        <s v="Infamous Gaming"/>
        <s v="Eoka"/>
        <s v="ToLight"/>
        <s v="KINGSURF"/>
        <s v="Not"/>
        <s v="Panda5"/>
        <s v="F-150"/>
        <s v="Meta Strikers"/>
        <s v="Ð–Ð¸Ñ€Ð½Ñ‹Ðµ Ð”ÐµÑ‚Ð¸ Ð² Ð”ÐµÐ¿Ñ€ÐµÑÑÐ¸Ð¸"/>
        <n v="22312"/>
        <s v="Raidd Boss"/>
        <s v="La Passion"/>
        <s v="Nigma Galaxy"/>
        <s v="L1GA TEAM"/>
        <s v="Team Antares"/>
        <s v="GLYPH"/>
        <s v="Fortnite"/>
        <s v="loodowolfs"/>
        <s v="Team Nemesis"/>
        <s v="BetBoom Team"/>
        <s v="Breeki Cheeki"/>
        <s v="SouthAmericaRejects"/>
        <s v="MODUS"/>
        <s v="_PowerRangers"/>
        <s v="Neon Knights"/>
        <s v="BloodyRose"/>
        <s v="Yellow Submarine"/>
        <s v="52turbo"/>
        <s v="Clown Crew"/>
        <s v="GamerLegion"/>
        <s v="EARTH GAMING"/>
        <s v="Carstensz Esports"/>
        <s v="Team Lynx"/>
        <s v="Wild Dragon"/>
        <s v="KukuysV2"/>
        <s v="FLYING FORTUNE"/>
        <s v="Vodka"/>
        <s v="Aegis Americana"/>
        <s v="Zetta Games"/>
        <s v="Vector Velocity"/>
        <s v="Los Jinetes"/>
        <s v="Team Falcons"/>
        <s v="SHAPITO"/>
        <s v="Gold Aleksa"/>
        <s v="Zero Tenacity"/>
        <s v="LV United"/>
        <s v="Nemiga Gaming"/>
        <s v="CrimsonSky"/>
        <s v="Teiko"/>
        <s v="Lunar Vibes"/>
        <s v="DARKNESS GAMING"/>
        <s v="1w Team"/>
        <s v="PlayTime"/>
        <s v="Dark Rebellion"/>
        <s v="Team Liquid"/>
        <s v="Team Spirit Academy"/>
        <s v="FALL VICTIMS"/>
        <s v="Yakult Brothers"/>
        <s v="GIOR DOTA"/>
        <s v="Team Resilience"/>
        <s v="Ð¼Ð¸Ð½Ð¸Ð±Ð°Ñ€ÑÐ°"/>
        <s v="Nethercore"/>
        <s v="Kiba Arms"/>
        <s v="HEROIC"/>
        <s v="BIZ GAMING"/>
        <s v="LSG"/>
        <s v="Night Vision"/>
        <s v="Titan Strikers"/>
        <s v="VERTEX PACK"/>
        <s v="Roar"/>
        <s v="Ilbirs Esports"/>
        <s v="The Bug"/>
        <s v="Agressiv Style"/>
        <s v="team popov+4"/>
        <s v="Elite Eclipse"/>
        <s v="Night Force"/>
        <s v="Rune Eaters"/>
        <s v="Eye Gaming"/>
        <s v="Nova Pulse"/>
        <s v="Riftwalkers"/>
        <s v="Air Defence"/>
        <s v="PYPSIKI"/>
        <s v="Mideng dreamer"/>
        <s v="Winter Squadron"/>
        <s v="Shinigami Gaming"/>
        <s v="Ember Enjoyers"/>
        <s v="Execration"/>
        <s v="Hokori"/>
        <s v="Selyuk_team"/>
        <s v="Ð’-Ð’Ð¾ÑÑ…Ð¸Ñ‚Ð¸Ñ‚ÐµÐ»ÑŒÐ½Ñ‹Ð¹"/>
        <s v="Flawless Goblins"/>
        <s v="Team Spirit"/>
        <s v="Foxy gaming"/>
        <s v="Wiser Warriors"/>
        <s v="TUNDRA PRIME"/>
        <s v="NAVI Junior"/>
        <s v="Cinqueblinks"/>
        <s v="Dominion"/>
        <s v="HELLBEAR HEROES"/>
        <s v="The goal of all life is death"/>
        <s v="Aurora Gaming"/>
        <s v="Inner Circle x Insanity"/>
        <s v="BALU TEAM"/>
        <s v="MOUZ"/>
        <s v="Cloud Dawning"/>
        <s v="Ivory"/>
        <s v="Rock n Sports"/>
        <s v="The Bros"/>
        <s v="OG"/>
        <s v="BTC Gaming"/>
        <s v="Golden Wolves"/>
        <s v="AMF.wbt"/>
        <s v="Night KnightS"/>
        <s v="CHIPAP"/>
        <s v="Ghost Sheep"/>
        <s v="Vitality Warriors"/>
        <s v="Natus Vincere"/>
        <s v="Team Yandex"/>
        <s v="Team Mandarin"/>
        <s v="Signal Forge"/>
        <s v="Vici Gaming"/>
        <s v="Virtus.pro"/>
        <s v="Tundra Esports"/>
        <s v="Estar Backs"/>
        <s v="Cloud Rising"/>
        <s v="Essence"/>
        <s v="Pipsqueak+4"/>
        <s v="VP.Prodigy"/>
        <s v="ALIS VENTORUS"/>
        <s v="Satan666"/>
        <s v="NGNB"/>
        <s v="ÐœÐ˜ÐÐ•Ð¢Ð§Ð˜Ð¦Ð«"/>
        <s v="Ð¡Ð¼ÐµÑˆÐ°Ñ€Ð¸ÐºÐ¸"/>
        <s v="Thriving"/>
        <s v="golybci"/>
        <s v="Legion"/>
        <s v="Team Lipstick"/>
        <s v="BTS Army"/>
        <s v="Pleaze Gaming"/>
        <s v="Team Freedom"/>
        <s v="RAW"/>
        <s v="EEZZ"/>
        <s v="Azutive Fans"/>
        <s v="Outsiders"/>
        <s v="Guerreros ZZZ"/>
        <s v="Team Levantic"/>
        <s v="Yangon Galacticos"/>
        <s v="Chandogs"/>
        <s v="Amaru Flame"/>
        <s v="Yakult Brothers.XiongChuMo"/>
        <s v="PANDA 5"/>
        <s v="WARRIORS OF ANGELI"/>
        <s v="NotChainedAnymore"/>
        <s v="Team WL"/>
        <s v="5Prisoners"/>
        <s v="Team SuperNova"/>
        <s v="Shinra tensei"/>
        <s v="ÑƒÑ‡Ð¸Ð¼ Ð´Ð¾Ñ‚Ðµ 2"/>
        <s v="E-Bite"/>
        <s v="Team Stels"/>
        <s v="Veroja Gaming"/>
        <s v="Ruina"/>
        <s v="..."/>
        <s v="TEAM LENS"/>
        <s v="XR"/>
        <s v="MaMa9aka"/>
        <s v="Ð¡Ñ€ÐµÐ´Ð½ÑÑ ÑˆÐºÐ¾Ð»Ð° Ð¢ÐµÐ¹ÐºÐ¾"/>
        <s v="Gaduka gang"/>
        <s v="YURI SAGDEEV MINDSET"/>
        <s v="STARIY TINKER X2"/>
        <s v="67TEAM"/>
        <s v="Public Revolution"/>
        <s v="penis"/>
        <s v="recruitFOREVER"/>
        <s v="BigChickenEight"/>
        <s v="KINGS"/>
        <s v="1æ¢1"/>
        <s v="Dark Horses"/>
        <s v="Leto"/>
        <s v="Sunny Girls"/>
        <s v="Kitsune Esports"/>
        <s v="Captains"/>
        <s v="KVARTAL95"/>
        <s v="Pancakes &amp; Pango"/>
        <s v="Manhattan Melee"/>
        <s v="DarkStorm"/>
        <s v="Well"/>
        <s v="Phoenix E-Sports"/>
        <s v="Chincha Players"/>
        <s v="Aukka Gaming"/>
        <s v="Belial Gaming"/>
        <s v="Los Waskas"/>
        <s v="InmortalClass"/>
        <s v="El otro equipo me la chupa"/>
        <s v="KukuysV3"/>
        <s v="Gator Legs"/>
        <s v="Gensokyo"/>
        <s v="ggboom"/>
        <s v="Whoa-Sirus"/>
        <s v="FIC EMPIRE"/>
        <s v="Icefly"/>
        <s v="KaiserNet"/>
        <s v="ÐšÑ€ÑƒÑ‚ÐµÑ†ÐºÐ°Ñ ÐšÑ€ÑƒÑ‚ÑŒ"/>
        <s v="SoNNeikO clan"/>
        <s v="Y2K"/>
        <s v="Ositos Tilteados"/>
        <s v="No Tidehunter"/>
        <s v="Data Thunder"/>
        <s v="x5 Gaming"/>
        <s v="Etherium Warriors"/>
        <s v="NaiLong"/>
        <s v="Tabakerka"/>
        <s v="Mellstroy Team"/>
        <s v="BLACK_TERIC"/>
        <s v="james&amp;jeremy"/>
        <s v="Dan+4"/>
        <s v="Falanga Gaming"/>
        <s v="holesterin team"/>
        <s v="Gribbs"/>
        <s v="Ra4kiii"/>
        <s v="Ð¡Ñ‹Ñ€ÐºÐ¾Ð¿Ñ‡ÐµÐ½Ð½Ñ‹Ðµ"/>
        <s v="Ð“Ð²Ð¾Ð·Ð´Ð¸ Ð² ÐºÐµÐ´Ð°Ñ… &lt;3"/>
        <s v="SuperPerci"/>
        <s v="DOGSENT"/>
        <s v="Team Nord"/>
      </sharedItems>
    </cacheField>
    <cacheField name="times_played" numFmtId="0">
      <sharedItems containsSemiMixedTypes="0" containsString="0" containsNumber="1" containsInteger="1" minValue="0" maxValue="131" count="65">
        <n v="0"/>
        <n v="1"/>
        <n v="2"/>
        <n v="4"/>
        <n v="7"/>
        <n v="3"/>
        <n v="6"/>
        <n v="20"/>
        <n v="8"/>
        <n v="31"/>
        <n v="21"/>
        <n v="9"/>
        <n v="18"/>
        <n v="49"/>
        <n v="61"/>
        <n v="11"/>
        <n v="23"/>
        <n v="17"/>
        <n v="34"/>
        <n v="35"/>
        <n v="68"/>
        <n v="48"/>
        <n v="13"/>
        <n v="71"/>
        <n v="29"/>
        <n v="37"/>
        <n v="26"/>
        <n v="32"/>
        <n v="59"/>
        <n v="66"/>
        <n v="12"/>
        <n v="125"/>
        <n v="60"/>
        <n v="113"/>
        <n v="117"/>
        <n v="62"/>
        <n v="50"/>
        <n v="10"/>
        <n v="111"/>
        <n v="65"/>
        <n v="14"/>
        <n v="106"/>
        <n v="39"/>
        <n v="33"/>
        <n v="107"/>
        <n v="69"/>
        <n v="24"/>
        <n v="105"/>
        <n v="114"/>
        <n v="131"/>
        <n v="103"/>
        <n v="46"/>
        <n v="94"/>
        <n v="122"/>
        <n v="5"/>
        <n v="15"/>
        <n v="25"/>
        <n v="45"/>
        <n v="28"/>
        <n v="54"/>
        <n v="79"/>
        <n v="64"/>
        <n v="27"/>
        <n v="22"/>
        <n v="43"/>
      </sharedItems>
    </cacheField>
    <cacheField name="times_won" numFmtId="0">
      <sharedItems containsSemiMixedTypes="0" containsString="0" containsNumber="1" containsInteger="1" minValue="0" maxValue="40"/>
    </cacheField>
    <cacheField name="win_rate" numFmtId="9">
      <sharedItems containsMixedTypes="1" containsNumber="1" minValue="0" maxValue="1"/>
    </cacheField>
    <cacheField name="qualify"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0">
  <r>
    <x v="0"/>
    <x v="0"/>
    <n v="24"/>
    <n v="7"/>
    <x v="0"/>
    <s v="Yes"/>
    <n v="37"/>
  </r>
  <r>
    <x v="0"/>
    <x v="1"/>
    <n v="21"/>
    <n v="7"/>
    <x v="1"/>
    <s v="Yes"/>
    <n v="38"/>
  </r>
  <r>
    <x v="0"/>
    <x v="2"/>
    <n v="9"/>
    <n v="3"/>
    <x v="1"/>
    <s v="No"/>
    <s v="N/A"/>
  </r>
  <r>
    <x v="0"/>
    <x v="3"/>
    <n v="3"/>
    <n v="2"/>
    <x v="2"/>
    <s v="No"/>
    <s v="N/A"/>
  </r>
  <r>
    <x v="1"/>
    <x v="4"/>
    <n v="24"/>
    <n v="15"/>
    <x v="3"/>
    <s v="Yes"/>
    <n v="2"/>
  </r>
  <r>
    <x v="1"/>
    <x v="0"/>
    <n v="247"/>
    <n v="126"/>
    <x v="4"/>
    <s v="Yes"/>
    <n v="14"/>
  </r>
  <r>
    <x v="1"/>
    <x v="3"/>
    <n v="4"/>
    <n v="2"/>
    <x v="5"/>
    <s v="No"/>
    <s v="N/A"/>
  </r>
  <r>
    <x v="1"/>
    <x v="1"/>
    <n v="28"/>
    <n v="16"/>
    <x v="6"/>
    <s v="Yes"/>
    <n v="6"/>
  </r>
  <r>
    <x v="1"/>
    <x v="5"/>
    <n v="1"/>
    <n v="1"/>
    <x v="7"/>
    <s v="No"/>
    <s v="N/A"/>
  </r>
  <r>
    <x v="2"/>
    <x v="2"/>
    <n v="33"/>
    <n v="16"/>
    <x v="8"/>
    <s v="Yes"/>
    <n v="21"/>
  </r>
  <r>
    <x v="2"/>
    <x v="3"/>
    <n v="25"/>
    <n v="9"/>
    <x v="9"/>
    <s v="Yes"/>
    <n v="38"/>
  </r>
  <r>
    <x v="2"/>
    <x v="5"/>
    <n v="7"/>
    <n v="4"/>
    <x v="6"/>
    <s v="No"/>
    <s v="N/A"/>
  </r>
  <r>
    <x v="3"/>
    <x v="0"/>
    <n v="59"/>
    <n v="32"/>
    <x v="10"/>
    <s v="Yes"/>
    <n v="9"/>
  </r>
  <r>
    <x v="3"/>
    <x v="1"/>
    <n v="11"/>
    <n v="3"/>
    <x v="11"/>
    <s v="Yes"/>
    <n v="39"/>
  </r>
  <r>
    <x v="3"/>
    <x v="4"/>
    <n v="1"/>
    <n v="1"/>
    <x v="7"/>
    <s v="No"/>
    <s v="N/A"/>
  </r>
  <r>
    <x v="4"/>
    <x v="4"/>
    <n v="13"/>
    <n v="8"/>
    <x v="12"/>
    <s v="Yes"/>
    <n v="3"/>
  </r>
  <r>
    <x v="5"/>
    <x v="1"/>
    <n v="204"/>
    <n v="98"/>
    <x v="13"/>
    <s v="Yes"/>
    <n v="23"/>
  </r>
  <r>
    <x v="5"/>
    <x v="3"/>
    <n v="7"/>
    <n v="3"/>
    <x v="14"/>
    <s v="No"/>
    <s v="N/A"/>
  </r>
  <r>
    <x v="6"/>
    <x v="2"/>
    <n v="42"/>
    <n v="21"/>
    <x v="5"/>
    <s v="Yes"/>
    <n v="19"/>
  </r>
  <r>
    <x v="6"/>
    <x v="3"/>
    <n v="22"/>
    <n v="15"/>
    <x v="15"/>
    <s v="Yes"/>
    <n v="5"/>
  </r>
  <r>
    <x v="6"/>
    <x v="5"/>
    <n v="5"/>
    <n v="3"/>
    <x v="16"/>
    <s v="No"/>
    <s v="N/A"/>
  </r>
  <r>
    <x v="7"/>
    <x v="1"/>
    <n v="157"/>
    <n v="100"/>
    <x v="17"/>
    <s v="Yes"/>
    <n v="3"/>
  </r>
  <r>
    <x v="7"/>
    <x v="3"/>
    <n v="63"/>
    <n v="33"/>
    <x v="18"/>
    <s v="Yes"/>
    <n v="17"/>
  </r>
  <r>
    <x v="7"/>
    <x v="5"/>
    <n v="17"/>
    <n v="6"/>
    <x v="19"/>
    <s v="Yes"/>
    <n v="25"/>
  </r>
  <r>
    <x v="7"/>
    <x v="4"/>
    <n v="28"/>
    <n v="15"/>
    <x v="20"/>
    <s v="Yes"/>
    <n v="15"/>
  </r>
  <r>
    <x v="7"/>
    <x v="2"/>
    <n v="14"/>
    <n v="9"/>
    <x v="21"/>
    <s v="Yes"/>
    <n v="5"/>
  </r>
  <r>
    <x v="7"/>
    <x v="0"/>
    <n v="4"/>
    <n v="2"/>
    <x v="5"/>
    <s v="No"/>
    <s v="N/A"/>
  </r>
  <r>
    <x v="8"/>
    <x v="1"/>
    <n v="162"/>
    <n v="80"/>
    <x v="22"/>
    <s v="Yes"/>
    <n v="22"/>
  </r>
  <r>
    <x v="8"/>
    <x v="4"/>
    <n v="151"/>
    <n v="72"/>
    <x v="23"/>
    <s v="Yes"/>
    <n v="28"/>
  </r>
  <r>
    <x v="8"/>
    <x v="0"/>
    <n v="106"/>
    <n v="55"/>
    <x v="24"/>
    <s v="Yes"/>
    <n v="12"/>
  </r>
  <r>
    <x v="8"/>
    <x v="3"/>
    <n v="3"/>
    <n v="1"/>
    <x v="1"/>
    <s v="No"/>
    <s v="N/A"/>
  </r>
  <r>
    <x v="9"/>
    <x v="0"/>
    <n v="20"/>
    <n v="8"/>
    <x v="25"/>
    <s v="Yes"/>
    <n v="30"/>
  </r>
  <r>
    <x v="9"/>
    <x v="1"/>
    <n v="1"/>
    <n v="1"/>
    <x v="7"/>
    <s v="No"/>
    <s v="N/A"/>
  </r>
  <r>
    <x v="10"/>
    <x v="5"/>
    <n v="14"/>
    <n v="8"/>
    <x v="6"/>
    <s v="Yes"/>
    <n v="5"/>
  </r>
  <r>
    <x v="10"/>
    <x v="3"/>
    <n v="16"/>
    <n v="12"/>
    <x v="26"/>
    <s v="Yes"/>
    <n v="1"/>
  </r>
  <r>
    <x v="10"/>
    <x v="4"/>
    <n v="2"/>
    <n v="0"/>
    <x v="27"/>
    <s v="No"/>
    <s v="N/A"/>
  </r>
  <r>
    <x v="10"/>
    <x v="2"/>
    <n v="6"/>
    <n v="2"/>
    <x v="1"/>
    <s v="No"/>
    <s v="N/A"/>
  </r>
  <r>
    <x v="10"/>
    <x v="1"/>
    <n v="3"/>
    <n v="3"/>
    <x v="7"/>
    <s v="No"/>
    <s v="N/A"/>
  </r>
  <r>
    <x v="11"/>
    <x v="1"/>
    <n v="111"/>
    <n v="47"/>
    <x v="28"/>
    <s v="Yes"/>
    <n v="31"/>
  </r>
  <r>
    <x v="11"/>
    <x v="4"/>
    <n v="1"/>
    <n v="0"/>
    <x v="27"/>
    <s v="No"/>
    <s v="N/A"/>
  </r>
  <r>
    <x v="11"/>
    <x v="0"/>
    <n v="2"/>
    <n v="1"/>
    <x v="5"/>
    <s v="No"/>
    <s v="N/A"/>
  </r>
  <r>
    <x v="11"/>
    <x v="3"/>
    <n v="3"/>
    <n v="2"/>
    <x v="2"/>
    <s v="No"/>
    <s v="N/A"/>
  </r>
  <r>
    <x v="12"/>
    <x v="1"/>
    <n v="309"/>
    <n v="147"/>
    <x v="29"/>
    <s v="Yes"/>
    <n v="24"/>
  </r>
  <r>
    <x v="12"/>
    <x v="0"/>
    <n v="54"/>
    <n v="21"/>
    <x v="30"/>
    <s v="Yes"/>
    <n v="33"/>
  </r>
  <r>
    <x v="12"/>
    <x v="4"/>
    <n v="11"/>
    <n v="8"/>
    <x v="31"/>
    <s v="Yes"/>
    <n v="1"/>
  </r>
  <r>
    <x v="12"/>
    <x v="2"/>
    <n v="1"/>
    <n v="1"/>
    <x v="7"/>
    <s v="No"/>
    <s v="N/A"/>
  </r>
  <r>
    <x v="12"/>
    <x v="3"/>
    <n v="1"/>
    <n v="0"/>
    <x v="27"/>
    <s v="No"/>
    <s v="N/A"/>
  </r>
  <r>
    <x v="13"/>
    <x v="1"/>
    <n v="10"/>
    <n v="5"/>
    <x v="5"/>
    <s v="Yes"/>
    <n v="21"/>
  </r>
  <r>
    <x v="13"/>
    <x v="0"/>
    <n v="10"/>
    <n v="4"/>
    <x v="25"/>
    <s v="Yes"/>
    <n v="30"/>
  </r>
  <r>
    <x v="13"/>
    <x v="4"/>
    <n v="8"/>
    <n v="4"/>
    <x v="5"/>
    <s v="No"/>
    <s v="N/A"/>
  </r>
  <r>
    <x v="14"/>
    <x v="3"/>
    <n v="14"/>
    <n v="3"/>
    <x v="32"/>
    <s v="Yes"/>
    <n v="41"/>
  </r>
  <r>
    <x v="14"/>
    <x v="1"/>
    <n v="135"/>
    <n v="63"/>
    <x v="33"/>
    <s v="Yes"/>
    <n v="27"/>
  </r>
  <r>
    <x v="14"/>
    <x v="2"/>
    <n v="1"/>
    <n v="1"/>
    <x v="7"/>
    <s v="No"/>
    <s v="N/A"/>
  </r>
  <r>
    <x v="14"/>
    <x v="4"/>
    <n v="5"/>
    <n v="1"/>
    <x v="34"/>
    <s v="No"/>
    <s v="N/A"/>
  </r>
  <r>
    <x v="14"/>
    <x v="0"/>
    <n v="2"/>
    <n v="1"/>
    <x v="5"/>
    <s v="No"/>
    <s v="N/A"/>
  </r>
  <r>
    <x v="15"/>
    <x v="0"/>
    <n v="51"/>
    <n v="22"/>
    <x v="35"/>
    <s v="Yes"/>
    <n v="26"/>
  </r>
  <r>
    <x v="15"/>
    <x v="1"/>
    <n v="51"/>
    <n v="27"/>
    <x v="36"/>
    <s v="Yes"/>
    <n v="14"/>
  </r>
  <r>
    <x v="15"/>
    <x v="4"/>
    <n v="1"/>
    <n v="0"/>
    <x v="27"/>
    <s v="No"/>
    <s v="N/A"/>
  </r>
  <r>
    <x v="15"/>
    <x v="3"/>
    <n v="5"/>
    <n v="1"/>
    <x v="34"/>
    <s v="No"/>
    <s v="N/A"/>
  </r>
  <r>
    <x v="15"/>
    <x v="2"/>
    <n v="1"/>
    <n v="0"/>
    <x v="27"/>
    <s v="No"/>
    <s v="N/A"/>
  </r>
  <r>
    <x v="16"/>
    <x v="2"/>
    <n v="15"/>
    <n v="9"/>
    <x v="16"/>
    <s v="Yes"/>
    <n v="7"/>
  </r>
  <r>
    <x v="16"/>
    <x v="3"/>
    <n v="46"/>
    <n v="27"/>
    <x v="37"/>
    <s v="Yes"/>
    <n v="8"/>
  </r>
  <r>
    <x v="16"/>
    <x v="5"/>
    <n v="4"/>
    <n v="2"/>
    <x v="5"/>
    <s v="No"/>
    <s v="N/A"/>
  </r>
  <r>
    <x v="16"/>
    <x v="1"/>
    <n v="1"/>
    <n v="0"/>
    <x v="27"/>
    <s v="No"/>
    <s v="N/A"/>
  </r>
  <r>
    <x v="16"/>
    <x v="0"/>
    <n v="1"/>
    <n v="0"/>
    <x v="27"/>
    <s v="No"/>
    <s v="N/A"/>
  </r>
  <r>
    <x v="17"/>
    <x v="4"/>
    <n v="13"/>
    <n v="8"/>
    <x v="12"/>
    <s v="Yes"/>
    <n v="3"/>
  </r>
  <r>
    <x v="17"/>
    <x v="0"/>
    <n v="101"/>
    <n v="52"/>
    <x v="38"/>
    <s v="Yes"/>
    <n v="13"/>
  </r>
  <r>
    <x v="17"/>
    <x v="3"/>
    <n v="2"/>
    <n v="0"/>
    <x v="27"/>
    <s v="No"/>
    <s v="N/A"/>
  </r>
  <r>
    <x v="17"/>
    <x v="1"/>
    <n v="1"/>
    <n v="0"/>
    <x v="27"/>
    <s v="No"/>
    <s v="N/A"/>
  </r>
  <r>
    <x v="18"/>
    <x v="3"/>
    <n v="28"/>
    <n v="14"/>
    <x v="5"/>
    <s v="Yes"/>
    <n v="22"/>
  </r>
  <r>
    <x v="18"/>
    <x v="1"/>
    <n v="9"/>
    <n v="6"/>
    <x v="2"/>
    <s v="No"/>
    <s v="N/A"/>
  </r>
  <r>
    <x v="18"/>
    <x v="5"/>
    <n v="19"/>
    <n v="9"/>
    <x v="39"/>
    <s v="Yes"/>
    <n v="17"/>
  </r>
  <r>
    <x v="18"/>
    <x v="2"/>
    <n v="67"/>
    <n v="40"/>
    <x v="40"/>
    <s v="Yes"/>
    <n v="9"/>
  </r>
  <r>
    <x v="19"/>
    <x v="2"/>
    <n v="110"/>
    <n v="61"/>
    <x v="41"/>
    <s v="Yes"/>
    <n v="10"/>
  </r>
  <r>
    <x v="19"/>
    <x v="3"/>
    <n v="71"/>
    <n v="35"/>
    <x v="42"/>
    <s v="Yes"/>
    <n v="26"/>
  </r>
  <r>
    <x v="19"/>
    <x v="5"/>
    <n v="11"/>
    <n v="7"/>
    <x v="43"/>
    <s v="Yes"/>
    <n v="3"/>
  </r>
  <r>
    <x v="19"/>
    <x v="0"/>
    <n v="2"/>
    <n v="1"/>
    <x v="5"/>
    <s v="No"/>
    <s v="N/A"/>
  </r>
  <r>
    <x v="20"/>
    <x v="1"/>
    <n v="42"/>
    <n v="15"/>
    <x v="44"/>
    <s v="Yes"/>
    <n v="37"/>
  </r>
  <r>
    <x v="20"/>
    <x v="3"/>
    <n v="3"/>
    <n v="2"/>
    <x v="2"/>
    <s v="No"/>
    <s v="N/A"/>
  </r>
  <r>
    <x v="20"/>
    <x v="0"/>
    <n v="1"/>
    <n v="1"/>
    <x v="7"/>
    <s v="No"/>
    <s v="N/A"/>
  </r>
  <r>
    <x v="21"/>
    <x v="3"/>
    <n v="60"/>
    <n v="17"/>
    <x v="45"/>
    <s v="Yes"/>
    <n v="40"/>
  </r>
  <r>
    <x v="21"/>
    <x v="2"/>
    <n v="69"/>
    <n v="30"/>
    <x v="46"/>
    <s v="Yes"/>
    <n v="29"/>
  </r>
  <r>
    <x v="21"/>
    <x v="5"/>
    <n v="18"/>
    <n v="10"/>
    <x v="47"/>
    <s v="Yes"/>
    <n v="7"/>
  </r>
  <r>
    <x v="21"/>
    <x v="0"/>
    <n v="1"/>
    <n v="1"/>
    <x v="7"/>
    <s v="No"/>
    <s v="N/A"/>
  </r>
  <r>
    <x v="21"/>
    <x v="4"/>
    <n v="1"/>
    <n v="1"/>
    <x v="7"/>
    <s v="No"/>
    <s v="N/A"/>
  </r>
  <r>
    <x v="22"/>
    <x v="1"/>
    <n v="231"/>
    <n v="120"/>
    <x v="48"/>
    <s v="Yes"/>
    <n v="18"/>
  </r>
  <r>
    <x v="22"/>
    <x v="0"/>
    <n v="12"/>
    <n v="6"/>
    <x v="5"/>
    <s v="Yes"/>
    <n v="18"/>
  </r>
  <r>
    <x v="22"/>
    <x v="3"/>
    <n v="5"/>
    <n v="2"/>
    <x v="25"/>
    <s v="No"/>
    <s v="N/A"/>
  </r>
  <r>
    <x v="22"/>
    <x v="4"/>
    <n v="7"/>
    <n v="2"/>
    <x v="49"/>
    <s v="No"/>
    <s v="N/A"/>
  </r>
  <r>
    <x v="22"/>
    <x v="5"/>
    <n v="1"/>
    <n v="0"/>
    <x v="27"/>
    <s v="No"/>
    <s v="N/A"/>
  </r>
  <r>
    <x v="22"/>
    <x v="2"/>
    <n v="1"/>
    <n v="0"/>
    <x v="27"/>
    <s v="No"/>
    <s v="N/A"/>
  </r>
  <r>
    <x v="23"/>
    <x v="2"/>
    <n v="39"/>
    <n v="17"/>
    <x v="50"/>
    <s v="Yes"/>
    <n v="28"/>
  </r>
  <r>
    <x v="23"/>
    <x v="5"/>
    <n v="13"/>
    <n v="6"/>
    <x v="51"/>
    <s v="Yes"/>
    <n v="20"/>
  </r>
  <r>
    <x v="23"/>
    <x v="3"/>
    <n v="22"/>
    <n v="13"/>
    <x v="52"/>
    <s v="Yes"/>
    <n v="7"/>
  </r>
  <r>
    <x v="23"/>
    <x v="4"/>
    <n v="3"/>
    <n v="1"/>
    <x v="1"/>
    <s v="No"/>
    <s v="N/A"/>
  </r>
  <r>
    <x v="24"/>
    <x v="1"/>
    <n v="46"/>
    <n v="24"/>
    <x v="53"/>
    <s v="Yes"/>
    <n v="16"/>
  </r>
  <r>
    <x v="24"/>
    <x v="4"/>
    <n v="56"/>
    <n v="28"/>
    <x v="5"/>
    <s v="Yes"/>
    <n v="21"/>
  </r>
  <r>
    <x v="24"/>
    <x v="3"/>
    <n v="4"/>
    <n v="3"/>
    <x v="26"/>
    <s v="No"/>
    <s v="N/A"/>
  </r>
  <r>
    <x v="24"/>
    <x v="5"/>
    <n v="1"/>
    <n v="1"/>
    <x v="7"/>
    <s v="No"/>
    <s v="N/A"/>
  </r>
  <r>
    <x v="25"/>
    <x v="2"/>
    <n v="298"/>
    <n v="136"/>
    <x v="54"/>
    <s v="Yes"/>
    <n v="25"/>
  </r>
  <r>
    <x v="25"/>
    <x v="3"/>
    <n v="108"/>
    <n v="50"/>
    <x v="55"/>
    <s v="Yes"/>
    <n v="32"/>
  </r>
  <r>
    <x v="25"/>
    <x v="5"/>
    <n v="43"/>
    <n v="20"/>
    <x v="56"/>
    <s v="Yes"/>
    <n v="19"/>
  </r>
  <r>
    <x v="25"/>
    <x v="1"/>
    <n v="1"/>
    <n v="0"/>
    <x v="27"/>
    <s v="No"/>
    <s v="N/A"/>
  </r>
  <r>
    <x v="26"/>
    <x v="1"/>
    <n v="252"/>
    <n v="138"/>
    <x v="57"/>
    <s v="Yes"/>
    <n v="11"/>
  </r>
  <r>
    <x v="26"/>
    <x v="0"/>
    <n v="63"/>
    <n v="27"/>
    <x v="14"/>
    <s v="Yes"/>
    <n v="27"/>
  </r>
  <r>
    <x v="26"/>
    <x v="3"/>
    <n v="2"/>
    <n v="1"/>
    <x v="5"/>
    <s v="No"/>
    <s v="N/A"/>
  </r>
  <r>
    <x v="26"/>
    <x v="4"/>
    <n v="6"/>
    <n v="3"/>
    <x v="5"/>
    <s v="No"/>
    <s v="N/A"/>
  </r>
  <r>
    <x v="26"/>
    <x v="2"/>
    <n v="1"/>
    <n v="1"/>
    <x v="7"/>
    <s v="No"/>
    <s v="N/A"/>
  </r>
  <r>
    <x v="27"/>
    <x v="0"/>
    <n v="52"/>
    <n v="27"/>
    <x v="58"/>
    <s v="Yes"/>
    <n v="11"/>
  </r>
  <r>
    <x v="27"/>
    <x v="1"/>
    <n v="34"/>
    <n v="16"/>
    <x v="59"/>
    <s v="Yes"/>
    <n v="26"/>
  </r>
  <r>
    <x v="27"/>
    <x v="4"/>
    <n v="40"/>
    <n v="24"/>
    <x v="16"/>
    <s v="Yes"/>
    <n v="7"/>
  </r>
  <r>
    <x v="27"/>
    <x v="3"/>
    <n v="3"/>
    <n v="0"/>
    <x v="27"/>
    <s v="No"/>
    <s v="N/A"/>
  </r>
  <r>
    <x v="28"/>
    <x v="0"/>
    <n v="55"/>
    <n v="22"/>
    <x v="25"/>
    <s v="Yes"/>
    <n v="30"/>
  </r>
  <r>
    <x v="28"/>
    <x v="4"/>
    <n v="4"/>
    <n v="2"/>
    <x v="5"/>
    <s v="No"/>
    <s v="N/A"/>
  </r>
  <r>
    <x v="28"/>
    <x v="2"/>
    <n v="1"/>
    <n v="1"/>
    <x v="7"/>
    <s v="No"/>
    <s v="N/A"/>
  </r>
  <r>
    <x v="29"/>
    <x v="4"/>
    <n v="36"/>
    <n v="12"/>
    <x v="1"/>
    <s v="Yes"/>
    <n v="38"/>
  </r>
  <r>
    <x v="29"/>
    <x v="2"/>
    <n v="13"/>
    <n v="7"/>
    <x v="60"/>
    <s v="Yes"/>
    <n v="13"/>
  </r>
  <r>
    <x v="29"/>
    <x v="3"/>
    <n v="26"/>
    <n v="19"/>
    <x v="61"/>
    <s v="Yes"/>
    <n v="2"/>
  </r>
  <r>
    <x v="29"/>
    <x v="5"/>
    <n v="11"/>
    <n v="5"/>
    <x v="62"/>
    <s v="Yes"/>
    <n v="21"/>
  </r>
  <r>
    <x v="30"/>
    <x v="4"/>
    <n v="21"/>
    <n v="8"/>
    <x v="63"/>
    <s v="Yes"/>
    <n v="36"/>
  </r>
  <r>
    <x v="30"/>
    <x v="3"/>
    <n v="6"/>
    <n v="2"/>
    <x v="1"/>
    <s v="No"/>
    <s v="N/A"/>
  </r>
  <r>
    <x v="30"/>
    <x v="1"/>
    <n v="13"/>
    <n v="6"/>
    <x v="51"/>
    <s v="Yes"/>
    <n v="28"/>
  </r>
  <r>
    <x v="30"/>
    <x v="2"/>
    <n v="5"/>
    <n v="1"/>
    <x v="34"/>
    <s v="No"/>
    <s v="N/A"/>
  </r>
  <r>
    <x v="30"/>
    <x v="5"/>
    <n v="2"/>
    <n v="2"/>
    <x v="7"/>
    <s v="No"/>
    <s v="N/A"/>
  </r>
  <r>
    <x v="31"/>
    <x v="2"/>
    <n v="8"/>
    <n v="3"/>
    <x v="64"/>
    <s v="No"/>
    <s v="N/A"/>
  </r>
  <r>
    <x v="31"/>
    <x v="1"/>
    <n v="4"/>
    <n v="1"/>
    <x v="65"/>
    <s v="No"/>
    <s v="N/A"/>
  </r>
  <r>
    <x v="31"/>
    <x v="3"/>
    <n v="3"/>
    <n v="0"/>
    <x v="27"/>
    <s v="No"/>
    <s v="N/A"/>
  </r>
  <r>
    <x v="31"/>
    <x v="0"/>
    <n v="1"/>
    <n v="0"/>
    <x v="27"/>
    <s v="No"/>
    <s v="N/A"/>
  </r>
  <r>
    <x v="32"/>
    <x v="4"/>
    <n v="387"/>
    <n v="191"/>
    <x v="66"/>
    <s v="Yes"/>
    <n v="24"/>
  </r>
  <r>
    <x v="32"/>
    <x v="0"/>
    <n v="4"/>
    <n v="3"/>
    <x v="26"/>
    <s v="No"/>
    <s v="N/A"/>
  </r>
  <r>
    <x v="32"/>
    <x v="1"/>
    <n v="11"/>
    <n v="4"/>
    <x v="67"/>
    <s v="Yes"/>
    <n v="36"/>
  </r>
  <r>
    <x v="32"/>
    <x v="3"/>
    <n v="3"/>
    <n v="2"/>
    <x v="2"/>
    <s v="No"/>
    <s v="N/A"/>
  </r>
  <r>
    <x v="33"/>
    <x v="2"/>
    <n v="69"/>
    <n v="31"/>
    <x v="68"/>
    <s v="Yes"/>
    <n v="27"/>
  </r>
  <r>
    <x v="33"/>
    <x v="5"/>
    <n v="62"/>
    <n v="33"/>
    <x v="69"/>
    <s v="Yes"/>
    <n v="10"/>
  </r>
  <r>
    <x v="33"/>
    <x v="3"/>
    <n v="87"/>
    <n v="49"/>
    <x v="70"/>
    <s v="Yes"/>
    <n v="14"/>
  </r>
  <r>
    <x v="33"/>
    <x v="1"/>
    <n v="1"/>
    <n v="0"/>
    <x v="27"/>
    <s v="No"/>
    <s v="N/A"/>
  </r>
  <r>
    <x v="33"/>
    <x v="0"/>
    <n v="1"/>
    <n v="0"/>
    <x v="27"/>
    <s v="No"/>
    <s v="N/A"/>
  </r>
  <r>
    <x v="34"/>
    <x v="1"/>
    <n v="24"/>
    <n v="14"/>
    <x v="71"/>
    <s v="Yes"/>
    <n v="5"/>
  </r>
  <r>
    <x v="34"/>
    <x v="2"/>
    <n v="2"/>
    <n v="2"/>
    <x v="7"/>
    <s v="No"/>
    <s v="N/A"/>
  </r>
  <r>
    <x v="34"/>
    <x v="3"/>
    <n v="3"/>
    <n v="2"/>
    <x v="2"/>
    <s v="No"/>
    <s v="N/A"/>
  </r>
  <r>
    <x v="34"/>
    <x v="5"/>
    <n v="1"/>
    <n v="1"/>
    <x v="7"/>
    <s v="No"/>
    <s v="N/A"/>
  </r>
  <r>
    <x v="34"/>
    <x v="0"/>
    <n v="1"/>
    <n v="1"/>
    <x v="7"/>
    <s v="No"/>
    <s v="N/A"/>
  </r>
  <r>
    <x v="34"/>
    <x v="4"/>
    <n v="1"/>
    <n v="1"/>
    <x v="7"/>
    <s v="No"/>
    <s v="N/A"/>
  </r>
  <r>
    <x v="35"/>
    <x v="0"/>
    <n v="137"/>
    <n v="69"/>
    <x v="72"/>
    <s v="Yes"/>
    <n v="16"/>
  </r>
  <r>
    <x v="35"/>
    <x v="2"/>
    <n v="1"/>
    <n v="1"/>
    <x v="7"/>
    <s v="No"/>
    <s v="N/A"/>
  </r>
  <r>
    <x v="35"/>
    <x v="4"/>
    <n v="1"/>
    <n v="0"/>
    <x v="27"/>
    <s v="No"/>
    <s v="N/A"/>
  </r>
  <r>
    <x v="35"/>
    <x v="1"/>
    <n v="6"/>
    <n v="1"/>
    <x v="73"/>
    <s v="No"/>
    <s v="N/A"/>
  </r>
  <r>
    <x v="35"/>
    <x v="3"/>
    <n v="1"/>
    <n v="0"/>
    <x v="27"/>
    <s v="No"/>
    <s v="N/A"/>
  </r>
  <r>
    <x v="36"/>
    <x v="3"/>
    <n v="91"/>
    <n v="52"/>
    <x v="6"/>
    <s v="Yes"/>
    <n v="9"/>
  </r>
  <r>
    <x v="36"/>
    <x v="2"/>
    <n v="106"/>
    <n v="52"/>
    <x v="74"/>
    <s v="Yes"/>
    <n v="20"/>
  </r>
  <r>
    <x v="36"/>
    <x v="1"/>
    <n v="2"/>
    <n v="0"/>
    <x v="27"/>
    <s v="No"/>
    <s v="N/A"/>
  </r>
  <r>
    <x v="36"/>
    <x v="5"/>
    <n v="34"/>
    <n v="13"/>
    <x v="75"/>
    <s v="Yes"/>
    <n v="24"/>
  </r>
  <r>
    <x v="36"/>
    <x v="4"/>
    <n v="2"/>
    <n v="1"/>
    <x v="5"/>
    <s v="No"/>
    <s v="N/A"/>
  </r>
  <r>
    <x v="37"/>
    <x v="0"/>
    <n v="129"/>
    <n v="62"/>
    <x v="76"/>
    <s v="Yes"/>
    <n v="21"/>
  </r>
  <r>
    <x v="37"/>
    <x v="3"/>
    <n v="4"/>
    <n v="1"/>
    <x v="65"/>
    <s v="No"/>
    <s v="N/A"/>
  </r>
  <r>
    <x v="37"/>
    <x v="5"/>
    <n v="1"/>
    <n v="0"/>
    <x v="27"/>
    <s v="No"/>
    <s v="N/A"/>
  </r>
  <r>
    <x v="37"/>
    <x v="2"/>
    <n v="1"/>
    <n v="0"/>
    <x v="27"/>
    <s v="No"/>
    <s v="N/A"/>
  </r>
  <r>
    <x v="38"/>
    <x v="3"/>
    <n v="236"/>
    <n v="119"/>
    <x v="77"/>
    <s v="Yes"/>
    <n v="21"/>
  </r>
  <r>
    <x v="38"/>
    <x v="4"/>
    <n v="1"/>
    <n v="1"/>
    <x v="7"/>
    <s v="No"/>
    <s v="N/A"/>
  </r>
  <r>
    <x v="38"/>
    <x v="5"/>
    <n v="139"/>
    <n v="76"/>
    <x v="78"/>
    <s v="Yes"/>
    <n v="8"/>
  </r>
  <r>
    <x v="38"/>
    <x v="2"/>
    <n v="159"/>
    <n v="86"/>
    <x v="79"/>
    <s v="Yes"/>
    <n v="12"/>
  </r>
  <r>
    <x v="38"/>
    <x v="1"/>
    <n v="5"/>
    <n v="2"/>
    <x v="25"/>
    <s v="No"/>
    <s v="N/A"/>
  </r>
  <r>
    <x v="38"/>
    <x v="0"/>
    <n v="3"/>
    <n v="1"/>
    <x v="1"/>
    <s v="No"/>
    <s v="N/A"/>
  </r>
  <r>
    <x v="39"/>
    <x v="4"/>
    <n v="99"/>
    <n v="60"/>
    <x v="80"/>
    <s v="Yes"/>
    <n v="5"/>
  </r>
  <r>
    <x v="39"/>
    <x v="0"/>
    <n v="6"/>
    <n v="3"/>
    <x v="5"/>
    <s v="No"/>
    <s v="N/A"/>
  </r>
  <r>
    <x v="39"/>
    <x v="1"/>
    <n v="3"/>
    <n v="3"/>
    <x v="7"/>
    <s v="No"/>
    <s v="N/A"/>
  </r>
  <r>
    <x v="39"/>
    <x v="3"/>
    <n v="2"/>
    <n v="1"/>
    <x v="5"/>
    <s v="No"/>
    <s v="N/A"/>
  </r>
  <r>
    <x v="39"/>
    <x v="5"/>
    <n v="1"/>
    <n v="1"/>
    <x v="7"/>
    <s v="No"/>
    <s v="N/A"/>
  </r>
  <r>
    <x v="40"/>
    <x v="3"/>
    <n v="15"/>
    <n v="7"/>
    <x v="33"/>
    <s v="Yes"/>
    <n v="31"/>
  </r>
  <r>
    <x v="40"/>
    <x v="4"/>
    <n v="200"/>
    <n v="92"/>
    <x v="81"/>
    <s v="Yes"/>
    <n v="31"/>
  </r>
  <r>
    <x v="40"/>
    <x v="2"/>
    <n v="5"/>
    <n v="3"/>
    <x v="16"/>
    <s v="No"/>
    <s v="N/A"/>
  </r>
  <r>
    <x v="41"/>
    <x v="2"/>
    <n v="68"/>
    <n v="37"/>
    <x v="82"/>
    <s v="Yes"/>
    <n v="11"/>
  </r>
  <r>
    <x v="41"/>
    <x v="3"/>
    <n v="60"/>
    <n v="34"/>
    <x v="83"/>
    <s v="Yes"/>
    <n v="13"/>
  </r>
  <r>
    <x v="41"/>
    <x v="4"/>
    <n v="1"/>
    <n v="0"/>
    <x v="27"/>
    <s v="No"/>
    <s v="N/A"/>
  </r>
  <r>
    <x v="41"/>
    <x v="5"/>
    <n v="8"/>
    <n v="5"/>
    <x v="3"/>
    <s v="No"/>
    <s v="N/A"/>
  </r>
  <r>
    <x v="41"/>
    <x v="1"/>
    <n v="1"/>
    <n v="0"/>
    <x v="27"/>
    <s v="No"/>
    <s v="N/A"/>
  </r>
  <r>
    <x v="41"/>
    <x v="0"/>
    <n v="1"/>
    <n v="1"/>
    <x v="7"/>
    <s v="No"/>
    <s v="N/A"/>
  </r>
  <r>
    <x v="42"/>
    <x v="2"/>
    <n v="208"/>
    <n v="107"/>
    <x v="84"/>
    <s v="Yes"/>
    <n v="17"/>
  </r>
  <r>
    <x v="42"/>
    <x v="3"/>
    <n v="159"/>
    <n v="78"/>
    <x v="74"/>
    <s v="Yes"/>
    <n v="27"/>
  </r>
  <r>
    <x v="42"/>
    <x v="5"/>
    <n v="57"/>
    <n v="29"/>
    <x v="85"/>
    <s v="Yes"/>
    <n v="11"/>
  </r>
  <r>
    <x v="42"/>
    <x v="0"/>
    <n v="1"/>
    <n v="0"/>
    <x v="27"/>
    <s v="No"/>
    <s v="N/A"/>
  </r>
  <r>
    <x v="42"/>
    <x v="1"/>
    <n v="3"/>
    <n v="1"/>
    <x v="1"/>
    <s v="No"/>
    <s v="N/A"/>
  </r>
  <r>
    <x v="42"/>
    <x v="4"/>
    <n v="1"/>
    <n v="0"/>
    <x v="27"/>
    <s v="No"/>
    <s v="N/A"/>
  </r>
  <r>
    <x v="43"/>
    <x v="0"/>
    <n v="92"/>
    <n v="53"/>
    <x v="86"/>
    <s v="Yes"/>
    <n v="8"/>
  </r>
  <r>
    <x v="44"/>
    <x v="3"/>
    <n v="54"/>
    <n v="27"/>
    <x v="5"/>
    <s v="Yes"/>
    <n v="22"/>
  </r>
  <r>
    <x v="44"/>
    <x v="4"/>
    <n v="76"/>
    <n v="40"/>
    <x v="87"/>
    <s v="Yes"/>
    <n v="18"/>
  </r>
  <r>
    <x v="44"/>
    <x v="5"/>
    <n v="18"/>
    <n v="9"/>
    <x v="5"/>
    <s v="Yes"/>
    <n v="12"/>
  </r>
  <r>
    <x v="44"/>
    <x v="2"/>
    <n v="15"/>
    <n v="11"/>
    <x v="88"/>
    <s v="Yes"/>
    <n v="2"/>
  </r>
  <r>
    <x v="44"/>
    <x v="1"/>
    <n v="5"/>
    <n v="3"/>
    <x v="16"/>
    <s v="No"/>
    <s v="N/A"/>
  </r>
  <r>
    <x v="45"/>
    <x v="0"/>
    <n v="115"/>
    <n v="67"/>
    <x v="89"/>
    <s v="Yes"/>
    <n v="6"/>
  </r>
  <r>
    <x v="45"/>
    <x v="4"/>
    <n v="46"/>
    <n v="27"/>
    <x v="37"/>
    <s v="Yes"/>
    <n v="8"/>
  </r>
  <r>
    <x v="45"/>
    <x v="1"/>
    <n v="2"/>
    <n v="2"/>
    <x v="7"/>
    <s v="No"/>
    <s v="N/A"/>
  </r>
  <r>
    <x v="46"/>
    <x v="1"/>
    <n v="58"/>
    <n v="33"/>
    <x v="90"/>
    <s v="Yes"/>
    <n v="7"/>
  </r>
  <r>
    <x v="46"/>
    <x v="4"/>
    <n v="79"/>
    <n v="43"/>
    <x v="91"/>
    <s v="Yes"/>
    <n v="13"/>
  </r>
  <r>
    <x v="46"/>
    <x v="3"/>
    <n v="1"/>
    <n v="1"/>
    <x v="7"/>
    <s v="No"/>
    <s v="N/A"/>
  </r>
  <r>
    <x v="46"/>
    <x v="0"/>
    <n v="8"/>
    <n v="5"/>
    <x v="3"/>
    <s v="No"/>
    <s v="N/A"/>
  </r>
  <r>
    <x v="47"/>
    <x v="1"/>
    <n v="60"/>
    <n v="33"/>
    <x v="92"/>
    <s v="Yes"/>
    <n v="10"/>
  </r>
  <r>
    <x v="47"/>
    <x v="3"/>
    <n v="16"/>
    <n v="11"/>
    <x v="93"/>
    <s v="Yes"/>
    <n v="4"/>
  </r>
  <r>
    <x v="47"/>
    <x v="2"/>
    <n v="19"/>
    <n v="10"/>
    <x v="87"/>
    <s v="Yes"/>
    <n v="14"/>
  </r>
  <r>
    <x v="47"/>
    <x v="5"/>
    <n v="9"/>
    <n v="1"/>
    <x v="94"/>
    <s v="No"/>
    <s v="N/A"/>
  </r>
  <r>
    <x v="47"/>
    <x v="0"/>
    <n v="2"/>
    <n v="2"/>
    <x v="7"/>
    <s v="No"/>
    <s v="N/A"/>
  </r>
  <r>
    <x v="48"/>
    <x v="1"/>
    <n v="97"/>
    <n v="51"/>
    <x v="95"/>
    <s v="Yes"/>
    <n v="15"/>
  </r>
  <r>
    <x v="48"/>
    <x v="4"/>
    <n v="2"/>
    <n v="0"/>
    <x v="27"/>
    <s v="No"/>
    <s v="N/A"/>
  </r>
  <r>
    <x v="48"/>
    <x v="3"/>
    <n v="6"/>
    <n v="2"/>
    <x v="1"/>
    <s v="No"/>
    <s v="N/A"/>
  </r>
  <r>
    <x v="48"/>
    <x v="2"/>
    <n v="1"/>
    <n v="1"/>
    <x v="7"/>
    <s v="No"/>
    <s v="N/A"/>
  </r>
  <r>
    <x v="49"/>
    <x v="4"/>
    <n v="71"/>
    <n v="37"/>
    <x v="96"/>
    <s v="Yes"/>
    <n v="19"/>
  </r>
  <r>
    <x v="49"/>
    <x v="0"/>
    <n v="5"/>
    <n v="3"/>
    <x v="16"/>
    <s v="No"/>
    <s v="N/A"/>
  </r>
  <r>
    <x v="49"/>
    <x v="3"/>
    <n v="8"/>
    <n v="5"/>
    <x v="3"/>
    <s v="No"/>
    <s v="N/A"/>
  </r>
  <r>
    <x v="49"/>
    <x v="5"/>
    <n v="4"/>
    <n v="2"/>
    <x v="5"/>
    <s v="No"/>
    <s v="N/A"/>
  </r>
  <r>
    <x v="49"/>
    <x v="1"/>
    <n v="3"/>
    <n v="1"/>
    <x v="1"/>
    <s v="No"/>
    <s v="N/A"/>
  </r>
  <r>
    <x v="50"/>
    <x v="3"/>
    <n v="135"/>
    <n v="61"/>
    <x v="97"/>
    <s v="Yes"/>
    <n v="33"/>
  </r>
  <r>
    <x v="50"/>
    <x v="2"/>
    <n v="152"/>
    <n v="80"/>
    <x v="87"/>
    <s v="Yes"/>
    <n v="14"/>
  </r>
  <r>
    <x v="50"/>
    <x v="5"/>
    <n v="12"/>
    <n v="4"/>
    <x v="1"/>
    <s v="Yes"/>
    <n v="26"/>
  </r>
  <r>
    <x v="51"/>
    <x v="0"/>
    <n v="293"/>
    <n v="143"/>
    <x v="98"/>
    <s v="Yes"/>
    <n v="20"/>
  </r>
  <r>
    <x v="51"/>
    <x v="3"/>
    <n v="3"/>
    <n v="0"/>
    <x v="27"/>
    <s v="No"/>
    <s v="N/A"/>
  </r>
  <r>
    <x v="51"/>
    <x v="1"/>
    <n v="1"/>
    <n v="0"/>
    <x v="27"/>
    <s v="No"/>
    <s v="N/A"/>
  </r>
  <r>
    <x v="52"/>
    <x v="4"/>
    <n v="140"/>
    <n v="70"/>
    <x v="5"/>
    <s v="Yes"/>
    <n v="21"/>
  </r>
  <r>
    <x v="52"/>
    <x v="3"/>
    <n v="10"/>
    <n v="7"/>
    <x v="99"/>
    <s v="Yes"/>
    <n v="3"/>
  </r>
  <r>
    <x v="52"/>
    <x v="0"/>
    <n v="10"/>
    <n v="3"/>
    <x v="100"/>
    <s v="Yes"/>
    <n v="36"/>
  </r>
  <r>
    <x v="52"/>
    <x v="2"/>
    <n v="4"/>
    <n v="3"/>
    <x v="26"/>
    <s v="No"/>
    <s v="N/A"/>
  </r>
  <r>
    <x v="53"/>
    <x v="2"/>
    <n v="255"/>
    <n v="122"/>
    <x v="101"/>
    <s v="Yes"/>
    <n v="22"/>
  </r>
  <r>
    <x v="53"/>
    <x v="1"/>
    <n v="2"/>
    <n v="0"/>
    <x v="27"/>
    <s v="No"/>
    <s v="N/A"/>
  </r>
  <r>
    <x v="53"/>
    <x v="3"/>
    <n v="126"/>
    <n v="60"/>
    <x v="102"/>
    <s v="Yes"/>
    <n v="30"/>
  </r>
  <r>
    <x v="53"/>
    <x v="4"/>
    <n v="13"/>
    <n v="5"/>
    <x v="103"/>
    <s v="Yes"/>
    <n v="35"/>
  </r>
  <r>
    <x v="53"/>
    <x v="5"/>
    <n v="41"/>
    <n v="22"/>
    <x v="104"/>
    <s v="Yes"/>
    <n v="9"/>
  </r>
  <r>
    <x v="53"/>
    <x v="0"/>
    <n v="1"/>
    <n v="0"/>
    <x v="27"/>
    <s v="No"/>
    <s v="N/A"/>
  </r>
  <r>
    <x v="54"/>
    <x v="3"/>
    <n v="6"/>
    <n v="2"/>
    <x v="1"/>
    <s v="No"/>
    <s v="N/A"/>
  </r>
  <r>
    <x v="54"/>
    <x v="1"/>
    <n v="7"/>
    <n v="5"/>
    <x v="105"/>
    <s v="No"/>
    <s v="N/A"/>
  </r>
  <r>
    <x v="54"/>
    <x v="0"/>
    <n v="106"/>
    <n v="69"/>
    <x v="106"/>
    <s v="Yes"/>
    <n v="3"/>
  </r>
  <r>
    <x v="54"/>
    <x v="2"/>
    <n v="2"/>
    <n v="1"/>
    <x v="5"/>
    <s v="No"/>
    <s v="N/A"/>
  </r>
  <r>
    <x v="54"/>
    <x v="4"/>
    <n v="16"/>
    <n v="9"/>
    <x v="107"/>
    <s v="Yes"/>
    <n v="10"/>
  </r>
  <r>
    <x v="54"/>
    <x v="5"/>
    <n v="1"/>
    <n v="0"/>
    <x v="27"/>
    <s v="No"/>
    <s v="N/A"/>
  </r>
  <r>
    <x v="55"/>
    <x v="0"/>
    <n v="436"/>
    <n v="218"/>
    <x v="5"/>
    <s v="Yes"/>
    <n v="18"/>
  </r>
  <r>
    <x v="55"/>
    <x v="4"/>
    <n v="2"/>
    <n v="2"/>
    <x v="7"/>
    <s v="No"/>
    <s v="N/A"/>
  </r>
  <r>
    <x v="56"/>
    <x v="1"/>
    <n v="25"/>
    <n v="13"/>
    <x v="108"/>
    <s v="Yes"/>
    <n v="17"/>
  </r>
  <r>
    <x v="56"/>
    <x v="3"/>
    <n v="1"/>
    <n v="0"/>
    <x v="27"/>
    <s v="No"/>
    <s v="N/A"/>
  </r>
  <r>
    <x v="56"/>
    <x v="0"/>
    <n v="1"/>
    <n v="1"/>
    <x v="7"/>
    <s v="No"/>
    <s v="N/A"/>
  </r>
  <r>
    <x v="56"/>
    <x v="4"/>
    <n v="3"/>
    <n v="2"/>
    <x v="2"/>
    <s v="No"/>
    <s v="N/A"/>
  </r>
  <r>
    <x v="57"/>
    <x v="1"/>
    <n v="35"/>
    <n v="18"/>
    <x v="109"/>
    <s v="Yes"/>
    <n v="19"/>
  </r>
  <r>
    <x v="57"/>
    <x v="4"/>
    <n v="20"/>
    <n v="9"/>
    <x v="110"/>
    <s v="Yes"/>
    <n v="33"/>
  </r>
  <r>
    <x v="57"/>
    <x v="0"/>
    <n v="2"/>
    <n v="1"/>
    <x v="5"/>
    <s v="No"/>
    <s v="N/A"/>
  </r>
  <r>
    <x v="57"/>
    <x v="2"/>
    <n v="7"/>
    <n v="5"/>
    <x v="105"/>
    <s v="No"/>
    <s v="N/A"/>
  </r>
  <r>
    <x v="57"/>
    <x v="3"/>
    <n v="7"/>
    <n v="3"/>
    <x v="14"/>
    <s v="No"/>
    <s v="N/A"/>
  </r>
  <r>
    <x v="57"/>
    <x v="5"/>
    <n v="1"/>
    <n v="0"/>
    <x v="27"/>
    <s v="No"/>
    <s v="N/A"/>
  </r>
  <r>
    <x v="58"/>
    <x v="0"/>
    <n v="6"/>
    <n v="3"/>
    <x v="5"/>
    <s v="No"/>
    <s v="N/A"/>
  </r>
  <r>
    <x v="58"/>
    <x v="3"/>
    <n v="23"/>
    <n v="9"/>
    <x v="111"/>
    <s v="Yes"/>
    <n v="37"/>
  </r>
  <r>
    <x v="58"/>
    <x v="5"/>
    <n v="17"/>
    <n v="4"/>
    <x v="112"/>
    <s v="Yes"/>
    <n v="27"/>
  </r>
  <r>
    <x v="58"/>
    <x v="2"/>
    <n v="42"/>
    <n v="16"/>
    <x v="63"/>
    <s v="Yes"/>
    <n v="34"/>
  </r>
  <r>
    <x v="58"/>
    <x v="1"/>
    <n v="6"/>
    <n v="2"/>
    <x v="1"/>
    <s v="No"/>
    <s v="N/A"/>
  </r>
  <r>
    <x v="58"/>
    <x v="4"/>
    <n v="5"/>
    <n v="3"/>
    <x v="16"/>
    <s v="No"/>
    <s v="N/A"/>
  </r>
  <r>
    <x v="59"/>
    <x v="1"/>
    <n v="278"/>
    <n v="126"/>
    <x v="113"/>
    <s v="Yes"/>
    <n v="30"/>
  </r>
  <r>
    <x v="59"/>
    <x v="4"/>
    <n v="10"/>
    <n v="4"/>
    <x v="25"/>
    <s v="Yes"/>
    <n v="34"/>
  </r>
  <r>
    <x v="59"/>
    <x v="3"/>
    <n v="8"/>
    <n v="6"/>
    <x v="26"/>
    <s v="No"/>
    <s v="N/A"/>
  </r>
  <r>
    <x v="59"/>
    <x v="0"/>
    <n v="3"/>
    <n v="3"/>
    <x v="7"/>
    <s v="No"/>
    <s v="N/A"/>
  </r>
  <r>
    <x v="60"/>
    <x v="0"/>
    <n v="61"/>
    <n v="25"/>
    <x v="114"/>
    <s v="Yes"/>
    <n v="28"/>
  </r>
  <r>
    <x v="60"/>
    <x v="1"/>
    <n v="1"/>
    <n v="0"/>
    <x v="27"/>
    <s v="No"/>
    <s v="N/A"/>
  </r>
  <r>
    <x v="61"/>
    <x v="4"/>
    <n v="40"/>
    <n v="13"/>
    <x v="115"/>
    <s v="Yes"/>
    <n v="40"/>
  </r>
  <r>
    <x v="61"/>
    <x v="0"/>
    <n v="23"/>
    <n v="11"/>
    <x v="116"/>
    <s v="Yes"/>
    <n v="22"/>
  </r>
  <r>
    <x v="61"/>
    <x v="1"/>
    <n v="1"/>
    <n v="0"/>
    <x v="27"/>
    <s v="No"/>
    <s v="N/A"/>
  </r>
  <r>
    <x v="62"/>
    <x v="2"/>
    <n v="13"/>
    <n v="9"/>
    <x v="117"/>
    <s v="Yes"/>
    <n v="3"/>
  </r>
  <r>
    <x v="62"/>
    <x v="3"/>
    <n v="22"/>
    <n v="11"/>
    <x v="5"/>
    <s v="Yes"/>
    <n v="22"/>
  </r>
  <r>
    <x v="62"/>
    <x v="5"/>
    <n v="10"/>
    <n v="6"/>
    <x v="16"/>
    <s v="Yes"/>
    <n v="4"/>
  </r>
  <r>
    <x v="62"/>
    <x v="0"/>
    <n v="8"/>
    <n v="3"/>
    <x v="64"/>
    <s v="No"/>
    <s v="N/A"/>
  </r>
  <r>
    <x v="62"/>
    <x v="4"/>
    <n v="4"/>
    <n v="2"/>
    <x v="5"/>
    <s v="No"/>
    <s v="N/A"/>
  </r>
  <r>
    <x v="62"/>
    <x v="1"/>
    <n v="2"/>
    <n v="1"/>
    <x v="5"/>
    <s v="No"/>
    <s v="N/A"/>
  </r>
  <r>
    <x v="63"/>
    <x v="4"/>
    <n v="87"/>
    <n v="46"/>
    <x v="118"/>
    <s v="Yes"/>
    <n v="17"/>
  </r>
  <r>
    <x v="63"/>
    <x v="0"/>
    <n v="262"/>
    <n v="152"/>
    <x v="119"/>
    <s v="Yes"/>
    <n v="7"/>
  </r>
  <r>
    <x v="63"/>
    <x v="3"/>
    <n v="14"/>
    <n v="9"/>
    <x v="21"/>
    <s v="Yes"/>
    <n v="6"/>
  </r>
  <r>
    <x v="63"/>
    <x v="1"/>
    <n v="7"/>
    <n v="3"/>
    <x v="14"/>
    <s v="No"/>
    <s v="N/A"/>
  </r>
  <r>
    <x v="63"/>
    <x v="5"/>
    <n v="3"/>
    <n v="2"/>
    <x v="2"/>
    <s v="No"/>
    <s v="N/A"/>
  </r>
  <r>
    <x v="63"/>
    <x v="2"/>
    <n v="1"/>
    <n v="0"/>
    <x v="27"/>
    <s v="No"/>
    <s v="N/A"/>
  </r>
  <r>
    <x v="64"/>
    <x v="0"/>
    <n v="80"/>
    <n v="35"/>
    <x v="120"/>
    <s v="Yes"/>
    <n v="25"/>
  </r>
  <r>
    <x v="64"/>
    <x v="3"/>
    <n v="1"/>
    <n v="0"/>
    <x v="27"/>
    <s v="No"/>
    <s v="N/A"/>
  </r>
  <r>
    <x v="64"/>
    <x v="4"/>
    <n v="2"/>
    <n v="0"/>
    <x v="27"/>
    <s v="No"/>
    <s v="N/A"/>
  </r>
  <r>
    <x v="65"/>
    <x v="0"/>
    <n v="277"/>
    <n v="141"/>
    <x v="121"/>
    <s v="Yes"/>
    <n v="15"/>
  </r>
  <r>
    <x v="65"/>
    <x v="3"/>
    <n v="24"/>
    <n v="8"/>
    <x v="1"/>
    <s v="Yes"/>
    <n v="39"/>
  </r>
  <r>
    <x v="65"/>
    <x v="4"/>
    <n v="12"/>
    <n v="6"/>
    <x v="5"/>
    <s v="Yes"/>
    <n v="21"/>
  </r>
  <r>
    <x v="65"/>
    <x v="5"/>
    <n v="10"/>
    <n v="5"/>
    <x v="5"/>
    <s v="Yes"/>
    <n v="12"/>
  </r>
  <r>
    <x v="65"/>
    <x v="2"/>
    <n v="14"/>
    <n v="6"/>
    <x v="14"/>
    <s v="Yes"/>
    <n v="30"/>
  </r>
  <r>
    <x v="65"/>
    <x v="1"/>
    <n v="1"/>
    <n v="1"/>
    <x v="7"/>
    <s v="No"/>
    <s v="N/A"/>
  </r>
  <r>
    <x v="66"/>
    <x v="0"/>
    <n v="30"/>
    <n v="19"/>
    <x v="122"/>
    <s v="Yes"/>
    <n v="4"/>
  </r>
  <r>
    <x v="66"/>
    <x v="1"/>
    <n v="1"/>
    <n v="1"/>
    <x v="7"/>
    <s v="No"/>
    <s v="N/A"/>
  </r>
  <r>
    <x v="66"/>
    <x v="3"/>
    <n v="2"/>
    <n v="0"/>
    <x v="27"/>
    <s v="No"/>
    <s v="N/A"/>
  </r>
  <r>
    <x v="66"/>
    <x v="2"/>
    <n v="1"/>
    <n v="0"/>
    <x v="27"/>
    <s v="No"/>
    <s v="N/A"/>
  </r>
  <r>
    <x v="67"/>
    <x v="0"/>
    <n v="28"/>
    <n v="15"/>
    <x v="20"/>
    <s v="Yes"/>
    <n v="10"/>
  </r>
  <r>
    <x v="67"/>
    <x v="3"/>
    <n v="14"/>
    <n v="8"/>
    <x v="6"/>
    <s v="Yes"/>
    <n v="9"/>
  </r>
  <r>
    <x v="67"/>
    <x v="4"/>
    <n v="37"/>
    <n v="14"/>
    <x v="123"/>
    <s v="Yes"/>
    <n v="37"/>
  </r>
  <r>
    <x v="67"/>
    <x v="1"/>
    <n v="22"/>
    <n v="12"/>
    <x v="124"/>
    <s v="Yes"/>
    <n v="12"/>
  </r>
  <r>
    <x v="67"/>
    <x v="2"/>
    <n v="2"/>
    <n v="1"/>
    <x v="5"/>
    <s v="No"/>
    <s v="N/A"/>
  </r>
  <r>
    <x v="67"/>
    <x v="5"/>
    <n v="3"/>
    <n v="3"/>
    <x v="7"/>
    <s v="No"/>
    <s v="N/A"/>
  </r>
  <r>
    <x v="68"/>
    <x v="4"/>
    <n v="65"/>
    <n v="32"/>
    <x v="125"/>
    <s v="Yes"/>
    <n v="25"/>
  </r>
  <r>
    <x v="68"/>
    <x v="1"/>
    <n v="27"/>
    <n v="17"/>
    <x v="126"/>
    <s v="Yes"/>
    <n v="4"/>
  </r>
  <r>
    <x v="68"/>
    <x v="0"/>
    <n v="28"/>
    <n v="17"/>
    <x v="127"/>
    <s v="Yes"/>
    <n v="5"/>
  </r>
  <r>
    <x v="69"/>
    <x v="1"/>
    <n v="100"/>
    <n v="46"/>
    <x v="81"/>
    <s v="Yes"/>
    <n v="29"/>
  </r>
  <r>
    <x v="69"/>
    <x v="4"/>
    <n v="8"/>
    <n v="4"/>
    <x v="5"/>
    <s v="No"/>
    <s v="N/A"/>
  </r>
  <r>
    <x v="69"/>
    <x v="3"/>
    <n v="7"/>
    <n v="4"/>
    <x v="6"/>
    <s v="No"/>
    <s v="N/A"/>
  </r>
  <r>
    <x v="69"/>
    <x v="2"/>
    <n v="1"/>
    <n v="1"/>
    <x v="7"/>
    <s v="No"/>
    <s v="N/A"/>
  </r>
  <r>
    <x v="70"/>
    <x v="5"/>
    <n v="34"/>
    <n v="19"/>
    <x v="128"/>
    <s v="Yes"/>
    <n v="6"/>
  </r>
  <r>
    <x v="70"/>
    <x v="3"/>
    <n v="59"/>
    <n v="30"/>
    <x v="129"/>
    <s v="Yes"/>
    <n v="20"/>
  </r>
  <r>
    <x v="70"/>
    <x v="2"/>
    <n v="82"/>
    <n v="49"/>
    <x v="130"/>
    <s v="Yes"/>
    <n v="8"/>
  </r>
  <r>
    <x v="70"/>
    <x v="1"/>
    <n v="3"/>
    <n v="1"/>
    <x v="1"/>
    <s v="No"/>
    <s v="N/A"/>
  </r>
  <r>
    <x v="70"/>
    <x v="4"/>
    <n v="1"/>
    <n v="1"/>
    <x v="7"/>
    <s v="No"/>
    <s v="N/A"/>
  </r>
  <r>
    <x v="71"/>
    <x v="2"/>
    <n v="149"/>
    <n v="67"/>
    <x v="131"/>
    <s v="Yes"/>
    <n v="26"/>
  </r>
  <r>
    <x v="71"/>
    <x v="3"/>
    <n v="71"/>
    <n v="38"/>
    <x v="132"/>
    <s v="Yes"/>
    <n v="15"/>
  </r>
  <r>
    <x v="71"/>
    <x v="4"/>
    <n v="2"/>
    <n v="1"/>
    <x v="5"/>
    <s v="No"/>
    <s v="N/A"/>
  </r>
  <r>
    <x v="71"/>
    <x v="1"/>
    <n v="22"/>
    <n v="15"/>
    <x v="15"/>
    <s v="Yes"/>
    <n v="2"/>
  </r>
  <r>
    <x v="71"/>
    <x v="0"/>
    <n v="4"/>
    <n v="3"/>
    <x v="26"/>
    <s v="No"/>
    <s v="N/A"/>
  </r>
  <r>
    <x v="71"/>
    <x v="5"/>
    <n v="3"/>
    <n v="1"/>
    <x v="1"/>
    <s v="No"/>
    <s v="N/A"/>
  </r>
  <r>
    <x v="72"/>
    <x v="3"/>
    <n v="4"/>
    <n v="3"/>
    <x v="26"/>
    <s v="No"/>
    <s v="N/A"/>
  </r>
  <r>
    <x v="72"/>
    <x v="1"/>
    <n v="15"/>
    <n v="8"/>
    <x v="133"/>
    <s v="Yes"/>
    <n v="13"/>
  </r>
  <r>
    <x v="72"/>
    <x v="2"/>
    <n v="3"/>
    <n v="2"/>
    <x v="2"/>
    <s v="No"/>
    <s v="N/A"/>
  </r>
  <r>
    <x v="72"/>
    <x v="0"/>
    <n v="2"/>
    <n v="0"/>
    <x v="27"/>
    <s v="No"/>
    <s v="N/A"/>
  </r>
  <r>
    <x v="72"/>
    <x v="4"/>
    <n v="2"/>
    <n v="1"/>
    <x v="5"/>
    <s v="No"/>
    <s v="N/A"/>
  </r>
  <r>
    <x v="73"/>
    <x v="2"/>
    <n v="42"/>
    <n v="26"/>
    <x v="134"/>
    <s v="Yes"/>
    <n v="6"/>
  </r>
  <r>
    <x v="73"/>
    <x v="3"/>
    <n v="19"/>
    <n v="8"/>
    <x v="135"/>
    <s v="Yes"/>
    <n v="35"/>
  </r>
  <r>
    <x v="73"/>
    <x v="5"/>
    <n v="8"/>
    <n v="4"/>
    <x v="5"/>
    <s v="No"/>
    <s v="N/A"/>
  </r>
  <r>
    <x v="73"/>
    <x v="0"/>
    <n v="1"/>
    <n v="0"/>
    <x v="27"/>
    <s v="No"/>
    <s v="N/A"/>
  </r>
  <r>
    <x v="73"/>
    <x v="4"/>
    <n v="1"/>
    <n v="0"/>
    <x v="27"/>
    <s v="No"/>
    <s v="N/A"/>
  </r>
  <r>
    <x v="74"/>
    <x v="4"/>
    <n v="45"/>
    <n v="25"/>
    <x v="47"/>
    <s v="Yes"/>
    <n v="11"/>
  </r>
  <r>
    <x v="74"/>
    <x v="0"/>
    <n v="1"/>
    <n v="0"/>
    <x v="27"/>
    <s v="No"/>
    <s v="N/A"/>
  </r>
  <r>
    <x v="75"/>
    <x v="1"/>
    <n v="303"/>
    <n v="155"/>
    <x v="136"/>
    <s v="Yes"/>
    <n v="20"/>
  </r>
  <r>
    <x v="75"/>
    <x v="4"/>
    <n v="335"/>
    <n v="184"/>
    <x v="137"/>
    <s v="Yes"/>
    <n v="12"/>
  </r>
  <r>
    <x v="75"/>
    <x v="3"/>
    <n v="2"/>
    <n v="1"/>
    <x v="5"/>
    <s v="No"/>
    <s v="N/A"/>
  </r>
  <r>
    <x v="75"/>
    <x v="5"/>
    <n v="1"/>
    <n v="0"/>
    <x v="27"/>
    <s v="No"/>
    <s v="N/A"/>
  </r>
  <r>
    <x v="75"/>
    <x v="0"/>
    <n v="2"/>
    <n v="2"/>
    <x v="7"/>
    <s v="No"/>
    <s v="N/A"/>
  </r>
  <r>
    <x v="76"/>
    <x v="2"/>
    <n v="2"/>
    <n v="1"/>
    <x v="5"/>
    <s v="No"/>
    <s v="N/A"/>
  </r>
  <r>
    <x v="76"/>
    <x v="0"/>
    <n v="64"/>
    <n v="26"/>
    <x v="138"/>
    <s v="Yes"/>
    <n v="29"/>
  </r>
  <r>
    <x v="76"/>
    <x v="3"/>
    <n v="1"/>
    <n v="0"/>
    <x v="27"/>
    <s v="No"/>
    <s v="N/A"/>
  </r>
  <r>
    <x v="77"/>
    <x v="0"/>
    <n v="51"/>
    <n v="23"/>
    <x v="139"/>
    <s v="Yes"/>
    <n v="23"/>
  </r>
  <r>
    <x v="78"/>
    <x v="1"/>
    <n v="97"/>
    <n v="71"/>
    <x v="140"/>
    <s v="Yes"/>
    <n v="1"/>
  </r>
  <r>
    <x v="78"/>
    <x v="5"/>
    <n v="84"/>
    <n v="41"/>
    <x v="141"/>
    <s v="Yes"/>
    <n v="15"/>
  </r>
  <r>
    <x v="78"/>
    <x v="3"/>
    <n v="302"/>
    <n v="172"/>
    <x v="142"/>
    <s v="Yes"/>
    <n v="12"/>
  </r>
  <r>
    <x v="78"/>
    <x v="2"/>
    <n v="85"/>
    <n v="56"/>
    <x v="143"/>
    <s v="Yes"/>
    <n v="4"/>
  </r>
  <r>
    <x v="78"/>
    <x v="4"/>
    <n v="13"/>
    <n v="7"/>
    <x v="60"/>
    <s v="Yes"/>
    <n v="14"/>
  </r>
  <r>
    <x v="78"/>
    <x v="0"/>
    <n v="10"/>
    <n v="7"/>
    <x v="99"/>
    <s v="Yes"/>
    <n v="2"/>
  </r>
  <r>
    <x v="79"/>
    <x v="1"/>
    <n v="89"/>
    <n v="42"/>
    <x v="144"/>
    <s v="Yes"/>
    <n v="25"/>
  </r>
  <r>
    <x v="79"/>
    <x v="4"/>
    <n v="27"/>
    <n v="13"/>
    <x v="145"/>
    <s v="Yes"/>
    <n v="26"/>
  </r>
  <r>
    <x v="79"/>
    <x v="3"/>
    <n v="4"/>
    <n v="3"/>
    <x v="26"/>
    <s v="No"/>
    <s v="N/A"/>
  </r>
  <r>
    <x v="80"/>
    <x v="4"/>
    <n v="273"/>
    <n v="155"/>
    <x v="146"/>
    <s v="Yes"/>
    <n v="9"/>
  </r>
  <r>
    <x v="80"/>
    <x v="3"/>
    <n v="1"/>
    <n v="1"/>
    <x v="7"/>
    <s v="No"/>
    <s v="N/A"/>
  </r>
  <r>
    <x v="81"/>
    <x v="3"/>
    <n v="77"/>
    <n v="41"/>
    <x v="147"/>
    <s v="Yes"/>
    <n v="16"/>
  </r>
  <r>
    <x v="81"/>
    <x v="4"/>
    <n v="55"/>
    <n v="26"/>
    <x v="148"/>
    <s v="Yes"/>
    <n v="29"/>
  </r>
  <r>
    <x v="81"/>
    <x v="1"/>
    <n v="56"/>
    <n v="23"/>
    <x v="149"/>
    <s v="Yes"/>
    <n v="33"/>
  </r>
  <r>
    <x v="81"/>
    <x v="0"/>
    <n v="22"/>
    <n v="18"/>
    <x v="150"/>
    <s v="Yes"/>
    <n v="1"/>
  </r>
  <r>
    <x v="81"/>
    <x v="5"/>
    <n v="19"/>
    <n v="8"/>
    <x v="135"/>
    <s v="Yes"/>
    <n v="22"/>
  </r>
  <r>
    <x v="81"/>
    <x v="2"/>
    <n v="71"/>
    <n v="28"/>
    <x v="151"/>
    <s v="Yes"/>
    <n v="32"/>
  </r>
  <r>
    <x v="82"/>
    <x v="2"/>
    <n v="14"/>
    <n v="11"/>
    <x v="152"/>
    <s v="Yes"/>
    <n v="1"/>
  </r>
  <r>
    <x v="82"/>
    <x v="5"/>
    <n v="7"/>
    <n v="3"/>
    <x v="14"/>
    <s v="No"/>
    <s v="N/A"/>
  </r>
  <r>
    <x v="82"/>
    <x v="3"/>
    <n v="28"/>
    <n v="16"/>
    <x v="6"/>
    <s v="Yes"/>
    <n v="9"/>
  </r>
  <r>
    <x v="82"/>
    <x v="4"/>
    <n v="2"/>
    <n v="1"/>
    <x v="5"/>
    <s v="No"/>
    <s v="N/A"/>
  </r>
  <r>
    <x v="82"/>
    <x v="1"/>
    <n v="1"/>
    <n v="0"/>
    <x v="27"/>
    <s v="No"/>
    <s v="N/A"/>
  </r>
  <r>
    <x v="83"/>
    <x v="4"/>
    <n v="438"/>
    <n v="221"/>
    <x v="153"/>
    <s v="Yes"/>
    <n v="20"/>
  </r>
  <r>
    <x v="83"/>
    <x v="1"/>
    <n v="18"/>
    <n v="7"/>
    <x v="30"/>
    <s v="Yes"/>
    <n v="35"/>
  </r>
  <r>
    <x v="83"/>
    <x v="3"/>
    <n v="7"/>
    <n v="1"/>
    <x v="154"/>
    <s v="No"/>
    <s v="N/A"/>
  </r>
  <r>
    <x v="83"/>
    <x v="0"/>
    <n v="18"/>
    <n v="7"/>
    <x v="30"/>
    <s v="Yes"/>
    <n v="33"/>
  </r>
  <r>
    <x v="83"/>
    <x v="2"/>
    <n v="3"/>
    <n v="2"/>
    <x v="2"/>
    <s v="No"/>
    <s v="N/A"/>
  </r>
  <r>
    <x v="84"/>
    <x v="0"/>
    <n v="88"/>
    <n v="31"/>
    <x v="155"/>
    <s v="Yes"/>
    <n v="35"/>
  </r>
  <r>
    <x v="84"/>
    <x v="4"/>
    <n v="28"/>
    <n v="13"/>
    <x v="156"/>
    <s v="Yes"/>
    <n v="30"/>
  </r>
  <r>
    <x v="84"/>
    <x v="1"/>
    <n v="68"/>
    <n v="28"/>
    <x v="157"/>
    <s v="Yes"/>
    <n v="32"/>
  </r>
  <r>
    <x v="84"/>
    <x v="3"/>
    <n v="3"/>
    <n v="1"/>
    <x v="1"/>
    <s v="No"/>
    <s v="N/A"/>
  </r>
  <r>
    <x v="85"/>
    <x v="4"/>
    <n v="24"/>
    <n v="8"/>
    <x v="1"/>
    <s v="Yes"/>
    <n v="38"/>
  </r>
  <r>
    <x v="85"/>
    <x v="0"/>
    <n v="7"/>
    <n v="3"/>
    <x v="14"/>
    <s v="No"/>
    <s v="N/A"/>
  </r>
  <r>
    <x v="85"/>
    <x v="3"/>
    <n v="1"/>
    <n v="0"/>
    <x v="27"/>
    <s v="No"/>
    <s v="N/A"/>
  </r>
  <r>
    <x v="85"/>
    <x v="1"/>
    <n v="3"/>
    <n v="2"/>
    <x v="2"/>
    <s v="No"/>
    <s v="N/A"/>
  </r>
  <r>
    <x v="86"/>
    <x v="3"/>
    <n v="109"/>
    <n v="52"/>
    <x v="158"/>
    <s v="Yes"/>
    <n v="29"/>
  </r>
  <r>
    <x v="86"/>
    <x v="2"/>
    <n v="113"/>
    <n v="48"/>
    <x v="159"/>
    <s v="Yes"/>
    <n v="31"/>
  </r>
  <r>
    <x v="86"/>
    <x v="5"/>
    <n v="49"/>
    <n v="23"/>
    <x v="160"/>
    <s v="Yes"/>
    <n v="18"/>
  </r>
  <r>
    <x v="86"/>
    <x v="0"/>
    <n v="1"/>
    <n v="0"/>
    <x v="27"/>
    <s v="No"/>
    <s v="N/A"/>
  </r>
  <r>
    <x v="87"/>
    <x v="2"/>
    <n v="310"/>
    <n v="156"/>
    <x v="161"/>
    <s v="Yes"/>
    <n v="18"/>
  </r>
  <r>
    <x v="87"/>
    <x v="3"/>
    <n v="482"/>
    <n v="238"/>
    <x v="162"/>
    <s v="Yes"/>
    <n v="25"/>
  </r>
  <r>
    <x v="87"/>
    <x v="4"/>
    <n v="126"/>
    <n v="76"/>
    <x v="163"/>
    <s v="Yes"/>
    <n v="6"/>
  </r>
  <r>
    <x v="87"/>
    <x v="5"/>
    <n v="133"/>
    <n v="66"/>
    <x v="164"/>
    <s v="Yes"/>
    <n v="14"/>
  </r>
  <r>
    <x v="87"/>
    <x v="1"/>
    <n v="16"/>
    <n v="9"/>
    <x v="107"/>
    <s v="Yes"/>
    <n v="9"/>
  </r>
  <r>
    <x v="87"/>
    <x v="0"/>
    <n v="3"/>
    <n v="2"/>
    <x v="2"/>
    <s v="No"/>
    <s v="N/A"/>
  </r>
  <r>
    <x v="88"/>
    <x v="1"/>
    <n v="71"/>
    <n v="29"/>
    <x v="165"/>
    <s v="Yes"/>
    <n v="34"/>
  </r>
  <r>
    <x v="88"/>
    <x v="4"/>
    <n v="175"/>
    <n v="84"/>
    <x v="166"/>
    <s v="Yes"/>
    <n v="27"/>
  </r>
  <r>
    <x v="88"/>
    <x v="0"/>
    <n v="1"/>
    <n v="0"/>
    <x v="27"/>
    <s v="No"/>
    <s v="N/A"/>
  </r>
  <r>
    <x v="88"/>
    <x v="2"/>
    <n v="1"/>
    <n v="0"/>
    <x v="27"/>
    <s v="No"/>
    <s v="N/A"/>
  </r>
  <r>
    <x v="88"/>
    <x v="3"/>
    <n v="2"/>
    <n v="1"/>
    <x v="5"/>
    <s v="No"/>
    <s v="N/A"/>
  </r>
  <r>
    <x v="89"/>
    <x v="3"/>
    <n v="114"/>
    <n v="45"/>
    <x v="167"/>
    <s v="Yes"/>
    <n v="36"/>
  </r>
  <r>
    <x v="89"/>
    <x v="1"/>
    <n v="3"/>
    <n v="0"/>
    <x v="27"/>
    <s v="No"/>
    <s v="N/A"/>
  </r>
  <r>
    <x v="89"/>
    <x v="5"/>
    <n v="50"/>
    <n v="24"/>
    <x v="166"/>
    <s v="Yes"/>
    <n v="16"/>
  </r>
  <r>
    <x v="89"/>
    <x v="2"/>
    <n v="142"/>
    <n v="67"/>
    <x v="168"/>
    <s v="Yes"/>
    <n v="23"/>
  </r>
  <r>
    <x v="89"/>
    <x v="0"/>
    <n v="1"/>
    <n v="1"/>
    <x v="7"/>
    <s v="No"/>
    <s v="N/A"/>
  </r>
  <r>
    <x v="89"/>
    <x v="4"/>
    <n v="1"/>
    <n v="0"/>
    <x v="27"/>
    <s v="No"/>
    <s v="N/A"/>
  </r>
  <r>
    <x v="90"/>
    <x v="4"/>
    <n v="262"/>
    <n v="120"/>
    <x v="169"/>
    <s v="Yes"/>
    <n v="32"/>
  </r>
  <r>
    <x v="90"/>
    <x v="0"/>
    <n v="187"/>
    <n v="83"/>
    <x v="170"/>
    <s v="Yes"/>
    <n v="24"/>
  </r>
  <r>
    <x v="90"/>
    <x v="1"/>
    <n v="1"/>
    <n v="1"/>
    <x v="7"/>
    <s v="No"/>
    <s v="N/A"/>
  </r>
  <r>
    <x v="91"/>
    <x v="3"/>
    <n v="92"/>
    <n v="45"/>
    <x v="171"/>
    <s v="Yes"/>
    <n v="28"/>
  </r>
  <r>
    <x v="91"/>
    <x v="2"/>
    <n v="159"/>
    <n v="82"/>
    <x v="172"/>
    <s v="Yes"/>
    <n v="16"/>
  </r>
  <r>
    <x v="91"/>
    <x v="5"/>
    <n v="20"/>
    <n v="14"/>
    <x v="99"/>
    <s v="Yes"/>
    <n v="2"/>
  </r>
  <r>
    <x v="91"/>
    <x v="1"/>
    <n v="2"/>
    <n v="1"/>
    <x v="5"/>
    <s v="No"/>
    <s v="N/A"/>
  </r>
  <r>
    <x v="91"/>
    <x v="0"/>
    <n v="1"/>
    <n v="0"/>
    <x v="27"/>
    <s v="No"/>
    <s v="N/A"/>
  </r>
  <r>
    <x v="92"/>
    <x v="3"/>
    <n v="58"/>
    <n v="30"/>
    <x v="173"/>
    <s v="Yes"/>
    <n v="18"/>
  </r>
  <r>
    <x v="92"/>
    <x v="2"/>
    <n v="97"/>
    <n v="38"/>
    <x v="174"/>
    <s v="Yes"/>
    <n v="33"/>
  </r>
  <r>
    <x v="92"/>
    <x v="5"/>
    <n v="18"/>
    <n v="13"/>
    <x v="175"/>
    <s v="Yes"/>
    <n v="1"/>
  </r>
  <r>
    <x v="92"/>
    <x v="0"/>
    <n v="1"/>
    <n v="1"/>
    <x v="7"/>
    <s v="No"/>
    <s v="N/A"/>
  </r>
  <r>
    <x v="93"/>
    <x v="3"/>
    <n v="136"/>
    <n v="70"/>
    <x v="176"/>
    <s v="Yes"/>
    <n v="19"/>
  </r>
  <r>
    <x v="93"/>
    <x v="2"/>
    <n v="81"/>
    <n v="37"/>
    <x v="177"/>
    <s v="Yes"/>
    <n v="24"/>
  </r>
  <r>
    <x v="93"/>
    <x v="5"/>
    <n v="18"/>
    <n v="7"/>
    <x v="30"/>
    <s v="Yes"/>
    <n v="23"/>
  </r>
  <r>
    <x v="93"/>
    <x v="4"/>
    <n v="7"/>
    <n v="3"/>
    <x v="14"/>
    <s v="No"/>
    <s v="N/A"/>
  </r>
  <r>
    <x v="93"/>
    <x v="1"/>
    <n v="3"/>
    <n v="1"/>
    <x v="1"/>
    <s v="No"/>
    <s v="N/A"/>
  </r>
  <r>
    <x v="94"/>
    <x v="1"/>
    <n v="310"/>
    <n v="176"/>
    <x v="178"/>
    <s v="Yes"/>
    <n v="8"/>
  </r>
  <r>
    <x v="94"/>
    <x v="4"/>
    <n v="100"/>
    <n v="53"/>
    <x v="179"/>
    <s v="Yes"/>
    <n v="16"/>
  </r>
  <r>
    <x v="94"/>
    <x v="0"/>
    <n v="2"/>
    <n v="1"/>
    <x v="5"/>
    <s v="No"/>
    <s v="N/A"/>
  </r>
  <r>
    <x v="94"/>
    <x v="3"/>
    <n v="21"/>
    <n v="9"/>
    <x v="14"/>
    <s v="Yes"/>
    <n v="34"/>
  </r>
  <r>
    <x v="94"/>
    <x v="2"/>
    <n v="2"/>
    <n v="0"/>
    <x v="27"/>
    <s v="No"/>
    <s v="N/A"/>
  </r>
  <r>
    <x v="95"/>
    <x v="0"/>
    <n v="151"/>
    <n v="76"/>
    <x v="180"/>
    <s v="Yes"/>
    <n v="17"/>
  </r>
  <r>
    <x v="95"/>
    <x v="4"/>
    <n v="7"/>
    <n v="3"/>
    <x v="14"/>
    <s v="No"/>
    <s v="N/A"/>
  </r>
  <r>
    <x v="95"/>
    <x v="3"/>
    <n v="3"/>
    <n v="1"/>
    <x v="1"/>
    <s v="No"/>
    <s v="N/A"/>
  </r>
  <r>
    <x v="95"/>
    <x v="1"/>
    <n v="1"/>
    <n v="1"/>
    <x v="7"/>
    <s v="No"/>
    <s v="N/A"/>
  </r>
  <r>
    <x v="96"/>
    <x v="3"/>
    <n v="91"/>
    <n v="39"/>
    <x v="14"/>
    <s v="Yes"/>
    <n v="34"/>
  </r>
  <r>
    <x v="96"/>
    <x v="2"/>
    <n v="64"/>
    <n v="31"/>
    <x v="181"/>
    <s v="Yes"/>
    <n v="22"/>
  </r>
  <r>
    <x v="96"/>
    <x v="1"/>
    <n v="16"/>
    <n v="6"/>
    <x v="64"/>
    <s v="Yes"/>
    <n v="36"/>
  </r>
  <r>
    <x v="96"/>
    <x v="5"/>
    <n v="11"/>
    <n v="3"/>
    <x v="11"/>
    <s v="Yes"/>
    <n v="27"/>
  </r>
  <r>
    <x v="96"/>
    <x v="4"/>
    <n v="35"/>
    <n v="23"/>
    <x v="182"/>
    <s v="Yes"/>
    <n v="2"/>
  </r>
  <r>
    <x v="96"/>
    <x v="0"/>
    <n v="3"/>
    <n v="0"/>
    <x v="27"/>
    <s v="No"/>
    <s v="N/A"/>
  </r>
  <r>
    <x v="97"/>
    <x v="0"/>
    <n v="51"/>
    <n v="31"/>
    <x v="183"/>
    <s v="Yes"/>
    <n v="5"/>
  </r>
  <r>
    <x v="97"/>
    <x v="4"/>
    <n v="161"/>
    <n v="76"/>
    <x v="184"/>
    <s v="Yes"/>
    <n v="30"/>
  </r>
  <r>
    <x v="97"/>
    <x v="2"/>
    <n v="1"/>
    <n v="1"/>
    <x v="7"/>
    <s v="No"/>
    <s v="N/A"/>
  </r>
  <r>
    <x v="97"/>
    <x v="1"/>
    <n v="2"/>
    <n v="1"/>
    <x v="5"/>
    <s v="No"/>
    <s v="N/A"/>
  </r>
  <r>
    <x v="98"/>
    <x v="0"/>
    <n v="17"/>
    <n v="8"/>
    <x v="59"/>
    <s v="Yes"/>
    <n v="23"/>
  </r>
  <r>
    <x v="99"/>
    <x v="1"/>
    <n v="89"/>
    <n v="43"/>
    <x v="185"/>
    <s v="Yes"/>
    <n v="23"/>
  </r>
  <r>
    <x v="99"/>
    <x v="3"/>
    <n v="129"/>
    <n v="62"/>
    <x v="76"/>
    <s v="Yes"/>
    <n v="29"/>
  </r>
  <r>
    <x v="99"/>
    <x v="2"/>
    <n v="93"/>
    <n v="51"/>
    <x v="186"/>
    <s v="Yes"/>
    <n v="11"/>
  </r>
  <r>
    <x v="99"/>
    <x v="5"/>
    <n v="61"/>
    <n v="21"/>
    <x v="187"/>
    <s v="Yes"/>
    <n v="26"/>
  </r>
  <r>
    <x v="99"/>
    <x v="4"/>
    <n v="10"/>
    <n v="8"/>
    <x v="188"/>
    <s v="Yes"/>
    <n v="1"/>
  </r>
  <r>
    <x v="99"/>
    <x v="0"/>
    <n v="1"/>
    <n v="1"/>
    <x v="7"/>
    <s v="No"/>
    <s v="N/A"/>
  </r>
  <r>
    <x v="100"/>
    <x v="4"/>
    <n v="287"/>
    <n v="146"/>
    <x v="189"/>
    <s v="Yes"/>
    <n v="20"/>
  </r>
  <r>
    <x v="100"/>
    <x v="0"/>
    <n v="9"/>
    <n v="3"/>
    <x v="1"/>
    <s v="No"/>
    <s v="N/A"/>
  </r>
  <r>
    <x v="100"/>
    <x v="3"/>
    <n v="1"/>
    <n v="1"/>
    <x v="7"/>
    <s v="No"/>
    <s v="N/A"/>
  </r>
  <r>
    <x v="101"/>
    <x v="0"/>
    <n v="63"/>
    <n v="31"/>
    <x v="190"/>
    <s v="Yes"/>
    <n v="20"/>
  </r>
  <r>
    <x v="101"/>
    <x v="3"/>
    <n v="1"/>
    <n v="0"/>
    <x v="27"/>
    <s v="No"/>
    <s v="N/A"/>
  </r>
  <r>
    <x v="102"/>
    <x v="3"/>
    <n v="111"/>
    <n v="59"/>
    <x v="191"/>
    <s v="Yes"/>
    <n v="17"/>
  </r>
  <r>
    <x v="102"/>
    <x v="1"/>
    <n v="14"/>
    <n v="5"/>
    <x v="44"/>
    <s v="Yes"/>
    <n v="37"/>
  </r>
  <r>
    <x v="102"/>
    <x v="2"/>
    <n v="42"/>
    <n v="24"/>
    <x v="6"/>
    <s v="Yes"/>
    <n v="10"/>
  </r>
  <r>
    <x v="102"/>
    <x v="5"/>
    <n v="32"/>
    <n v="15"/>
    <x v="192"/>
    <s v="Yes"/>
    <n v="19"/>
  </r>
  <r>
    <x v="102"/>
    <x v="4"/>
    <n v="2"/>
    <n v="2"/>
    <x v="7"/>
    <s v="No"/>
    <s v="N/A"/>
  </r>
  <r>
    <x v="103"/>
    <x v="0"/>
    <n v="185"/>
    <n v="86"/>
    <x v="193"/>
    <s v="Yes"/>
    <n v="23"/>
  </r>
  <r>
    <x v="103"/>
    <x v="4"/>
    <n v="51"/>
    <n v="28"/>
    <x v="194"/>
    <s v="Yes"/>
    <n v="13"/>
  </r>
  <r>
    <x v="103"/>
    <x v="3"/>
    <n v="1"/>
    <n v="0"/>
    <x v="27"/>
    <s v="No"/>
    <s v="N/A"/>
  </r>
  <r>
    <x v="104"/>
    <x v="0"/>
    <n v="148"/>
    <n v="87"/>
    <x v="195"/>
    <s v="Yes"/>
    <n v="6"/>
  </r>
  <r>
    <x v="104"/>
    <x v="3"/>
    <n v="1"/>
    <n v="1"/>
    <x v="7"/>
    <s v="No"/>
    <s v="N/A"/>
  </r>
  <r>
    <x v="105"/>
    <x v="1"/>
    <n v="547"/>
    <n v="254"/>
    <x v="196"/>
    <s v="Yes"/>
    <n v="28"/>
  </r>
  <r>
    <x v="105"/>
    <x v="3"/>
    <n v="18"/>
    <n v="10"/>
    <x v="47"/>
    <s v="Yes"/>
    <n v="15"/>
  </r>
  <r>
    <x v="105"/>
    <x v="4"/>
    <n v="5"/>
    <n v="3"/>
    <x v="16"/>
    <s v="No"/>
    <s v="N/A"/>
  </r>
  <r>
    <x v="105"/>
    <x v="2"/>
    <n v="5"/>
    <n v="1"/>
    <x v="34"/>
    <s v="No"/>
    <s v="N/A"/>
  </r>
  <r>
    <x v="105"/>
    <x v="0"/>
    <n v="2"/>
    <n v="1"/>
    <x v="5"/>
    <s v="No"/>
    <s v="N/A"/>
  </r>
  <r>
    <x v="106"/>
    <x v="1"/>
    <n v="114"/>
    <n v="51"/>
    <x v="197"/>
    <s v="Yes"/>
    <n v="31"/>
  </r>
  <r>
    <x v="106"/>
    <x v="4"/>
    <n v="10"/>
    <n v="4"/>
    <x v="25"/>
    <s v="Yes"/>
    <n v="34"/>
  </r>
  <r>
    <x v="106"/>
    <x v="3"/>
    <n v="2"/>
    <n v="2"/>
    <x v="7"/>
    <s v="No"/>
    <s v="N/A"/>
  </r>
  <r>
    <x v="106"/>
    <x v="2"/>
    <n v="1"/>
    <n v="0"/>
    <x v="27"/>
    <s v="No"/>
    <s v="N/A"/>
  </r>
  <r>
    <x v="107"/>
    <x v="4"/>
    <n v="22"/>
    <n v="8"/>
    <x v="67"/>
    <s v="Yes"/>
    <n v="38"/>
  </r>
  <r>
    <x v="107"/>
    <x v="1"/>
    <n v="2"/>
    <n v="0"/>
    <x v="27"/>
    <s v="No"/>
    <s v="N/A"/>
  </r>
  <r>
    <x v="107"/>
    <x v="0"/>
    <n v="1"/>
    <n v="0"/>
    <x v="27"/>
    <s v="No"/>
    <s v="N/A"/>
  </r>
  <r>
    <x v="108"/>
    <x v="4"/>
    <n v="80"/>
    <n v="40"/>
    <x v="5"/>
    <s v="Yes"/>
    <n v="21"/>
  </r>
  <r>
    <x v="108"/>
    <x v="3"/>
    <n v="20"/>
    <n v="8"/>
    <x v="25"/>
    <s v="Yes"/>
    <n v="36"/>
  </r>
  <r>
    <x v="108"/>
    <x v="0"/>
    <n v="290"/>
    <n v="154"/>
    <x v="198"/>
    <s v="Yes"/>
    <n v="11"/>
  </r>
  <r>
    <x v="108"/>
    <x v="2"/>
    <n v="10"/>
    <n v="5"/>
    <x v="5"/>
    <s v="Yes"/>
    <n v="19"/>
  </r>
  <r>
    <x v="108"/>
    <x v="1"/>
    <n v="13"/>
    <n v="6"/>
    <x v="51"/>
    <s v="Yes"/>
    <n v="28"/>
  </r>
  <r>
    <x v="108"/>
    <x v="5"/>
    <n v="5"/>
    <n v="3"/>
    <x v="16"/>
    <s v="No"/>
    <s v="N/A"/>
  </r>
  <r>
    <x v="109"/>
    <x v="2"/>
    <n v="153"/>
    <n v="84"/>
    <x v="194"/>
    <s v="Yes"/>
    <n v="11"/>
  </r>
  <r>
    <x v="109"/>
    <x v="5"/>
    <n v="16"/>
    <n v="7"/>
    <x v="120"/>
    <s v="Yes"/>
    <n v="22"/>
  </r>
  <r>
    <x v="109"/>
    <x v="3"/>
    <n v="33"/>
    <n v="19"/>
    <x v="199"/>
    <s v="Yes"/>
    <n v="9"/>
  </r>
  <r>
    <x v="109"/>
    <x v="1"/>
    <n v="1"/>
    <n v="1"/>
    <x v="7"/>
    <s v="No"/>
    <s v="N/A"/>
  </r>
  <r>
    <x v="110"/>
    <x v="0"/>
    <n v="72"/>
    <n v="35"/>
    <x v="200"/>
    <s v="Yes"/>
    <n v="21"/>
  </r>
  <r>
    <x v="110"/>
    <x v="4"/>
    <n v="1"/>
    <n v="1"/>
    <x v="7"/>
    <s v="No"/>
    <s v="N/A"/>
  </r>
  <r>
    <x v="110"/>
    <x v="1"/>
    <n v="1"/>
    <n v="0"/>
    <x v="27"/>
    <s v="No"/>
    <s v="N/A"/>
  </r>
  <r>
    <x v="111"/>
    <x v="2"/>
    <n v="299"/>
    <n v="157"/>
    <x v="201"/>
    <s v="Yes"/>
    <n v="16"/>
  </r>
  <r>
    <x v="111"/>
    <x v="3"/>
    <n v="102"/>
    <n v="57"/>
    <x v="128"/>
    <s v="Yes"/>
    <n v="15"/>
  </r>
  <r>
    <x v="111"/>
    <x v="5"/>
    <n v="134"/>
    <n v="75"/>
    <x v="202"/>
    <s v="Yes"/>
    <n v="6"/>
  </r>
  <r>
    <x v="111"/>
    <x v="0"/>
    <n v="1"/>
    <n v="0"/>
    <x v="27"/>
    <s v="No"/>
    <s v="N/A"/>
  </r>
  <r>
    <x v="111"/>
    <x v="4"/>
    <n v="5"/>
    <n v="4"/>
    <x v="188"/>
    <s v="No"/>
    <s v="N/A"/>
  </r>
  <r>
    <x v="112"/>
    <x v="1"/>
    <n v="227"/>
    <n v="101"/>
    <x v="203"/>
    <s v="Yes"/>
    <n v="31"/>
  </r>
  <r>
    <x v="112"/>
    <x v="3"/>
    <n v="4"/>
    <n v="3"/>
    <x v="26"/>
    <s v="No"/>
    <s v="N/A"/>
  </r>
  <r>
    <x v="113"/>
    <x v="1"/>
    <n v="25"/>
    <n v="10"/>
    <x v="25"/>
    <s v="Yes"/>
    <n v="35"/>
  </r>
  <r>
    <x v="113"/>
    <x v="3"/>
    <n v="23"/>
    <n v="10"/>
    <x v="46"/>
    <s v="Yes"/>
    <n v="34"/>
  </r>
  <r>
    <x v="113"/>
    <x v="2"/>
    <n v="26"/>
    <n v="12"/>
    <x v="51"/>
    <s v="Yes"/>
    <n v="24"/>
  </r>
  <r>
    <x v="113"/>
    <x v="5"/>
    <n v="2"/>
    <n v="1"/>
    <x v="5"/>
    <s v="No"/>
    <s v="N/A"/>
  </r>
  <r>
    <x v="113"/>
    <x v="0"/>
    <n v="9"/>
    <n v="2"/>
    <x v="204"/>
    <s v="No"/>
    <s v="N/A"/>
  </r>
  <r>
    <x v="113"/>
    <x v="4"/>
    <n v="2"/>
    <n v="0"/>
    <x v="27"/>
    <s v="No"/>
    <s v="N/A"/>
  </r>
  <r>
    <x v="114"/>
    <x v="0"/>
    <n v="212"/>
    <n v="102"/>
    <x v="205"/>
    <s v="Yes"/>
    <n v="21"/>
  </r>
  <r>
    <x v="114"/>
    <x v="1"/>
    <n v="2"/>
    <n v="1"/>
    <x v="5"/>
    <s v="No"/>
    <s v="N/A"/>
  </r>
  <r>
    <x v="114"/>
    <x v="4"/>
    <n v="1"/>
    <n v="0"/>
    <x v="27"/>
    <s v="No"/>
    <s v="N/A"/>
  </r>
  <r>
    <x v="114"/>
    <x v="3"/>
    <n v="2"/>
    <n v="0"/>
    <x v="27"/>
    <s v="No"/>
    <s v="N/A"/>
  </r>
  <r>
    <x v="115"/>
    <x v="2"/>
    <n v="73"/>
    <n v="30"/>
    <x v="206"/>
    <s v="Yes"/>
    <n v="32"/>
  </r>
  <r>
    <x v="115"/>
    <x v="4"/>
    <n v="1"/>
    <n v="1"/>
    <x v="7"/>
    <s v="No"/>
    <s v="N/A"/>
  </r>
  <r>
    <x v="115"/>
    <x v="1"/>
    <n v="5"/>
    <n v="2"/>
    <x v="25"/>
    <s v="No"/>
    <s v="N/A"/>
  </r>
  <r>
    <x v="115"/>
    <x v="3"/>
    <n v="26"/>
    <n v="13"/>
    <x v="5"/>
    <s v="Yes"/>
    <n v="22"/>
  </r>
  <r>
    <x v="115"/>
    <x v="0"/>
    <n v="6"/>
    <n v="1"/>
    <x v="73"/>
    <s v="No"/>
    <s v="N/A"/>
  </r>
  <r>
    <x v="115"/>
    <x v="5"/>
    <n v="1"/>
    <n v="0"/>
    <x v="27"/>
    <s v="No"/>
    <s v="N/A"/>
  </r>
  <r>
    <x v="116"/>
    <x v="3"/>
    <n v="173"/>
    <n v="90"/>
    <x v="207"/>
    <s v="Yes"/>
    <n v="18"/>
  </r>
  <r>
    <x v="116"/>
    <x v="2"/>
    <n v="43"/>
    <n v="15"/>
    <x v="208"/>
    <s v="Yes"/>
    <n v="35"/>
  </r>
  <r>
    <x v="116"/>
    <x v="5"/>
    <n v="52"/>
    <n v="31"/>
    <x v="209"/>
    <s v="Yes"/>
    <n v="5"/>
  </r>
  <r>
    <x v="116"/>
    <x v="0"/>
    <n v="8"/>
    <n v="3"/>
    <x v="64"/>
    <s v="No"/>
    <s v="N/A"/>
  </r>
  <r>
    <x v="116"/>
    <x v="1"/>
    <n v="10"/>
    <n v="4"/>
    <x v="25"/>
    <s v="Yes"/>
    <n v="35"/>
  </r>
  <r>
    <x v="116"/>
    <x v="4"/>
    <n v="3"/>
    <n v="2"/>
    <x v="2"/>
    <s v="No"/>
    <s v="N/A"/>
  </r>
  <r>
    <x v="117"/>
    <x v="4"/>
    <n v="128"/>
    <n v="65"/>
    <x v="210"/>
    <s v="Yes"/>
    <n v="20"/>
  </r>
  <r>
    <x v="117"/>
    <x v="1"/>
    <n v="44"/>
    <n v="22"/>
    <x v="5"/>
    <s v="Yes"/>
    <n v="21"/>
  </r>
  <r>
    <x v="117"/>
    <x v="0"/>
    <n v="18"/>
    <n v="10"/>
    <x v="47"/>
    <s v="Yes"/>
    <n v="9"/>
  </r>
  <r>
    <x v="118"/>
    <x v="1"/>
    <n v="21"/>
    <n v="13"/>
    <x v="134"/>
    <s v="Yes"/>
    <n v="5"/>
  </r>
  <r>
    <x v="118"/>
    <x v="5"/>
    <n v="1"/>
    <n v="0"/>
    <x v="27"/>
    <s v="No"/>
    <s v="N/A"/>
  </r>
  <r>
    <x v="119"/>
    <x v="4"/>
    <n v="303"/>
    <n v="121"/>
    <x v="211"/>
    <s v="Yes"/>
    <n v="35"/>
  </r>
  <r>
    <x v="119"/>
    <x v="3"/>
    <n v="3"/>
    <n v="1"/>
    <x v="1"/>
    <s v="No"/>
    <s v="N/A"/>
  </r>
  <r>
    <x v="119"/>
    <x v="1"/>
    <n v="5"/>
    <n v="1"/>
    <x v="34"/>
    <s v="No"/>
    <s v="N/A"/>
  </r>
  <r>
    <x v="119"/>
    <x v="0"/>
    <n v="3"/>
    <n v="2"/>
    <x v="2"/>
    <s v="No"/>
    <s v="N/A"/>
  </r>
  <r>
    <x v="119"/>
    <x v="2"/>
    <n v="2"/>
    <n v="0"/>
    <x v="27"/>
    <s v="No"/>
    <s v="N/A"/>
  </r>
  <r>
    <x v="120"/>
    <x v="3"/>
    <n v="80"/>
    <n v="38"/>
    <x v="212"/>
    <s v="Yes"/>
    <n v="31"/>
  </r>
  <r>
    <x v="120"/>
    <x v="2"/>
    <n v="52"/>
    <n v="24"/>
    <x v="51"/>
    <s v="Yes"/>
    <n v="24"/>
  </r>
  <r>
    <x v="120"/>
    <x v="0"/>
    <n v="3"/>
    <n v="2"/>
    <x v="2"/>
    <s v="No"/>
    <s v="N/A"/>
  </r>
  <r>
    <x v="120"/>
    <x v="5"/>
    <n v="10"/>
    <n v="4"/>
    <x v="25"/>
    <s v="Yes"/>
    <n v="23"/>
  </r>
  <r>
    <x v="121"/>
    <x v="0"/>
    <n v="156"/>
    <n v="68"/>
    <x v="50"/>
    <s v="Yes"/>
    <n v="26"/>
  </r>
  <r>
    <x v="121"/>
    <x v="3"/>
    <n v="15"/>
    <n v="6"/>
    <x v="25"/>
    <s v="Yes"/>
    <n v="36"/>
  </r>
  <r>
    <x v="121"/>
    <x v="4"/>
    <n v="2"/>
    <n v="1"/>
    <x v="5"/>
    <s v="No"/>
    <s v="N/A"/>
  </r>
  <r>
    <x v="121"/>
    <x v="2"/>
    <n v="5"/>
    <n v="2"/>
    <x v="25"/>
    <s v="No"/>
    <s v="N/A"/>
  </r>
  <r>
    <x v="121"/>
    <x v="1"/>
    <n v="9"/>
    <n v="7"/>
    <x v="213"/>
    <s v="No"/>
    <s v="N/A"/>
  </r>
  <r>
    <x v="121"/>
    <x v="5"/>
    <n v="3"/>
    <n v="1"/>
    <x v="1"/>
    <s v="No"/>
    <s v="N/A"/>
  </r>
  <r>
    <x v="122"/>
    <x v="3"/>
    <n v="33"/>
    <n v="19"/>
    <x v="199"/>
    <s v="Yes"/>
    <n v="9"/>
  </r>
  <r>
    <x v="122"/>
    <x v="2"/>
    <n v="18"/>
    <n v="12"/>
    <x v="2"/>
    <s v="Yes"/>
    <n v="4"/>
  </r>
  <r>
    <x v="122"/>
    <x v="1"/>
    <n v="25"/>
    <n v="14"/>
    <x v="214"/>
    <s v="Yes"/>
    <n v="10"/>
  </r>
  <r>
    <x v="122"/>
    <x v="0"/>
    <n v="60"/>
    <n v="35"/>
    <x v="71"/>
    <s v="Yes"/>
    <n v="6"/>
  </r>
  <r>
    <x v="122"/>
    <x v="4"/>
    <n v="12"/>
    <n v="5"/>
    <x v="215"/>
    <s v="Yes"/>
    <n v="34"/>
  </r>
  <r>
    <x v="122"/>
    <x v="5"/>
    <n v="13"/>
    <n v="8"/>
    <x v="12"/>
    <s v="Yes"/>
    <n v="4"/>
  </r>
  <r>
    <x v="123"/>
    <x v="3"/>
    <n v="50"/>
    <n v="19"/>
    <x v="216"/>
    <s v="Yes"/>
    <n v="38"/>
  </r>
  <r>
    <x v="123"/>
    <x v="5"/>
    <n v="10"/>
    <n v="3"/>
    <x v="100"/>
    <s v="Yes"/>
    <n v="27"/>
  </r>
  <r>
    <x v="123"/>
    <x v="2"/>
    <n v="48"/>
    <n v="24"/>
    <x v="5"/>
    <s v="Yes"/>
    <n v="19"/>
  </r>
  <r>
    <x v="123"/>
    <x v="1"/>
    <n v="3"/>
    <n v="1"/>
    <x v="1"/>
    <s v="No"/>
    <s v="N/A"/>
  </r>
  <r>
    <x v="124"/>
    <x v="2"/>
    <n v="40"/>
    <n v="24"/>
    <x v="16"/>
    <s v="Yes"/>
    <n v="7"/>
  </r>
  <r>
    <x v="124"/>
    <x v="0"/>
    <n v="2"/>
    <n v="1"/>
    <x v="5"/>
    <s v="No"/>
    <s v="N/A"/>
  </r>
  <r>
    <x v="124"/>
    <x v="3"/>
    <n v="50"/>
    <n v="25"/>
    <x v="5"/>
    <s v="Yes"/>
    <n v="22"/>
  </r>
  <r>
    <x v="124"/>
    <x v="5"/>
    <n v="3"/>
    <n v="1"/>
    <x v="1"/>
    <s v="No"/>
    <s v="N/A"/>
  </r>
  <r>
    <x v="125"/>
    <x v="0"/>
    <n v="63"/>
    <n v="29"/>
    <x v="217"/>
    <s v="Yes"/>
    <n v="23"/>
  </r>
  <r>
    <x v="125"/>
    <x v="1"/>
    <n v="52"/>
    <n v="29"/>
    <x v="218"/>
    <s v="Yes"/>
    <n v="10"/>
  </r>
  <r>
    <x v="125"/>
    <x v="3"/>
    <n v="1"/>
    <n v="1"/>
    <x v="7"/>
    <s v="No"/>
    <s v="N/A"/>
  </r>
  <r>
    <x v="126"/>
    <x v="3"/>
    <n v="59"/>
    <n v="31"/>
    <x v="219"/>
    <s v="Yes"/>
    <n v="17"/>
  </r>
  <r>
    <x v="126"/>
    <x v="2"/>
    <n v="41"/>
    <n v="19"/>
    <x v="220"/>
    <s v="Yes"/>
    <n v="24"/>
  </r>
  <r>
    <x v="126"/>
    <x v="4"/>
    <n v="40"/>
    <n v="15"/>
    <x v="64"/>
    <s v="Yes"/>
    <n v="38"/>
  </r>
  <r>
    <x v="126"/>
    <x v="1"/>
    <n v="15"/>
    <n v="11"/>
    <x v="88"/>
    <s v="Yes"/>
    <n v="1"/>
  </r>
  <r>
    <x v="126"/>
    <x v="0"/>
    <n v="4"/>
    <n v="2"/>
    <x v="5"/>
    <s v="No"/>
    <s v="N/A"/>
  </r>
  <r>
    <x v="126"/>
    <x v="5"/>
    <n v="11"/>
    <n v="5"/>
    <x v="62"/>
    <s v="Yes"/>
    <n v="2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
  <r>
    <x v="0"/>
    <n v="56"/>
    <n v="310"/>
    <n v="1.1231448054552748E-2"/>
    <n v="6.2174087444845566E-2"/>
    <n v="19"/>
    <n v="0.3392857142857143"/>
    <n v="0.18799424101770673"/>
    <s v="D"/>
  </r>
  <r>
    <x v="1"/>
    <n v="303"/>
    <n v="1092"/>
    <n v="6.0770156438026475E-2"/>
    <n v="0.21901323706377859"/>
    <n v="160"/>
    <n v="0.528052805280528"/>
    <n v="0.33397225101571526"/>
    <s v="A"/>
  </r>
  <r>
    <x v="2"/>
    <n v="65"/>
    <n v="65"/>
    <n v="1.3036502206177296E-2"/>
    <n v="1.3036502206177296E-2"/>
    <n v="29"/>
    <n v="0.44615384615384618"/>
    <n v="0.22959517418001171"/>
    <s v="C"/>
  </r>
  <r>
    <x v="3"/>
    <n v="70"/>
    <n v="91"/>
    <n v="1.4039310068190935E-2"/>
    <n v="1.8251103088648215E-2"/>
    <n v="36"/>
    <n v="0.51428571428571423"/>
    <n v="0.26521546043206695"/>
    <s v="C"/>
  </r>
  <r>
    <x v="4"/>
    <n v="13"/>
    <n v="198"/>
    <n v="2.6073004412354591E-3"/>
    <n v="3.9711191335740074E-2"/>
    <n v="8"/>
    <n v="0.61538461538461542"/>
    <n v="0.31827193063655157"/>
    <s v="A"/>
  </r>
  <r>
    <x v="5"/>
    <n v="211"/>
    <n v="120"/>
    <n v="4.2318491776975532E-2"/>
    <n v="2.4067388688327317E-2"/>
    <n v="101"/>
    <n v="0.47867298578199052"/>
    <n v="0.25593296300732099"/>
    <s v="C"/>
  </r>
  <r>
    <x v="6"/>
    <n v="69"/>
    <n v="199"/>
    <n v="1.3838748495788207E-2"/>
    <n v="3.9911752908142799E-2"/>
    <n v="39"/>
    <n v="0.56521739130434778"/>
    <n v="0.29604632100315664"/>
    <s v="B"/>
  </r>
  <r>
    <x v="7"/>
    <n v="281"/>
    <n v="1455"/>
    <n v="5.6357801845166464E-2"/>
    <n v="0.29181708784596871"/>
    <n v="165"/>
    <n v="0.58718861209964412"/>
    <n v="0.38063802847260586"/>
    <s v="S"/>
  </r>
  <r>
    <x v="8"/>
    <n v="416"/>
    <n v="1082"/>
    <n v="8.3433614119534691E-2"/>
    <n v="0.21700762133975129"/>
    <n v="208"/>
    <n v="0.5"/>
    <n v="0.32511030886482151"/>
    <s v="A"/>
  </r>
  <r>
    <x v="9"/>
    <n v="21"/>
    <n v="72"/>
    <n v="4.2117930204572801E-3"/>
    <n v="1.444043321299639E-2"/>
    <n v="9"/>
    <n v="0.42857142857142855"/>
    <n v="0.21894877084407768"/>
    <s v="D"/>
  </r>
  <r>
    <x v="10"/>
    <n v="41"/>
    <n v="36"/>
    <n v="8.2230244685118324E-3"/>
    <n v="7.2202166064981952E-3"/>
    <n v="25"/>
    <n v="0.6097560975609756"/>
    <n v="0.30873885904924031"/>
    <s v="A"/>
  </r>
  <r>
    <x v="11"/>
    <n v="117"/>
    <n v="402"/>
    <n v="2.3465703971119134E-2"/>
    <n v="8.0625752105896509E-2"/>
    <n v="50"/>
    <n v="0.42735042735042733"/>
    <n v="0.23969807769446758"/>
    <s v="C"/>
  </r>
  <r>
    <x v="12"/>
    <n v="374"/>
    <n v="581"/>
    <n v="7.5010028078620131E-2"/>
    <n v="0.11652627356598476"/>
    <n v="177"/>
    <n v="0.4732620320855615"/>
    <n v="0.28451509145393195"/>
    <s v="B"/>
  </r>
  <r>
    <x v="13"/>
    <n v="28"/>
    <n v="36"/>
    <n v="5.6157240272763738E-3"/>
    <n v="7.2202166064981952E-3"/>
    <n v="13"/>
    <n v="0.4642857142857143"/>
    <n v="0.2353518423013008"/>
    <s v="C"/>
  </r>
  <r>
    <x v="14"/>
    <n v="157"/>
    <n v="85"/>
    <n v="3.1488166867228239E-2"/>
    <n v="1.7047733654231848E-2"/>
    <n v="69"/>
    <n v="0.43949044585987262"/>
    <n v="0.23187919806030133"/>
    <s v="C"/>
  </r>
  <r>
    <x v="15"/>
    <n v="109"/>
    <n v="12"/>
    <n v="2.1861211391897312E-2"/>
    <n v="2.4067388688327317E-3"/>
    <n v="50"/>
    <n v="0.45871559633027525"/>
    <n v="0.23542478573032014"/>
    <s v="C"/>
  </r>
  <r>
    <x v="16"/>
    <n v="67"/>
    <n v="86"/>
    <n v="1.3437625350982751E-2"/>
    <n v="1.7248295226634576E-2"/>
    <n v="38"/>
    <n v="0.56716417910447758"/>
    <n v="0.29125356969664312"/>
    <s v="B"/>
  </r>
  <r>
    <x v="17"/>
    <n v="117"/>
    <n v="184"/>
    <n v="2.3465703971119134E-2"/>
    <n v="3.6903329322101885E-2"/>
    <n v="60"/>
    <n v="0.51282051282051277"/>
    <n v="0.27150251473356163"/>
    <s v="B"/>
  </r>
  <r>
    <x v="18"/>
    <n v="123"/>
    <n v="57"/>
    <n v="2.4669073405535501E-2"/>
    <n v="1.1432009626955475E-2"/>
    <n v="69"/>
    <n v="0.56097560975609762"/>
    <n v="0.28951307563617157"/>
    <s v="B"/>
  </r>
  <r>
    <x v="19"/>
    <n v="194"/>
    <n v="16"/>
    <n v="3.8908945046129163E-2"/>
    <n v="3.208985158443642E-3"/>
    <n v="104"/>
    <n v="0.53608247422680411"/>
    <n v="0.27857071966454522"/>
    <s v="B"/>
  </r>
  <r>
    <x v="20"/>
    <n v="46"/>
    <n v="69"/>
    <n v="9.2258323305254714E-3"/>
    <n v="1.3838748495788207E-2"/>
    <n v="18"/>
    <n v="0.39130434782608697"/>
    <n v="0.20141831911962191"/>
    <s v="D"/>
  </r>
  <r>
    <x v="21"/>
    <n v="147"/>
    <n v="67"/>
    <n v="2.9482551143200964E-2"/>
    <n v="1.3437625350982751E-2"/>
    <n v="59"/>
    <n v="0.40136054421768708"/>
    <n v="0.21141031623238948"/>
    <s v="D"/>
  </r>
  <r>
    <x v="22"/>
    <n v="257"/>
    <n v="232"/>
    <n v="5.1544324107501004E-2"/>
    <n v="4.6530284797432812E-2"/>
    <n v="130"/>
    <n v="0.50583657587548636"/>
    <n v="0.27743694016397663"/>
    <s v="B"/>
  </r>
  <r>
    <x v="23"/>
    <n v="77"/>
    <n v="164"/>
    <n v="1.5443241075010028E-2"/>
    <n v="3.289209787404733E-2"/>
    <n v="37"/>
    <n v="0.48051948051948051"/>
    <n v="0.2523435749970046"/>
    <s v="C"/>
  </r>
  <r>
    <x v="24"/>
    <n v="107"/>
    <n v="284"/>
    <n v="2.1460088247091856E-2"/>
    <n v="5.695948656237465E-2"/>
    <n v="56"/>
    <n v="0.52336448598130836"/>
    <n v="0.2812871366930208"/>
    <s v="B"/>
  </r>
  <r>
    <x v="25"/>
    <n v="447"/>
    <n v="165"/>
    <n v="8.9651022864019256E-2"/>
    <n v="3.3092659446450061E-2"/>
    <n v="206"/>
    <n v="0.46085011185682329"/>
    <n v="0.26111097650602894"/>
    <s v="C"/>
  </r>
  <r>
    <x v="26"/>
    <n v="322"/>
    <n v="921"/>
    <n v="6.45808263136783E-2"/>
    <n v="0.18471720818291215"/>
    <n v="170"/>
    <n v="0.52795031055900621"/>
    <n v="0.32629966390365073"/>
    <s v="A"/>
  </r>
  <r>
    <x v="27"/>
    <n v="129"/>
    <n v="49"/>
    <n v="2.5872442839951864E-2"/>
    <n v="9.8275170477336547E-3"/>
    <n v="67"/>
    <n v="0.51937984496124034"/>
    <n v="0.26861491245254154"/>
    <s v="C"/>
  </r>
  <r>
    <x v="28"/>
    <n v="60"/>
    <n v="127"/>
    <n v="1.2033694344163659E-2"/>
    <n v="2.5471319695146408E-2"/>
    <n v="25"/>
    <n v="0.41666666666666669"/>
    <n v="0.21770958684316086"/>
    <s v="D"/>
  </r>
  <r>
    <x v="29"/>
    <n v="86"/>
    <n v="37"/>
    <n v="1.7248295226634576E-2"/>
    <n v="7.420778178900923E-3"/>
    <n v="43"/>
    <n v="0.5"/>
    <n v="0.25616726835138387"/>
    <s v="C"/>
  </r>
  <r>
    <x v="30"/>
    <n v="46"/>
    <n v="21"/>
    <n v="9.2258323305254714E-3"/>
    <n v="4.2117930204572801E-3"/>
    <n v="19"/>
    <n v="0.41304347826086957"/>
    <n v="0.20988114546818046"/>
    <s v="D"/>
  </r>
  <r>
    <x v="31"/>
    <n v="16"/>
    <n v="7"/>
    <n v="3.208985158443642E-3"/>
    <n v="1.4039310068190934E-3"/>
    <n v="4"/>
    <n v="0.25"/>
    <n v="0.12615322904131568"/>
    <s v="D"/>
  </r>
  <r>
    <x v="32"/>
    <n v="403"/>
    <n v="492"/>
    <n v="8.0826313678299233E-2"/>
    <n v="9.8676293622142003E-2"/>
    <n v="200"/>
    <n v="0.49627791563275436"/>
    <n v="0.29301460964148746"/>
    <s v="B"/>
  </r>
  <r>
    <x v="33"/>
    <n v="219"/>
    <n v="216"/>
    <n v="4.3922984356197355E-2"/>
    <n v="4.3321299638989168E-2"/>
    <n v="113"/>
    <n v="0.51598173515981738"/>
    <n v="0.27980193857870533"/>
    <s v="B"/>
  </r>
  <r>
    <x v="34"/>
    <n v="32"/>
    <n v="210"/>
    <n v="6.417970316887284E-3"/>
    <n v="4.2117930204572801E-2"/>
    <n v="21"/>
    <n v="0.65625"/>
    <n v="0.34025897513036502"/>
    <s v="A"/>
  </r>
  <r>
    <x v="35"/>
    <n v="145"/>
    <n v="221"/>
    <n v="2.9081427998395509E-2"/>
    <n v="4.432410750100281E-2"/>
    <n v="71"/>
    <n v="0.48965517241379308"/>
    <n v="0.26317897008174612"/>
    <s v="C"/>
  </r>
  <r>
    <x v="36"/>
    <n v="232"/>
    <n v="113"/>
    <n v="4.6530284797432812E-2"/>
    <n v="2.2663457681508223E-2"/>
    <n v="118"/>
    <n v="0.50862068965517238"/>
    <n v="0.2716087804473214"/>
    <s v="B"/>
  </r>
  <r>
    <x v="37"/>
    <n v="134"/>
    <n v="94"/>
    <n v="2.6875250701965503E-2"/>
    <n v="1.8852787805856398E-2"/>
    <n v="63"/>
    <n v="0.47014925373134331"/>
    <n v="0.24650663649262713"/>
    <s v="C"/>
  </r>
  <r>
    <x v="38"/>
    <n v="542"/>
    <n v="294"/>
    <n v="0.10870437224227839"/>
    <n v="5.8965102286401928E-2"/>
    <n v="285"/>
    <n v="0.52583025830258301"/>
    <n v="0.30483249778346161"/>
    <s v="A"/>
  </r>
  <r>
    <x v="39"/>
    <n v="110"/>
    <n v="565"/>
    <n v="2.2061772964300039E-2"/>
    <n v="0.11331728840754111"/>
    <n v="68"/>
    <n v="0.61818181818181817"/>
    <n v="0.34293567443386935"/>
    <s v="A"/>
  </r>
  <r>
    <x v="40"/>
    <n v="220"/>
    <n v="202"/>
    <n v="4.4123545928600079E-2"/>
    <n v="4.0513437625350986E-2"/>
    <n v="102"/>
    <n v="0.46363636363636362"/>
    <n v="0.25297742770666959"/>
    <s v="C"/>
  </r>
  <r>
    <x v="41"/>
    <n v="139"/>
    <n v="394"/>
    <n v="2.7878058563979142E-2"/>
    <n v="7.9021259526674686E-2"/>
    <n v="77"/>
    <n v="0.5539568345323741"/>
    <n v="0.30370324678885047"/>
    <s v="A"/>
  </r>
  <r>
    <x v="42"/>
    <n v="428"/>
    <n v="181"/>
    <n v="8.5840352988367424E-2"/>
    <n v="3.6301644604893706E-2"/>
    <n v="215"/>
    <n v="0.50233644859813087"/>
    <n v="0.28170372369738067"/>
    <s v="B"/>
  </r>
  <r>
    <x v="43"/>
    <n v="89"/>
    <n v="65"/>
    <n v="1.7849979943842759E-2"/>
    <n v="1.3036502206177296E-2"/>
    <n v="53"/>
    <n v="0.5955056179775281"/>
    <n v="0.30547442952626908"/>
    <s v="A"/>
  </r>
  <r>
    <x v="44"/>
    <n v="168"/>
    <n v="279"/>
    <n v="3.3694344163658241E-2"/>
    <n v="5.5956678700361008E-2"/>
    <n v="90"/>
    <n v="0.5357142857142857"/>
    <n v="0.29026989857314767"/>
    <s v="B"/>
  </r>
  <r>
    <x v="45"/>
    <n v="159"/>
    <n v="312"/>
    <n v="3.1889290012033694E-2"/>
    <n v="6.2575210589651029E-2"/>
    <n v="96"/>
    <n v="0.60377358490566035"/>
    <n v="0.3255029176032514"/>
    <s v="A"/>
  </r>
  <r>
    <x v="46"/>
    <n v="146"/>
    <n v="100"/>
    <n v="2.9281989570798236E-2"/>
    <n v="2.0056157240272765E-2"/>
    <n v="82"/>
    <n v="0.56164383561643838"/>
    <n v="0.29315645451098693"/>
    <s v="B"/>
  </r>
  <r>
    <x v="47"/>
    <n v="104"/>
    <n v="128"/>
    <n v="2.0858403529883673E-2"/>
    <n v="2.5671881267549136E-2"/>
    <n v="57"/>
    <n v="0.54807692307692313"/>
    <n v="0.2856710327378198"/>
    <s v="B"/>
  </r>
  <r>
    <x v="48"/>
    <n v="106"/>
    <n v="48"/>
    <n v="2.1259526674689128E-2"/>
    <n v="9.6269554753309269E-3"/>
    <n v="54"/>
    <n v="0.50943396226415094"/>
    <n v="0.2624386016695805"/>
    <s v="C"/>
  </r>
  <r>
    <x v="49"/>
    <n v="91"/>
    <n v="117"/>
    <n v="1.8251103088648215E-2"/>
    <n v="2.3465703971119134E-2"/>
    <n v="48"/>
    <n v="0.52747252747252749"/>
    <n v="0.27416546550120557"/>
    <s v="B"/>
  </r>
  <r>
    <x v="50"/>
    <n v="297"/>
    <n v="77"/>
    <n v="5.9566787003610108E-2"/>
    <n v="1.5443241075010028E-2"/>
    <n v="145"/>
    <n v="0.48821548821548821"/>
    <n v="0.26286025112739914"/>
    <s v="C"/>
  </r>
  <r>
    <x v="51"/>
    <n v="297"/>
    <n v="372"/>
    <n v="5.9566787003610108E-2"/>
    <n v="7.4608904933814682E-2"/>
    <n v="143"/>
    <n v="0.48148148148148145"/>
    <n v="0.27428466372509697"/>
    <s v="B"/>
  </r>
  <r>
    <x v="52"/>
    <n v="164"/>
    <n v="98"/>
    <n v="3.289209787404733E-2"/>
    <n v="1.9655034095467309E-2"/>
    <n v="83"/>
    <n v="0.50609756097560976"/>
    <n v="0.26618556348018352"/>
    <s v="C"/>
  </r>
  <r>
    <x v="53"/>
    <n v="437"/>
    <n v="82"/>
    <n v="8.7645407139991971E-2"/>
    <n v="1.6446048937023665E-2"/>
    <n v="209"/>
    <n v="0.47826086956521741"/>
    <n v="0.26515329880186261"/>
    <s v="C"/>
  </r>
  <r>
    <x v="54"/>
    <n v="136"/>
    <n v="439"/>
    <n v="2.7276373846770958E-2"/>
    <n v="8.8046530284797433E-2"/>
    <n v="86"/>
    <n v="0.63235294117647056"/>
    <n v="0.34500719662112739"/>
    <s v="A"/>
  </r>
  <r>
    <x v="55"/>
    <n v="435"/>
    <n v="190"/>
    <n v="8.7244283995186522E-2"/>
    <n v="3.8106698756518252E-2"/>
    <n v="220"/>
    <n v="0.50574712643678166"/>
    <n v="0.28421130890631702"/>
    <s v="B"/>
  </r>
  <r>
    <x v="56"/>
    <n v="30"/>
    <n v="28"/>
    <n v="6.0168471720818293E-3"/>
    <n v="5.6157240272763738E-3"/>
    <n v="16"/>
    <n v="0.53333333333333333"/>
    <n v="0.26957480946650619"/>
    <s v="C"/>
  </r>
  <r>
    <x v="57"/>
    <n v="71"/>
    <n v="203"/>
    <n v="1.4239871640593663E-2"/>
    <n v="4.071399919775371E-2"/>
    <n v="36"/>
    <n v="0.50704225352112675"/>
    <n v="0.26725959447015019"/>
    <s v="C"/>
  </r>
  <r>
    <x v="58"/>
    <n v="98"/>
    <n v="360"/>
    <n v="1.9655034095467309E-2"/>
    <n v="7.2202166064981949E-2"/>
    <n v="37"/>
    <n v="0.37755102040816324"/>
    <n v="0.21173981024419394"/>
    <s v="D"/>
  </r>
  <r>
    <x v="59"/>
    <n v="297"/>
    <n v="205"/>
    <n v="5.9566787003610108E-2"/>
    <n v="4.1115122342559166E-2"/>
    <n v="139"/>
    <n v="0.46801346801346799"/>
    <n v="0.25917721134327631"/>
    <s v="C"/>
  </r>
  <r>
    <x v="60"/>
    <n v="61"/>
    <n v="161"/>
    <n v="1.2234255916566386E-2"/>
    <n v="3.229041315683915E-2"/>
    <n v="25"/>
    <n v="0.4098360655737705"/>
    <n v="0.21604920005523662"/>
    <s v="D"/>
  </r>
  <r>
    <x v="61"/>
    <n v="64"/>
    <n v="157"/>
    <n v="1.2835940633774568E-2"/>
    <n v="3.1488166867228239E-2"/>
    <n v="24"/>
    <n v="0.375"/>
    <n v="0.1985810268752507"/>
    <s v="D"/>
  </r>
  <r>
    <x v="62"/>
    <n v="58"/>
    <n v="16"/>
    <n v="1.1632571199358203E-2"/>
    <n v="3.208985158443642E-3"/>
    <n v="32"/>
    <n v="0.55172413793103448"/>
    <n v="0.27957245805496767"/>
    <s v="B"/>
  </r>
  <r>
    <x v="63"/>
    <n v="374"/>
    <n v="650"/>
    <n v="7.5010028078620131E-2"/>
    <n v="0.13036502206177297"/>
    <n v="212"/>
    <n v="0.5668449197860963"/>
    <n v="0.33476622242814641"/>
    <s v="A"/>
  </r>
  <r>
    <x v="64"/>
    <n v="83"/>
    <n v="126"/>
    <n v="1.6646610509426393E-2"/>
    <n v="2.5270758122743681E-2"/>
    <n v="35"/>
    <n v="0.42168674698795183"/>
    <n v="0.22132271565201844"/>
    <s v="C"/>
  </r>
  <r>
    <x v="65"/>
    <n v="338"/>
    <n v="388"/>
    <n v="6.7789811472121944E-2"/>
    <n v="7.7817890092258327E-2"/>
    <n v="167"/>
    <n v="0.49408284023668642"/>
    <n v="0.28344334550943828"/>
    <s v="B"/>
  </r>
  <r>
    <x v="66"/>
    <n v="33"/>
    <n v="113"/>
    <n v="6.6185318892900118E-3"/>
    <n v="2.2663457681508223E-2"/>
    <n v="20"/>
    <n v="0.60606060606060608"/>
    <n v="0.31035080042300256"/>
    <s v="A"/>
  </r>
  <r>
    <x v="67"/>
    <n v="106"/>
    <n v="288"/>
    <n v="2.1259526674689128E-2"/>
    <n v="5.7761732851985562E-2"/>
    <n v="53"/>
    <n v="0.5"/>
    <n v="0.26975531488166865"/>
    <s v="C"/>
  </r>
  <r>
    <x v="68"/>
    <n v="119"/>
    <n v="128"/>
    <n v="2.386682711592459E-2"/>
    <n v="2.5671881267549136E-2"/>
    <n v="66"/>
    <n v="0.55462184873949583"/>
    <n v="0.28969560146561635"/>
    <s v="B"/>
  </r>
  <r>
    <x v="69"/>
    <n v="115"/>
    <n v="129"/>
    <n v="2.3064580826313678E-2"/>
    <n v="2.5872442839951864E-2"/>
    <n v="55"/>
    <n v="0.47826086956521741"/>
    <n v="0.25136469069917511"/>
    <s v="C"/>
  </r>
  <r>
    <x v="70"/>
    <n v="178"/>
    <n v="600"/>
    <n v="3.5699959887685519E-2"/>
    <n v="0.12033694344163658"/>
    <n v="100"/>
    <n v="0.5617977528089888"/>
    <n v="0.31990810223682492"/>
    <s v="A"/>
  </r>
  <r>
    <x v="71"/>
    <n v="250"/>
    <n v="12"/>
    <n v="5.0140393100681913E-2"/>
    <n v="2.4067388688327317E-3"/>
    <n v="125"/>
    <n v="0.5"/>
    <n v="0.26313678299237864"/>
    <s v="C"/>
  </r>
  <r>
    <x v="72"/>
    <n v="26"/>
    <n v="15"/>
    <n v="5.2146008824709182E-3"/>
    <n v="3.0084235860409147E-3"/>
    <n v="14"/>
    <n v="0.53846153846153844"/>
    <n v="0.27128652534789716"/>
    <s v="B"/>
  </r>
  <r>
    <x v="73"/>
    <n v="71"/>
    <n v="123"/>
    <n v="1.4239871640593663E-2"/>
    <n v="2.4669073405535501E-2"/>
    <n v="38"/>
    <n v="0.53521126760563376"/>
    <n v="0.27733287006434915"/>
    <s v="B"/>
  </r>
  <r>
    <x v="74"/>
    <n v="46"/>
    <n v="128"/>
    <n v="9.2258323305254714E-3"/>
    <n v="2.5671881267549136E-2"/>
    <n v="25"/>
    <n v="0.54347826086956519"/>
    <n v="0.28046355883430124"/>
    <s v="B"/>
  </r>
  <r>
    <x v="75"/>
    <n v="638"/>
    <n v="1127"/>
    <n v="0.12795828319294023"/>
    <n v="0.22603289209787406"/>
    <n v="342"/>
    <n v="0.53605015673981193"/>
    <n v="0.35652287219260953"/>
    <s v="S"/>
  </r>
  <r>
    <x v="76"/>
    <n v="67"/>
    <n v="25"/>
    <n v="1.3437625350982751E-2"/>
    <n v="5.0140393100681913E-3"/>
    <n v="27"/>
    <n v="0.40298507462686567"/>
    <n v="0.20610545347869558"/>
    <s v="D"/>
  </r>
  <r>
    <x v="77"/>
    <n v="51"/>
    <n v="72"/>
    <n v="1.022864019253911E-2"/>
    <n v="1.444043321299639E-2"/>
    <n v="23"/>
    <n v="0.45098039215686275"/>
    <n v="0.23165746442981525"/>
    <s v="C"/>
  </r>
  <r>
    <x v="78"/>
    <n v="589"/>
    <n v="835"/>
    <n v="0.11813076614520658"/>
    <n v="0.16746891295627758"/>
    <n v="354"/>
    <n v="0.60101867572156198"/>
    <n v="0.37190925763615207"/>
    <s v="S"/>
  </r>
  <r>
    <x v="79"/>
    <n v="120"/>
    <n v="95"/>
    <n v="2.4067388688327317E-2"/>
    <n v="1.9053349378259126E-2"/>
    <n v="58"/>
    <n v="0.48333333333333334"/>
    <n v="0.25244685118331328"/>
    <s v="C"/>
  </r>
  <r>
    <x v="80"/>
    <n v="273"/>
    <n v="795"/>
    <n v="5.4753309265944648E-2"/>
    <n v="0.15944645006016847"/>
    <n v="156"/>
    <n v="0.5714285714285714"/>
    <n v="0.33926422554581398"/>
    <s v="A"/>
  </r>
  <r>
    <x v="81"/>
    <n v="299"/>
    <n v="78"/>
    <n v="5.9967910148415564E-2"/>
    <n v="1.5643802647412757E-2"/>
    <n v="144"/>
    <n v="0.48160535117056857"/>
    <n v="0.2597056037842414"/>
    <s v="C"/>
  </r>
  <r>
    <x v="82"/>
    <n v="51"/>
    <n v="73"/>
    <n v="1.022864019253911E-2"/>
    <n v="1.4640994785399118E-2"/>
    <n v="31"/>
    <n v="0.60784313725490191"/>
    <n v="0.31013897737193552"/>
    <s v="A"/>
  </r>
  <r>
    <x v="83"/>
    <n v="482"/>
    <n v="738"/>
    <n v="9.6670677898114718E-2"/>
    <n v="0.14801444043321299"/>
    <n v="238"/>
    <n v="0.49377593360995853"/>
    <n v="0.30805924638781124"/>
    <s v="A"/>
  </r>
  <r>
    <x v="84"/>
    <n v="187"/>
    <n v="190"/>
    <n v="3.7505014039310065E-2"/>
    <n v="3.8106698756518252E-2"/>
    <n v="73"/>
    <n v="0.39037433155080214"/>
    <n v="0.21409009397435816"/>
    <s v="D"/>
  </r>
  <r>
    <x v="85"/>
    <n v="35"/>
    <n v="57"/>
    <n v="7.0196550340954674E-3"/>
    <n v="1.1432009626955475E-2"/>
    <n v="13"/>
    <n v="0.37142857142857144"/>
    <n v="0.19032720187954846"/>
    <s v="D"/>
  </r>
  <r>
    <x v="86"/>
    <n v="267"/>
    <n v="185"/>
    <n v="5.3549939831528282E-2"/>
    <n v="3.710389089450461E-2"/>
    <n v="123"/>
    <n v="0.4606741573033708"/>
    <n v="0.25300053633319364"/>
    <s v="C"/>
  </r>
  <r>
    <x v="87"/>
    <n v="1065"/>
    <n v="521"/>
    <n v="0.21359807460890493"/>
    <n v="0.10449257922182111"/>
    <n v="547"/>
    <n v="0.51361502347417842"/>
    <n v="0.33633017519477076"/>
    <s v="A"/>
  </r>
  <r>
    <x v="88"/>
    <n v="247"/>
    <n v="713"/>
    <n v="4.9538708383473726E-2"/>
    <n v="0.1430004011231448"/>
    <n v="114"/>
    <n v="0.46153846153846156"/>
    <n v="0.2789040081458854"/>
    <s v="B"/>
  </r>
  <r>
    <x v="89"/>
    <n v="309"/>
    <n v="581"/>
    <n v="6.1973525872442842E-2"/>
    <n v="0.11652627356598476"/>
    <n v="137"/>
    <n v="0.44336569579288027"/>
    <n v="0.26630779775604702"/>
    <s v="C"/>
  </r>
  <r>
    <x v="90"/>
    <n v="450"/>
    <n v="216"/>
    <n v="9.0252707581227443E-2"/>
    <n v="4.3321299638989168E-2"/>
    <n v="204"/>
    <n v="0.45333333333333331"/>
    <n v="0.26006016847172081"/>
    <s v="C"/>
  </r>
  <r>
    <x v="91"/>
    <n v="274"/>
    <n v="72"/>
    <n v="5.4953870838347373E-2"/>
    <n v="1.444043321299639E-2"/>
    <n v="142"/>
    <n v="0.51824817518248179"/>
    <n v="0.27647266360407685"/>
    <s v="B"/>
  </r>
  <r>
    <x v="92"/>
    <n v="173"/>
    <n v="167"/>
    <n v="3.4697152025671883E-2"/>
    <n v="3.3493782591255516E-2"/>
    <n v="82"/>
    <n v="0.47398843930635837"/>
    <n v="0.25404195330741103"/>
    <s v="C"/>
  </r>
  <r>
    <x v="93"/>
    <n v="243"/>
    <n v="195"/>
    <n v="4.8736462093862815E-2"/>
    <n v="3.9109506618531888E-2"/>
    <n v="118"/>
    <n v="0.48559670781893005"/>
    <n v="0.2647598460875637"/>
    <s v="C"/>
  </r>
  <r>
    <x v="94"/>
    <n v="432"/>
    <n v="508"/>
    <n v="8.6642599277978335E-2"/>
    <n v="0.10188527878058563"/>
    <n v="239"/>
    <n v="0.5532407407407407"/>
    <n v="0.32375233988501134"/>
    <s v="A"/>
  </r>
  <r>
    <x v="95"/>
    <n v="162"/>
    <n v="358"/>
    <n v="3.2490974729241874E-2"/>
    <n v="7.18010429201765E-2"/>
    <n v="81"/>
    <n v="0.5"/>
    <n v="0.27607300441235461"/>
    <s v="B"/>
  </r>
  <r>
    <x v="96"/>
    <n v="219"/>
    <n v="459"/>
    <n v="4.3922984356197355E-2"/>
    <n v="9.2057761732851989E-2"/>
    <n v="102"/>
    <n v="0.46575342465753422"/>
    <n v="0.26687189885102947"/>
    <s v="C"/>
  </r>
  <r>
    <x v="97"/>
    <n v="215"/>
    <n v="153"/>
    <n v="4.3120738066586443E-2"/>
    <n v="3.0685920577617327E-2"/>
    <n v="109"/>
    <n v="0.50697674418604655"/>
    <n v="0.27194003675407419"/>
    <s v="B"/>
  </r>
  <r>
    <x v="98"/>
    <n v="17"/>
    <n v="37"/>
    <n v="3.4095467308463698E-3"/>
    <n v="7.420778178900923E-3"/>
    <n v="8"/>
    <n v="0.47058823529411764"/>
    <n v="0.23800169887449565"/>
    <s v="C"/>
  </r>
  <r>
    <x v="99"/>
    <n v="381"/>
    <n v="243"/>
    <n v="7.6413959085439229E-2"/>
    <n v="4.8736462093862815E-2"/>
    <n v="186"/>
    <n v="0.48818897637795278"/>
    <n v="0.27538209348380188"/>
    <s v="B"/>
  </r>
  <r>
    <x v="100"/>
    <n v="297"/>
    <n v="482"/>
    <n v="5.9566787003610108E-2"/>
    <n v="9.6670677898114718E-2"/>
    <n v="150"/>
    <n v="0.50505050505050508"/>
    <n v="0.29158461875068376"/>
    <s v="B"/>
  </r>
  <r>
    <x v="101"/>
    <n v="64"/>
    <n v="19"/>
    <n v="1.2835940633774568E-2"/>
    <n v="3.810669875651825E-3"/>
    <n v="31"/>
    <n v="0.484375"/>
    <n v="0.2463491526273566"/>
    <s v="C"/>
  </r>
  <r>
    <x v="102"/>
    <n v="200"/>
    <n v="564"/>
    <n v="4.011231448054553E-2"/>
    <n v="0.11311672683513839"/>
    <n v="105"/>
    <n v="0.52500000000000002"/>
    <n v="0.30080726032892097"/>
    <s v="A"/>
  </r>
  <r>
    <x v="103"/>
    <n v="235"/>
    <n v="219"/>
    <n v="4.7131969514640992E-2"/>
    <n v="4.3922984356197355E-2"/>
    <n v="114"/>
    <n v="0.48510638297872338"/>
    <n v="0.26531692995707129"/>
    <s v="C"/>
  </r>
  <r>
    <x v="104"/>
    <n v="148"/>
    <n v="243"/>
    <n v="2.9683112715603692E-2"/>
    <n v="4.8736462093862815E-2"/>
    <n v="88"/>
    <n v="0.59459459459459463"/>
    <n v="0.31690219099966394"/>
    <s v="A"/>
  </r>
  <r>
    <x v="105"/>
    <n v="576"/>
    <n v="627"/>
    <n v="0.11552346570397112"/>
    <n v="0.12575210589651023"/>
    <n v="269"/>
    <n v="0.4670138888888889"/>
    <n v="0.2938258373445648"/>
    <s v="B"/>
  </r>
  <r>
    <x v="106"/>
    <n v="127"/>
    <n v="147"/>
    <n v="2.5471319695146408E-2"/>
    <n v="2.9482551143200964E-2"/>
    <n v="57"/>
    <n v="0.44881889763779526"/>
    <n v="0.23814791652848447"/>
    <s v="C"/>
  </r>
  <r>
    <x v="107"/>
    <n v="25"/>
    <n v="276"/>
    <n v="5.0140393100681913E-3"/>
    <n v="5.5354993983152828E-2"/>
    <n v="8"/>
    <n v="0.32"/>
    <n v="0.17509225832330524"/>
    <s v="D"/>
  </r>
  <r>
    <x v="108"/>
    <n v="416"/>
    <n v="313"/>
    <n v="8.3433614119534691E-2"/>
    <n v="6.2775772162053753E-2"/>
    <n v="216"/>
    <n v="0.51923076923076927"/>
    <n v="0.29616773118578171"/>
    <s v="B"/>
  </r>
  <r>
    <x v="109"/>
    <n v="201"/>
    <n v="184"/>
    <n v="4.0312876052948254E-2"/>
    <n v="3.6903329322101885E-2"/>
    <n v="111"/>
    <n v="0.55223880597014929"/>
    <n v="0.29542345432883721"/>
    <s v="B"/>
  </r>
  <r>
    <x v="110"/>
    <n v="74"/>
    <n v="104"/>
    <n v="1.4841556357801846E-2"/>
    <n v="2.0858403529883673E-2"/>
    <n v="36"/>
    <n v="0.48648648648648651"/>
    <n v="0.25216823321516463"/>
    <s v="C"/>
  </r>
  <r>
    <x v="111"/>
    <n v="537"/>
    <n v="416"/>
    <n v="0.10770156438026474"/>
    <n v="8.3433614119534691E-2"/>
    <n v="293"/>
    <n v="0.54562383612662946"/>
    <n v="0.32059571268826459"/>
    <s v="A"/>
  </r>
  <r>
    <x v="112"/>
    <n v="230"/>
    <n v="304"/>
    <n v="4.6129161652627357E-2"/>
    <n v="6.0970718010429199E-2"/>
    <n v="104"/>
    <n v="0.45217391304347826"/>
    <n v="0.25286192643750327"/>
    <s v="C"/>
  </r>
  <r>
    <x v="113"/>
    <n v="87"/>
    <n v="83"/>
    <n v="1.7448856799037304E-2"/>
    <n v="1.6646610509426393E-2"/>
    <n v="35"/>
    <n v="0.40229885057471265"/>
    <n v="0.20967329211447225"/>
    <s v="D"/>
  </r>
  <r>
    <x v="114"/>
    <n v="216"/>
    <n v="413"/>
    <n v="4.3321299638989168E-2"/>
    <n v="8.2831929402326518E-2"/>
    <n v="103"/>
    <n v="0.47685185185185186"/>
    <n v="0.26996423318625484"/>
    <s v="C"/>
  </r>
  <r>
    <x v="115"/>
    <n v="112"/>
    <n v="25"/>
    <n v="2.2462896109105495E-2"/>
    <n v="5.0140393100681913E-3"/>
    <n v="47"/>
    <n v="0.41964285714285715"/>
    <n v="0.21669066242622198"/>
    <s v="D"/>
  </r>
  <r>
    <x v="116"/>
    <n v="288"/>
    <n v="781"/>
    <n v="5.7761732851985562E-2"/>
    <n v="0.15663858804653027"/>
    <n v="145"/>
    <n v="0.50347222222222221"/>
    <n v="0.30533619133574003"/>
    <s v="A"/>
  </r>
  <r>
    <x v="117"/>
    <n v="188"/>
    <n v="588"/>
    <n v="3.7705575611712797E-2"/>
    <n v="0.11793020457280386"/>
    <n v="97"/>
    <n v="0.51595744680851063"/>
    <n v="0.2968876684503845"/>
    <s v="B"/>
  </r>
  <r>
    <x v="118"/>
    <n v="22"/>
    <n v="567"/>
    <n v="4.4123545928600079E-3"/>
    <n v="0.11371841155234658"/>
    <n v="13"/>
    <n v="0.59090909090909094"/>
    <n v="0.32498723699084714"/>
    <s v="A"/>
  </r>
  <r>
    <x v="119"/>
    <n v="314"/>
    <n v="813"/>
    <n v="6.2976333734456477E-2"/>
    <n v="0.16305655836341756"/>
    <n v="125"/>
    <n v="0.39808917197452232"/>
    <n v="0.25555280901172966"/>
    <s v="C"/>
  </r>
  <r>
    <x v="120"/>
    <n v="144"/>
    <n v="86"/>
    <n v="2.8880866425992781E-2"/>
    <n v="1.7248295226634576E-2"/>
    <n v="68"/>
    <n v="0.47222222222222221"/>
    <n v="0.24764340152426795"/>
    <s v="C"/>
  </r>
  <r>
    <x v="121"/>
    <n v="189"/>
    <n v="374"/>
    <n v="3.7906137184115521E-2"/>
    <n v="7.5010028078620131E-2"/>
    <n v="85"/>
    <n v="0.44973544973544971"/>
    <n v="0.25309676618340876"/>
    <s v="C"/>
  </r>
  <r>
    <x v="122"/>
    <n v="160"/>
    <n v="686"/>
    <n v="3.2089851584436425E-2"/>
    <n v="0.13758523866827116"/>
    <n v="93"/>
    <n v="0.58125000000000004"/>
    <n v="0.33304377256317691"/>
    <s v="A"/>
  </r>
  <r>
    <x v="123"/>
    <n v="111"/>
    <n v="84"/>
    <n v="2.2262334536702767E-2"/>
    <n v="1.684717208182912E-2"/>
    <n v="47"/>
    <n v="0.42342342342342343"/>
    <n v="0.22148908836634468"/>
    <s v="C"/>
  </r>
  <r>
    <x v="124"/>
    <n v="95"/>
    <n v="116"/>
    <n v="1.9053349378259126E-2"/>
    <n v="2.3265142398716406E-2"/>
    <n v="51"/>
    <n v="0.5368421052631579"/>
    <n v="0.27900067557582287"/>
    <s v="B"/>
  </r>
  <r>
    <x v="125"/>
    <n v="115"/>
    <n v="76"/>
    <n v="2.3064580826313678E-2"/>
    <n v="1.52426795026073E-2"/>
    <n v="59"/>
    <n v="0.5130434782608696"/>
    <n v="0.26609855421266504"/>
    <s v="C"/>
  </r>
  <r>
    <x v="126"/>
    <n v="170"/>
    <n v="196"/>
    <n v="3.4095467308463696E-2"/>
    <n v="3.9310068190934619E-2"/>
    <n v="83"/>
    <n v="0.48823529411764705"/>
    <n v="0.26246903093367313"/>
    <s v="C"/>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x v="0"/>
    <x v="0"/>
    <n v="0"/>
    <e v="#DIV/0!"/>
    <x v="0"/>
  </r>
  <r>
    <x v="1"/>
    <x v="0"/>
    <n v="0"/>
    <e v="#DIV/0!"/>
    <x v="0"/>
  </r>
  <r>
    <x v="2"/>
    <x v="0"/>
    <n v="0"/>
    <e v="#DIV/0!"/>
    <x v="0"/>
  </r>
  <r>
    <x v="3"/>
    <x v="1"/>
    <n v="1"/>
    <n v="1"/>
    <x v="0"/>
  </r>
  <r>
    <x v="4"/>
    <x v="2"/>
    <n v="2"/>
    <n v="1"/>
    <x v="0"/>
  </r>
  <r>
    <x v="5"/>
    <x v="1"/>
    <n v="1"/>
    <n v="1"/>
    <x v="0"/>
  </r>
  <r>
    <x v="6"/>
    <x v="1"/>
    <n v="1"/>
    <n v="1"/>
    <x v="0"/>
  </r>
  <r>
    <x v="7"/>
    <x v="1"/>
    <n v="1"/>
    <n v="1"/>
    <x v="0"/>
  </r>
  <r>
    <x v="8"/>
    <x v="1"/>
    <n v="1"/>
    <n v="1"/>
    <x v="0"/>
  </r>
  <r>
    <x v="9"/>
    <x v="1"/>
    <n v="1"/>
    <n v="1"/>
    <x v="0"/>
  </r>
  <r>
    <x v="10"/>
    <x v="1"/>
    <n v="1"/>
    <n v="1"/>
    <x v="0"/>
  </r>
  <r>
    <x v="11"/>
    <x v="1"/>
    <n v="1"/>
    <n v="1"/>
    <x v="0"/>
  </r>
  <r>
    <x v="12"/>
    <x v="1"/>
    <n v="1"/>
    <n v="1"/>
    <x v="0"/>
  </r>
  <r>
    <x v="13"/>
    <x v="1"/>
    <n v="1"/>
    <n v="1"/>
    <x v="0"/>
  </r>
  <r>
    <x v="14"/>
    <x v="3"/>
    <n v="4"/>
    <n v="1"/>
    <x v="0"/>
  </r>
  <r>
    <x v="15"/>
    <x v="1"/>
    <n v="1"/>
    <n v="1"/>
    <x v="0"/>
  </r>
  <r>
    <x v="16"/>
    <x v="4"/>
    <n v="6"/>
    <n v="0.8571428571428571"/>
    <x v="0"/>
  </r>
  <r>
    <x v="17"/>
    <x v="5"/>
    <n v="2"/>
    <n v="0.66666666666666663"/>
    <x v="0"/>
  </r>
  <r>
    <x v="18"/>
    <x v="6"/>
    <n v="4"/>
    <n v="0.66666666666666663"/>
    <x v="0"/>
  </r>
  <r>
    <x v="19"/>
    <x v="7"/>
    <n v="13"/>
    <n v="0.65"/>
    <x v="1"/>
  </r>
  <r>
    <x v="20"/>
    <x v="8"/>
    <n v="5"/>
    <n v="0.625"/>
    <x v="0"/>
  </r>
  <r>
    <x v="21"/>
    <x v="9"/>
    <n v="18"/>
    <n v="0.58064516129032262"/>
    <x v="1"/>
  </r>
  <r>
    <x v="22"/>
    <x v="10"/>
    <n v="12"/>
    <n v="0.5714285714285714"/>
    <x v="1"/>
  </r>
  <r>
    <x v="23"/>
    <x v="4"/>
    <n v="4"/>
    <n v="0.5714285714285714"/>
    <x v="0"/>
  </r>
  <r>
    <x v="24"/>
    <x v="11"/>
    <n v="5"/>
    <n v="0.55555555555555558"/>
    <x v="0"/>
  </r>
  <r>
    <x v="25"/>
    <x v="12"/>
    <n v="9"/>
    <n v="0.5"/>
    <x v="1"/>
  </r>
  <r>
    <x v="26"/>
    <x v="2"/>
    <n v="1"/>
    <n v="0.5"/>
    <x v="0"/>
  </r>
  <r>
    <x v="27"/>
    <x v="2"/>
    <n v="1"/>
    <n v="0.5"/>
    <x v="0"/>
  </r>
  <r>
    <x v="28"/>
    <x v="6"/>
    <n v="3"/>
    <n v="0.5"/>
    <x v="0"/>
  </r>
  <r>
    <x v="29"/>
    <x v="2"/>
    <n v="1"/>
    <n v="0.5"/>
    <x v="0"/>
  </r>
  <r>
    <x v="30"/>
    <x v="2"/>
    <n v="1"/>
    <n v="0.5"/>
    <x v="0"/>
  </r>
  <r>
    <x v="31"/>
    <x v="2"/>
    <n v="1"/>
    <n v="0.5"/>
    <x v="0"/>
  </r>
  <r>
    <x v="32"/>
    <x v="2"/>
    <n v="1"/>
    <n v="0.5"/>
    <x v="0"/>
  </r>
  <r>
    <x v="33"/>
    <x v="2"/>
    <n v="1"/>
    <n v="0.5"/>
    <x v="0"/>
  </r>
  <r>
    <x v="34"/>
    <x v="3"/>
    <n v="2"/>
    <n v="0.5"/>
    <x v="0"/>
  </r>
  <r>
    <x v="35"/>
    <x v="2"/>
    <n v="1"/>
    <n v="0.5"/>
    <x v="0"/>
  </r>
  <r>
    <x v="36"/>
    <x v="2"/>
    <n v="1"/>
    <n v="0.5"/>
    <x v="0"/>
  </r>
  <r>
    <x v="37"/>
    <x v="6"/>
    <n v="3"/>
    <n v="0.5"/>
    <x v="0"/>
  </r>
  <r>
    <x v="38"/>
    <x v="8"/>
    <n v="4"/>
    <n v="0.5"/>
    <x v="0"/>
  </r>
  <r>
    <x v="39"/>
    <x v="2"/>
    <n v="1"/>
    <n v="0.5"/>
    <x v="0"/>
  </r>
  <r>
    <x v="40"/>
    <x v="2"/>
    <n v="1"/>
    <n v="0.5"/>
    <x v="0"/>
  </r>
  <r>
    <x v="41"/>
    <x v="2"/>
    <n v="1"/>
    <n v="0.5"/>
    <x v="0"/>
  </r>
  <r>
    <x v="42"/>
    <x v="2"/>
    <n v="1"/>
    <n v="0.5"/>
    <x v="0"/>
  </r>
  <r>
    <x v="28"/>
    <x v="6"/>
    <n v="3"/>
    <n v="0.5"/>
    <x v="0"/>
  </r>
  <r>
    <x v="43"/>
    <x v="13"/>
    <n v="23"/>
    <n v="0.46938775510204084"/>
    <x v="1"/>
  </r>
  <r>
    <x v="44"/>
    <x v="14"/>
    <n v="28"/>
    <n v="0.45901639344262296"/>
    <x v="1"/>
  </r>
  <r>
    <x v="45"/>
    <x v="15"/>
    <n v="5"/>
    <n v="0.45454545454545453"/>
    <x v="1"/>
  </r>
  <r>
    <x v="46"/>
    <x v="16"/>
    <n v="10"/>
    <n v="0.43478260869565216"/>
    <x v="1"/>
  </r>
  <r>
    <x v="47"/>
    <x v="4"/>
    <n v="3"/>
    <n v="0.42857142857142855"/>
    <x v="0"/>
  </r>
  <r>
    <x v="48"/>
    <x v="4"/>
    <n v="3"/>
    <n v="0.42857142857142855"/>
    <x v="0"/>
  </r>
  <r>
    <x v="49"/>
    <x v="17"/>
    <n v="7"/>
    <n v="0.41176470588235292"/>
    <x v="1"/>
  </r>
  <r>
    <x v="50"/>
    <x v="18"/>
    <n v="14"/>
    <n v="0.41176470588235292"/>
    <x v="1"/>
  </r>
  <r>
    <x v="51"/>
    <x v="19"/>
    <n v="14"/>
    <n v="0.4"/>
    <x v="1"/>
  </r>
  <r>
    <x v="52"/>
    <x v="20"/>
    <n v="27"/>
    <n v="0.39705882352941174"/>
    <x v="1"/>
  </r>
  <r>
    <x v="53"/>
    <x v="21"/>
    <n v="19"/>
    <n v="0.39583333333333331"/>
    <x v="1"/>
  </r>
  <r>
    <x v="54"/>
    <x v="13"/>
    <n v="19"/>
    <n v="0.38775510204081631"/>
    <x v="1"/>
  </r>
  <r>
    <x v="55"/>
    <x v="22"/>
    <n v="5"/>
    <n v="0.38461538461538464"/>
    <x v="1"/>
  </r>
  <r>
    <x v="56"/>
    <x v="23"/>
    <n v="27"/>
    <n v="0.38028169014084506"/>
    <x v="1"/>
  </r>
  <r>
    <x v="57"/>
    <x v="24"/>
    <n v="11"/>
    <n v="0.37931034482758619"/>
    <x v="1"/>
  </r>
  <r>
    <x v="58"/>
    <x v="8"/>
    <n v="3"/>
    <n v="0.375"/>
    <x v="0"/>
  </r>
  <r>
    <x v="59"/>
    <x v="15"/>
    <n v="4"/>
    <n v="0.36363636363636365"/>
    <x v="1"/>
  </r>
  <r>
    <x v="60"/>
    <x v="25"/>
    <n v="13"/>
    <n v="0.35135135135135137"/>
    <x v="1"/>
  </r>
  <r>
    <x v="61"/>
    <x v="26"/>
    <n v="9"/>
    <n v="0.34615384615384615"/>
    <x v="1"/>
  </r>
  <r>
    <x v="62"/>
    <x v="27"/>
    <n v="11"/>
    <n v="0.34375"/>
    <x v="1"/>
  </r>
  <r>
    <x v="63"/>
    <x v="28"/>
    <n v="20"/>
    <n v="0.33898305084745761"/>
    <x v="1"/>
  </r>
  <r>
    <x v="64"/>
    <x v="5"/>
    <n v="1"/>
    <n v="0.33333333333333331"/>
    <x v="0"/>
  </r>
  <r>
    <x v="65"/>
    <x v="5"/>
    <n v="1"/>
    <n v="0.33333333333333331"/>
    <x v="0"/>
  </r>
  <r>
    <x v="66"/>
    <x v="29"/>
    <n v="22"/>
    <n v="0.33333333333333331"/>
    <x v="1"/>
  </r>
  <r>
    <x v="67"/>
    <x v="5"/>
    <n v="1"/>
    <n v="0.33333333333333331"/>
    <x v="0"/>
  </r>
  <r>
    <x v="68"/>
    <x v="5"/>
    <n v="1"/>
    <n v="0.33333333333333331"/>
    <x v="0"/>
  </r>
  <r>
    <x v="69"/>
    <x v="30"/>
    <n v="4"/>
    <n v="0.33333333333333331"/>
    <x v="1"/>
  </r>
  <r>
    <x v="70"/>
    <x v="11"/>
    <n v="3"/>
    <n v="0.33333333333333331"/>
    <x v="0"/>
  </r>
  <r>
    <x v="71"/>
    <x v="5"/>
    <n v="1"/>
    <n v="0.33333333333333331"/>
    <x v="0"/>
  </r>
  <r>
    <x v="72"/>
    <x v="10"/>
    <n v="7"/>
    <n v="0.33333333333333331"/>
    <x v="1"/>
  </r>
  <r>
    <x v="73"/>
    <x v="5"/>
    <n v="1"/>
    <n v="0.33333333333333331"/>
    <x v="0"/>
  </r>
  <r>
    <x v="74"/>
    <x v="6"/>
    <n v="2"/>
    <n v="0.33333333333333331"/>
    <x v="0"/>
  </r>
  <r>
    <x v="75"/>
    <x v="25"/>
    <n v="12"/>
    <n v="0.32432432432432434"/>
    <x v="1"/>
  </r>
  <r>
    <x v="76"/>
    <x v="31"/>
    <n v="40"/>
    <n v="0.32"/>
    <x v="1"/>
  </r>
  <r>
    <x v="77"/>
    <x v="32"/>
    <n v="19"/>
    <n v="0.31666666666666665"/>
    <x v="1"/>
  </r>
  <r>
    <x v="78"/>
    <x v="23"/>
    <n v="22"/>
    <n v="0.30985915492957744"/>
    <x v="1"/>
  </r>
  <r>
    <x v="79"/>
    <x v="33"/>
    <n v="35"/>
    <n v="0.30973451327433627"/>
    <x v="1"/>
  </r>
  <r>
    <x v="80"/>
    <x v="34"/>
    <n v="36"/>
    <n v="0.30769230769230771"/>
    <x v="1"/>
  </r>
  <r>
    <x v="81"/>
    <x v="35"/>
    <n v="19"/>
    <n v="0.30645161290322581"/>
    <x v="1"/>
  </r>
  <r>
    <x v="82"/>
    <x v="36"/>
    <n v="15"/>
    <n v="0.3"/>
    <x v="1"/>
  </r>
  <r>
    <x v="83"/>
    <x v="37"/>
    <n v="3"/>
    <n v="0.3"/>
    <x v="1"/>
  </r>
  <r>
    <x v="84"/>
    <x v="38"/>
    <n v="33"/>
    <n v="0.29729729729729731"/>
    <x v="1"/>
  </r>
  <r>
    <x v="85"/>
    <x v="25"/>
    <n v="11"/>
    <n v="0.29729729729729731"/>
    <x v="1"/>
  </r>
  <r>
    <x v="86"/>
    <x v="17"/>
    <n v="5"/>
    <n v="0.29411764705882354"/>
    <x v="1"/>
  </r>
  <r>
    <x v="87"/>
    <x v="39"/>
    <n v="19"/>
    <n v="0.29230769230769232"/>
    <x v="1"/>
  </r>
  <r>
    <x v="88"/>
    <x v="40"/>
    <n v="4"/>
    <n v="0.2857142857142857"/>
    <x v="1"/>
  </r>
  <r>
    <x v="89"/>
    <x v="40"/>
    <n v="4"/>
    <n v="0.2857142857142857"/>
    <x v="1"/>
  </r>
  <r>
    <x v="90"/>
    <x v="40"/>
    <n v="4"/>
    <n v="0.2857142857142857"/>
    <x v="1"/>
  </r>
  <r>
    <x v="91"/>
    <x v="4"/>
    <n v="2"/>
    <n v="0.2857142857142857"/>
    <x v="0"/>
  </r>
  <r>
    <x v="92"/>
    <x v="41"/>
    <n v="30"/>
    <n v="0.28301886792452829"/>
    <x v="1"/>
  </r>
  <r>
    <x v="93"/>
    <x v="42"/>
    <n v="11"/>
    <n v="0.28205128205128205"/>
    <x v="1"/>
  </r>
  <r>
    <x v="93"/>
    <x v="42"/>
    <n v="11"/>
    <n v="0.28205128205128205"/>
    <x v="1"/>
  </r>
  <r>
    <x v="94"/>
    <x v="43"/>
    <n v="9"/>
    <n v="0.27272727272727271"/>
    <x v="1"/>
  </r>
  <r>
    <x v="95"/>
    <x v="15"/>
    <n v="3"/>
    <n v="0.27272727272727271"/>
    <x v="1"/>
  </r>
  <r>
    <x v="96"/>
    <x v="44"/>
    <n v="29"/>
    <n v="0.27102803738317754"/>
    <x v="1"/>
  </r>
  <r>
    <x v="97"/>
    <x v="32"/>
    <n v="16"/>
    <n v="0.26666666666666666"/>
    <x v="1"/>
  </r>
  <r>
    <x v="98"/>
    <x v="13"/>
    <n v="13"/>
    <n v="0.26530612244897961"/>
    <x v="1"/>
  </r>
  <r>
    <x v="99"/>
    <x v="45"/>
    <n v="18"/>
    <n v="0.2608695652173913"/>
    <x v="1"/>
  </r>
  <r>
    <x v="100"/>
    <x v="42"/>
    <n v="10"/>
    <n v="0.25641025641025639"/>
    <x v="1"/>
  </r>
  <r>
    <x v="101"/>
    <x v="46"/>
    <n v="6"/>
    <n v="0.25"/>
    <x v="1"/>
  </r>
  <r>
    <x v="102"/>
    <x v="3"/>
    <n v="1"/>
    <n v="0.25"/>
    <x v="0"/>
  </r>
  <r>
    <x v="103"/>
    <x v="3"/>
    <n v="1"/>
    <n v="0.25"/>
    <x v="0"/>
  </r>
  <r>
    <x v="104"/>
    <x v="3"/>
    <n v="1"/>
    <n v="0.25"/>
    <x v="0"/>
  </r>
  <r>
    <x v="105"/>
    <x v="47"/>
    <n v="26"/>
    <n v="0.24761904761904763"/>
    <x v="1"/>
  </r>
  <r>
    <x v="106"/>
    <x v="48"/>
    <n v="28"/>
    <n v="0.24561403508771928"/>
    <x v="1"/>
  </r>
  <r>
    <x v="107"/>
    <x v="13"/>
    <n v="12"/>
    <n v="0.24489795918367346"/>
    <x v="1"/>
  </r>
  <r>
    <x v="108"/>
    <x v="49"/>
    <n v="32"/>
    <n v="0.24427480916030533"/>
    <x v="1"/>
  </r>
  <r>
    <x v="109"/>
    <x v="50"/>
    <n v="25"/>
    <n v="0.24271844660194175"/>
    <x v="1"/>
  </r>
  <r>
    <x v="110"/>
    <x v="34"/>
    <n v="28"/>
    <n v="0.23931623931623933"/>
    <x v="1"/>
  </r>
  <r>
    <x v="111"/>
    <x v="51"/>
    <n v="11"/>
    <n v="0.2391304347826087"/>
    <x v="1"/>
  </r>
  <r>
    <x v="112"/>
    <x v="10"/>
    <n v="5"/>
    <n v="0.23809523809523808"/>
    <x v="1"/>
  </r>
  <r>
    <x v="113"/>
    <x v="10"/>
    <n v="5"/>
    <n v="0.23809523809523808"/>
    <x v="1"/>
  </r>
  <r>
    <x v="114"/>
    <x v="17"/>
    <n v="4"/>
    <n v="0.23529411764705882"/>
    <x v="1"/>
  </r>
  <r>
    <x v="114"/>
    <x v="17"/>
    <n v="4"/>
    <n v="0.23529411764705882"/>
    <x v="1"/>
  </r>
  <r>
    <x v="115"/>
    <x v="52"/>
    <n v="22"/>
    <n v="0.23404255319148937"/>
    <x v="1"/>
  </r>
  <r>
    <x v="116"/>
    <x v="22"/>
    <n v="3"/>
    <n v="0.23076923076923078"/>
    <x v="1"/>
  </r>
  <r>
    <x v="117"/>
    <x v="11"/>
    <n v="2"/>
    <n v="0.22222222222222221"/>
    <x v="0"/>
  </r>
  <r>
    <x v="118"/>
    <x v="11"/>
    <n v="2"/>
    <n v="0.22222222222222221"/>
    <x v="0"/>
  </r>
  <r>
    <x v="119"/>
    <x v="11"/>
    <n v="2"/>
    <n v="0.22222222222222221"/>
    <x v="0"/>
  </r>
  <r>
    <x v="120"/>
    <x v="11"/>
    <n v="2"/>
    <n v="0.22222222222222221"/>
    <x v="0"/>
  </r>
  <r>
    <x v="121"/>
    <x v="53"/>
    <n v="27"/>
    <n v="0.22131147540983606"/>
    <x v="1"/>
  </r>
  <r>
    <x v="122"/>
    <x v="16"/>
    <n v="5"/>
    <n v="0.21739130434782608"/>
    <x v="1"/>
  </r>
  <r>
    <x v="123"/>
    <x v="33"/>
    <n v="24"/>
    <n v="0.21238938053097345"/>
    <x v="1"/>
  </r>
  <r>
    <x v="124"/>
    <x v="38"/>
    <n v="23"/>
    <n v="0.2072072072072072"/>
    <x v="1"/>
  </r>
  <r>
    <x v="125"/>
    <x v="54"/>
    <n v="1"/>
    <n v="0.2"/>
    <x v="0"/>
  </r>
  <r>
    <x v="126"/>
    <x v="55"/>
    <n v="3"/>
    <n v="0.2"/>
    <x v="1"/>
  </r>
  <r>
    <x v="127"/>
    <x v="56"/>
    <n v="5"/>
    <n v="0.2"/>
    <x v="1"/>
  </r>
  <r>
    <x v="128"/>
    <x v="57"/>
    <n v="9"/>
    <n v="0.2"/>
    <x v="1"/>
  </r>
  <r>
    <x v="129"/>
    <x v="10"/>
    <n v="4"/>
    <n v="0.19047619047619047"/>
    <x v="1"/>
  </r>
  <r>
    <x v="130"/>
    <x v="15"/>
    <n v="2"/>
    <n v="0.18181818181818182"/>
    <x v="1"/>
  </r>
  <r>
    <x v="131"/>
    <x v="58"/>
    <n v="5"/>
    <n v="0.17857142857142858"/>
    <x v="1"/>
  </r>
  <r>
    <x v="132"/>
    <x v="58"/>
    <n v="5"/>
    <n v="0.17857142857142858"/>
    <x v="1"/>
  </r>
  <r>
    <x v="133"/>
    <x v="17"/>
    <n v="3"/>
    <n v="0.17647058823529413"/>
    <x v="1"/>
  </r>
  <r>
    <x v="134"/>
    <x v="19"/>
    <n v="6"/>
    <n v="0.17142857142857143"/>
    <x v="1"/>
  </r>
  <r>
    <x v="135"/>
    <x v="46"/>
    <n v="4"/>
    <n v="0.16666666666666666"/>
    <x v="1"/>
  </r>
  <r>
    <x v="136"/>
    <x v="59"/>
    <n v="9"/>
    <n v="0.16666666666666666"/>
    <x v="1"/>
  </r>
  <r>
    <x v="137"/>
    <x v="30"/>
    <n v="2"/>
    <n v="0.16666666666666666"/>
    <x v="1"/>
  </r>
  <r>
    <x v="138"/>
    <x v="6"/>
    <n v="1"/>
    <n v="0.16666666666666666"/>
    <x v="0"/>
  </r>
  <r>
    <x v="139"/>
    <x v="6"/>
    <n v="1"/>
    <n v="0.16666666666666666"/>
    <x v="0"/>
  </r>
  <r>
    <x v="140"/>
    <x v="46"/>
    <n v="4"/>
    <n v="0.16666666666666666"/>
    <x v="1"/>
  </r>
  <r>
    <x v="141"/>
    <x v="6"/>
    <n v="1"/>
    <n v="0.16666666666666666"/>
    <x v="0"/>
  </r>
  <r>
    <x v="142"/>
    <x v="6"/>
    <n v="1"/>
    <n v="0.16666666666666666"/>
    <x v="0"/>
  </r>
  <r>
    <x v="143"/>
    <x v="6"/>
    <n v="1"/>
    <n v="0.16666666666666666"/>
    <x v="0"/>
  </r>
  <r>
    <x v="144"/>
    <x v="6"/>
    <n v="1"/>
    <n v="0.16666666666666666"/>
    <x v="0"/>
  </r>
  <r>
    <x v="145"/>
    <x v="60"/>
    <n v="13"/>
    <n v="0.16455696202531644"/>
    <x v="1"/>
  </r>
  <r>
    <x v="146"/>
    <x v="61"/>
    <n v="10"/>
    <n v="0.15625"/>
    <x v="1"/>
  </r>
  <r>
    <x v="147"/>
    <x v="10"/>
    <n v="3"/>
    <n v="0.14285714285714285"/>
    <x v="1"/>
  </r>
  <r>
    <x v="148"/>
    <x v="4"/>
    <n v="1"/>
    <n v="0.14285714285714285"/>
    <x v="0"/>
  </r>
  <r>
    <x v="149"/>
    <x v="4"/>
    <n v="1"/>
    <n v="0.14285714285714285"/>
    <x v="0"/>
  </r>
  <r>
    <x v="150"/>
    <x v="55"/>
    <n v="2"/>
    <n v="0.13333333333333333"/>
    <x v="1"/>
  </r>
  <r>
    <x v="151"/>
    <x v="16"/>
    <n v="3"/>
    <n v="0.13043478260869565"/>
    <x v="1"/>
  </r>
  <r>
    <x v="152"/>
    <x v="62"/>
    <n v="3"/>
    <n v="0.1111111111111111"/>
    <x v="1"/>
  </r>
  <r>
    <x v="153"/>
    <x v="11"/>
    <n v="1"/>
    <n v="0.1111111111111111"/>
    <x v="0"/>
  </r>
  <r>
    <x v="154"/>
    <x v="25"/>
    <n v="4"/>
    <n v="0.10810810810810811"/>
    <x v="1"/>
  </r>
  <r>
    <x v="155"/>
    <x v="37"/>
    <n v="1"/>
    <n v="0.1"/>
    <x v="1"/>
  </r>
  <r>
    <x v="156"/>
    <x v="15"/>
    <n v="1"/>
    <n v="9.0909090909090912E-2"/>
    <x v="1"/>
  </r>
  <r>
    <x v="157"/>
    <x v="15"/>
    <n v="1"/>
    <n v="9.0909090909090912E-2"/>
    <x v="1"/>
  </r>
  <r>
    <x v="158"/>
    <x v="63"/>
    <n v="2"/>
    <n v="9.0909090909090912E-2"/>
    <x v="1"/>
  </r>
  <r>
    <x v="159"/>
    <x v="64"/>
    <n v="2"/>
    <n v="4.6511627906976744E-2"/>
    <x v="1"/>
  </r>
  <r>
    <x v="159"/>
    <x v="64"/>
    <n v="2"/>
    <n v="4.6511627906976744E-2"/>
    <x v="1"/>
  </r>
  <r>
    <x v="160"/>
    <x v="46"/>
    <n v="1"/>
    <n v="4.1666666666666664E-2"/>
    <x v="1"/>
  </r>
  <r>
    <x v="161"/>
    <x v="54"/>
    <n v="0"/>
    <n v="0"/>
    <x v="0"/>
  </r>
  <r>
    <x v="162"/>
    <x v="1"/>
    <n v="0"/>
    <n v="0"/>
    <x v="0"/>
  </r>
  <r>
    <x v="163"/>
    <x v="1"/>
    <n v="0"/>
    <n v="0"/>
    <x v="0"/>
  </r>
  <r>
    <x v="164"/>
    <x v="6"/>
    <n v="0"/>
    <n v="0"/>
    <x v="0"/>
  </r>
  <r>
    <x v="165"/>
    <x v="2"/>
    <n v="0"/>
    <n v="0"/>
    <x v="0"/>
  </r>
  <r>
    <x v="166"/>
    <x v="2"/>
    <n v="0"/>
    <n v="0"/>
    <x v="0"/>
  </r>
  <r>
    <x v="167"/>
    <x v="2"/>
    <n v="0"/>
    <n v="0"/>
    <x v="0"/>
  </r>
  <r>
    <x v="168"/>
    <x v="1"/>
    <n v="0"/>
    <n v="0"/>
    <x v="0"/>
  </r>
  <r>
    <x v="169"/>
    <x v="3"/>
    <n v="0"/>
    <n v="0"/>
    <x v="0"/>
  </r>
  <r>
    <x v="170"/>
    <x v="2"/>
    <n v="0"/>
    <n v="0"/>
    <x v="0"/>
  </r>
  <r>
    <x v="171"/>
    <x v="54"/>
    <n v="0"/>
    <n v="0"/>
    <x v="0"/>
  </r>
  <r>
    <x v="172"/>
    <x v="1"/>
    <n v="0"/>
    <n v="0"/>
    <x v="0"/>
  </r>
  <r>
    <x v="173"/>
    <x v="1"/>
    <n v="0"/>
    <n v="0"/>
    <x v="0"/>
  </r>
  <r>
    <x v="174"/>
    <x v="3"/>
    <n v="0"/>
    <n v="0"/>
    <x v="0"/>
  </r>
  <r>
    <x v="175"/>
    <x v="1"/>
    <n v="0"/>
    <n v="0"/>
    <x v="0"/>
  </r>
  <r>
    <x v="176"/>
    <x v="5"/>
    <n v="0"/>
    <n v="0"/>
    <x v="0"/>
  </r>
  <r>
    <x v="177"/>
    <x v="3"/>
    <n v="0"/>
    <n v="0"/>
    <x v="0"/>
  </r>
  <r>
    <x v="178"/>
    <x v="4"/>
    <n v="0"/>
    <n v="0"/>
    <x v="0"/>
  </r>
  <r>
    <x v="179"/>
    <x v="6"/>
    <n v="0"/>
    <n v="0"/>
    <x v="0"/>
  </r>
  <r>
    <x v="180"/>
    <x v="1"/>
    <n v="0"/>
    <n v="0"/>
    <x v="0"/>
  </r>
  <r>
    <x v="181"/>
    <x v="2"/>
    <n v="0"/>
    <n v="0"/>
    <x v="0"/>
  </r>
  <r>
    <x v="182"/>
    <x v="1"/>
    <n v="0"/>
    <n v="0"/>
    <x v="0"/>
  </r>
  <r>
    <x v="183"/>
    <x v="1"/>
    <n v="0"/>
    <n v="0"/>
    <x v="0"/>
  </r>
  <r>
    <x v="184"/>
    <x v="1"/>
    <n v="0"/>
    <n v="0"/>
    <x v="0"/>
  </r>
  <r>
    <x v="185"/>
    <x v="1"/>
    <n v="0"/>
    <n v="0"/>
    <x v="0"/>
  </r>
  <r>
    <x v="186"/>
    <x v="1"/>
    <n v="0"/>
    <n v="0"/>
    <x v="0"/>
  </r>
  <r>
    <x v="187"/>
    <x v="3"/>
    <n v="0"/>
    <n v="0"/>
    <x v="0"/>
  </r>
  <r>
    <x v="188"/>
    <x v="5"/>
    <n v="0"/>
    <n v="0"/>
    <x v="0"/>
  </r>
  <r>
    <x v="189"/>
    <x v="1"/>
    <n v="0"/>
    <n v="0"/>
    <x v="0"/>
  </r>
  <r>
    <x v="190"/>
    <x v="5"/>
    <n v="0"/>
    <n v="0"/>
    <x v="0"/>
  </r>
  <r>
    <x v="191"/>
    <x v="2"/>
    <n v="0"/>
    <n v="0"/>
    <x v="0"/>
  </r>
  <r>
    <x v="192"/>
    <x v="1"/>
    <n v="0"/>
    <n v="0"/>
    <x v="0"/>
  </r>
  <r>
    <x v="193"/>
    <x v="2"/>
    <n v="0"/>
    <n v="0"/>
    <x v="0"/>
  </r>
  <r>
    <x v="194"/>
    <x v="1"/>
    <n v="0"/>
    <n v="0"/>
    <x v="0"/>
  </r>
  <r>
    <x v="195"/>
    <x v="1"/>
    <n v="0"/>
    <n v="0"/>
    <x v="0"/>
  </r>
  <r>
    <x v="196"/>
    <x v="1"/>
    <n v="0"/>
    <n v="0"/>
    <x v="0"/>
  </r>
  <r>
    <x v="197"/>
    <x v="1"/>
    <n v="0"/>
    <n v="0"/>
    <x v="0"/>
  </r>
  <r>
    <x v="198"/>
    <x v="1"/>
    <n v="0"/>
    <n v="0"/>
    <x v="0"/>
  </r>
  <r>
    <x v="199"/>
    <x v="1"/>
    <n v="0"/>
    <n v="0"/>
    <x v="0"/>
  </r>
  <r>
    <x v="200"/>
    <x v="2"/>
    <n v="0"/>
    <n v="0"/>
    <x v="0"/>
  </r>
  <r>
    <x v="201"/>
    <x v="1"/>
    <n v="0"/>
    <n v="0"/>
    <x v="0"/>
  </r>
  <r>
    <x v="202"/>
    <x v="1"/>
    <n v="0"/>
    <n v="0"/>
    <x v="0"/>
  </r>
  <r>
    <x v="203"/>
    <x v="1"/>
    <n v="0"/>
    <n v="0"/>
    <x v="0"/>
  </r>
  <r>
    <x v="204"/>
    <x v="1"/>
    <n v="0"/>
    <n v="0"/>
    <x v="0"/>
  </r>
  <r>
    <x v="205"/>
    <x v="1"/>
    <n v="0"/>
    <n v="0"/>
    <x v="0"/>
  </r>
  <r>
    <x v="206"/>
    <x v="1"/>
    <n v="0"/>
    <n v="0"/>
    <x v="0"/>
  </r>
  <r>
    <x v="207"/>
    <x v="1"/>
    <n v="0"/>
    <n v="0"/>
    <x v="0"/>
  </r>
  <r>
    <x v="208"/>
    <x v="1"/>
    <n v="0"/>
    <n v="0"/>
    <x v="0"/>
  </r>
  <r>
    <x v="209"/>
    <x v="2"/>
    <n v="0"/>
    <n v="0"/>
    <x v="0"/>
  </r>
  <r>
    <x v="210"/>
    <x v="1"/>
    <n v="0"/>
    <n v="0"/>
    <x v="0"/>
  </r>
  <r>
    <x v="211"/>
    <x v="2"/>
    <n v="0"/>
    <n v="0"/>
    <x v="0"/>
  </r>
  <r>
    <x v="212"/>
    <x v="1"/>
    <n v="0"/>
    <n v="0"/>
    <x v="0"/>
  </r>
  <r>
    <x v="213"/>
    <x v="2"/>
    <n v="0"/>
    <n v="0"/>
    <x v="0"/>
  </r>
  <r>
    <x v="214"/>
    <x v="5"/>
    <n v="0"/>
    <n v="0"/>
    <x v="0"/>
  </r>
  <r>
    <x v="215"/>
    <x v="5"/>
    <n v="0"/>
    <n v="0"/>
    <x v="0"/>
  </r>
  <r>
    <x v="216"/>
    <x v="5"/>
    <n v="0"/>
    <n v="0"/>
    <x v="0"/>
  </r>
  <r>
    <x v="217"/>
    <x v="1"/>
    <n v="0"/>
    <n v="0"/>
    <x v="0"/>
  </r>
  <r>
    <x v="218"/>
    <x v="1"/>
    <n v="0"/>
    <n v="0"/>
    <x v="0"/>
  </r>
  <r>
    <x v="219"/>
    <x v="1"/>
    <n v="0"/>
    <n v="0"/>
    <x v="0"/>
  </r>
  <r>
    <x v="220"/>
    <x v="1"/>
    <n v="0"/>
    <n v="0"/>
    <x v="0"/>
  </r>
  <r>
    <x v="221"/>
    <x v="1"/>
    <n v="0"/>
    <n v="0"/>
    <x v="0"/>
  </r>
  <r>
    <x v="222"/>
    <x v="1"/>
    <n v="0"/>
    <n v="0"/>
    <x v="0"/>
  </r>
  <r>
    <x v="223"/>
    <x v="1"/>
    <n v="0"/>
    <n v="0"/>
    <x v="0"/>
  </r>
  <r>
    <x v="224"/>
    <x v="1"/>
    <n v="0"/>
    <n v="0"/>
    <x v="0"/>
  </r>
  <r>
    <x v="225"/>
    <x v="1"/>
    <n v="0"/>
    <n v="0"/>
    <x v="0"/>
  </r>
  <r>
    <x v="226"/>
    <x v="1"/>
    <n v="0"/>
    <n v="0"/>
    <x v="0"/>
  </r>
  <r>
    <x v="227"/>
    <x v="1"/>
    <n v="0"/>
    <n v="0"/>
    <x v="0"/>
  </r>
  <r>
    <x v="228"/>
    <x v="2"/>
    <n v="0"/>
    <n v="0"/>
    <x v="0"/>
  </r>
  <r>
    <x v="229"/>
    <x v="1"/>
    <n v="0"/>
    <n v="0"/>
    <x v="0"/>
  </r>
  <r>
    <x v="230"/>
    <x v="1"/>
    <n v="0"/>
    <n v="0"/>
    <x v="0"/>
  </r>
  <r>
    <x v="231"/>
    <x v="1"/>
    <n v="0"/>
    <n v="0"/>
    <x v="0"/>
  </r>
  <r>
    <x v="232"/>
    <x v="1"/>
    <n v="0"/>
    <n v="0"/>
    <x v="0"/>
  </r>
  <r>
    <x v="233"/>
    <x v="1"/>
    <n v="0"/>
    <n v="0"/>
    <x v="0"/>
  </r>
  <r>
    <x v="234"/>
    <x v="1"/>
    <n v="0"/>
    <n v="0"/>
    <x v="0"/>
  </r>
  <r>
    <x v="235"/>
    <x v="1"/>
    <n v="0"/>
    <n v="0"/>
    <x v="0"/>
  </r>
  <r>
    <x v="236"/>
    <x v="6"/>
    <n v="0"/>
    <n v="0"/>
    <x v="0"/>
  </r>
  <r>
    <x v="237"/>
    <x v="11"/>
    <n v="0"/>
    <n v="0"/>
    <x v="0"/>
  </r>
  <r>
    <x v="238"/>
    <x v="54"/>
    <n v="0"/>
    <n v="0"/>
    <x v="0"/>
  </r>
  <r>
    <x v="239"/>
    <x v="6"/>
    <n v="0"/>
    <n v="0"/>
    <x v="0"/>
  </r>
  <r>
    <x v="240"/>
    <x v="30"/>
    <n v="0"/>
    <n v="0"/>
    <x v="1"/>
  </r>
  <r>
    <x v="241"/>
    <x v="1"/>
    <n v="0"/>
    <n v="0"/>
    <x v="0"/>
  </r>
  <r>
    <x v="242"/>
    <x v="2"/>
    <n v="0"/>
    <n v="0"/>
    <x v="0"/>
  </r>
  <r>
    <x v="243"/>
    <x v="1"/>
    <n v="0"/>
    <n v="0"/>
    <x v="0"/>
  </r>
  <r>
    <x v="244"/>
    <x v="2"/>
    <n v="0"/>
    <n v="0"/>
    <x v="0"/>
  </r>
  <r>
    <x v="245"/>
    <x v="1"/>
    <n v="0"/>
    <n v="0"/>
    <x v="0"/>
  </r>
  <r>
    <x v="246"/>
    <x v="2"/>
    <n v="0"/>
    <n v="0"/>
    <x v="0"/>
  </r>
  <r>
    <x v="247"/>
    <x v="1"/>
    <n v="0"/>
    <n v="0"/>
    <x v="0"/>
  </r>
  <r>
    <x v="248"/>
    <x v="1"/>
    <n v="0"/>
    <n v="0"/>
    <x v="0"/>
  </r>
  <r>
    <x v="249"/>
    <x v="1"/>
    <n v="0"/>
    <n v="0"/>
    <x v="0"/>
  </r>
  <r>
    <x v="250"/>
    <x v="1"/>
    <n v="0"/>
    <n v="0"/>
    <x v="0"/>
  </r>
  <r>
    <x v="251"/>
    <x v="1"/>
    <n v="0"/>
    <n v="0"/>
    <x v="0"/>
  </r>
  <r>
    <x v="252"/>
    <x v="2"/>
    <n v="0"/>
    <n v="0"/>
    <x v="0"/>
  </r>
  <r>
    <x v="253"/>
    <x v="1"/>
    <n v="0"/>
    <n v="0"/>
    <x v="0"/>
  </r>
  <r>
    <x v="254"/>
    <x v="5"/>
    <n v="0"/>
    <n v="0"/>
    <x v="0"/>
  </r>
  <r>
    <x v="255"/>
    <x v="1"/>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FD71F9-565A-4EB1-8974-DB46F824629C}" name="PivotTable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rowPageCount="1" colPageCount="1"/>
  <pivotFields count="5">
    <pivotField axis="axisRow" showAll="0" measureFilter="1" sortType="descending">
      <items count="257">
        <item x="40"/>
        <item x="193"/>
        <item x="54"/>
        <item x="207"/>
        <item x="82"/>
        <item x="58"/>
        <item x="185"/>
        <item x="201"/>
        <item x="9"/>
        <item x="68"/>
        <item x="103"/>
        <item x="111"/>
        <item x="159"/>
        <item x="179"/>
        <item x="142"/>
        <item x="220"/>
        <item x="131"/>
        <item x="173"/>
        <item x="133"/>
        <item x="20"/>
        <item x="17"/>
        <item x="221"/>
        <item x="50"/>
        <item x="205"/>
        <item x="95"/>
        <item x="11"/>
        <item x="244"/>
        <item x="56"/>
        <item x="7"/>
        <item x="51"/>
        <item x="140"/>
        <item x="168"/>
        <item x="212"/>
        <item x="62"/>
        <item x="178"/>
        <item x="219"/>
        <item x="144"/>
        <item x="127"/>
        <item x="135"/>
        <item x="155"/>
        <item x="59"/>
        <item x="78"/>
        <item x="163"/>
        <item x="251"/>
        <item x="197"/>
        <item x="4"/>
        <item x="120"/>
        <item x="252"/>
        <item x="23"/>
        <item x="91"/>
        <item x="26"/>
        <item x="246"/>
        <item x="208"/>
        <item x="84"/>
        <item x="81"/>
        <item x="216"/>
        <item x="238"/>
        <item x="39"/>
        <item x="162"/>
        <item x="254"/>
        <item x="128"/>
        <item x="233"/>
        <item x="61"/>
        <item x="189"/>
        <item x="172"/>
        <item x="10"/>
        <item x="224"/>
        <item x="105"/>
        <item x="116"/>
        <item x="2"/>
        <item x="32"/>
        <item x="156"/>
        <item x="154"/>
        <item x="240"/>
        <item x="117"/>
        <item x="108"/>
        <item x="37"/>
        <item x="247"/>
        <item x="87"/>
        <item x="230"/>
        <item x="121"/>
        <item x="66"/>
        <item x="47"/>
        <item x="123"/>
        <item x="3"/>
        <item x="15"/>
        <item x="198"/>
        <item x="60"/>
        <item x="226"/>
        <item x="227"/>
        <item x="228"/>
        <item x="145"/>
        <item x="89"/>
        <item x="46"/>
        <item x="74"/>
        <item x="141"/>
        <item x="165"/>
        <item x="16"/>
        <item x="249"/>
        <item x="175"/>
        <item x="129"/>
        <item x="94"/>
        <item x="118"/>
        <item x="248"/>
        <item x="231"/>
        <item x="29"/>
        <item x="101"/>
        <item x="31"/>
        <item x="223"/>
        <item x="132"/>
        <item x="19"/>
        <item x="136"/>
        <item x="245"/>
        <item x="27"/>
        <item x="232"/>
        <item x="93"/>
        <item x="30"/>
        <item x="206"/>
        <item x="34"/>
        <item x="211"/>
        <item x="65"/>
        <item x="225"/>
        <item x="213"/>
        <item x="44"/>
        <item x="42"/>
        <item x="12"/>
        <item x="166"/>
        <item x="209"/>
        <item x="48"/>
        <item x="71"/>
        <item x="222"/>
        <item x="96"/>
        <item x="80"/>
        <item x="76"/>
        <item x="196"/>
        <item x="215"/>
        <item x="243"/>
        <item x="38"/>
        <item x="113"/>
        <item x="14"/>
        <item x="53"/>
        <item x="134"/>
        <item x="241"/>
        <item x="147"/>
        <item x="126"/>
        <item x="77"/>
        <item x="55"/>
        <item x="92"/>
        <item x="188"/>
        <item x="161"/>
        <item x="106"/>
        <item x="143"/>
        <item x="97"/>
        <item x="43"/>
        <item x="237"/>
        <item x="35"/>
        <item x="183"/>
        <item x="109"/>
        <item x="139"/>
        <item x="8"/>
        <item x="236"/>
        <item x="174"/>
        <item x="18"/>
        <item x="214"/>
        <item x="181"/>
        <item x="36"/>
        <item x="21"/>
        <item x="24"/>
        <item x="203"/>
        <item x="218"/>
        <item x="157"/>
        <item x="83"/>
        <item x="169"/>
        <item x="1"/>
        <item x="202"/>
        <item x="112"/>
        <item x="250"/>
        <item x="41"/>
        <item x="171"/>
        <item x="204"/>
        <item x="22"/>
        <item x="110"/>
        <item x="100"/>
        <item x="137"/>
        <item x="0"/>
        <item x="192"/>
        <item x="107"/>
        <item x="160"/>
        <item x="119"/>
        <item x="73"/>
        <item x="115"/>
        <item x="187"/>
        <item x="28"/>
        <item x="150"/>
        <item x="234"/>
        <item x="52"/>
        <item x="200"/>
        <item x="210"/>
        <item x="253"/>
        <item x="242"/>
        <item x="45"/>
        <item x="72"/>
        <item x="170"/>
        <item x="194"/>
        <item x="176"/>
        <item x="167"/>
        <item x="85"/>
        <item x="63"/>
        <item x="149"/>
        <item x="49"/>
        <item x="255"/>
        <item x="104"/>
        <item x="90"/>
        <item x="122"/>
        <item x="86"/>
        <item x="190"/>
        <item x="186"/>
        <item x="5"/>
        <item x="184"/>
        <item x="148"/>
        <item x="79"/>
        <item x="138"/>
        <item x="102"/>
        <item x="130"/>
        <item x="164"/>
        <item x="98"/>
        <item x="33"/>
        <item x="153"/>
        <item x="125"/>
        <item x="70"/>
        <item x="191"/>
        <item x="99"/>
        <item x="151"/>
        <item x="152"/>
        <item x="146"/>
        <item x="6"/>
        <item x="67"/>
        <item x="158"/>
        <item x="182"/>
        <item x="217"/>
        <item x="229"/>
        <item x="64"/>
        <item x="114"/>
        <item x="124"/>
        <item x="239"/>
        <item x="13"/>
        <item x="195"/>
        <item x="25"/>
        <item x="235"/>
        <item x="88"/>
        <item x="180"/>
        <item x="177"/>
        <item x="57"/>
        <item x="199"/>
        <item x="75"/>
        <item x="6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Page" showAll="0">
      <items count="3">
        <item x="0"/>
        <item x="1"/>
        <item t="default"/>
      </items>
    </pivotField>
  </pivotFields>
  <rowFields count="1">
    <field x="0"/>
  </rowFields>
  <rowItems count="11">
    <i>
      <x v="110"/>
    </i>
    <i>
      <x v="166"/>
    </i>
    <i>
      <x v="180"/>
    </i>
    <i>
      <x v="247"/>
    </i>
    <i>
      <x v="153"/>
    </i>
    <i>
      <x v="123"/>
    </i>
    <i>
      <x v="200"/>
    </i>
    <i>
      <x v="93"/>
    </i>
    <i>
      <x v="22"/>
    </i>
    <i>
      <x v="209"/>
    </i>
    <i t="grand">
      <x/>
    </i>
  </rowItems>
  <colItems count="1">
    <i/>
  </colItems>
  <pageFields count="1">
    <pageField fld="4" item="1" hier="-1"/>
  </pageFields>
  <dataFields count="1">
    <dataField name="Win Rate" fld="3" subtotal="average" baseField="0" baseItem="166"/>
  </dataFields>
  <formats count="1">
    <format dxfId="0">
      <pivotArea collapsedLevelsAreSubtotals="1" fieldPosition="0">
        <references count="1">
          <reference field="0" count="94">
            <x v="2"/>
            <x v="4"/>
            <x v="11"/>
            <x v="12"/>
            <x v="16"/>
            <x v="18"/>
            <x v="22"/>
            <x v="24"/>
            <x v="27"/>
            <x v="29"/>
            <x v="30"/>
            <x v="33"/>
            <x v="37"/>
            <x v="38"/>
            <x v="39"/>
            <x v="40"/>
            <x v="41"/>
            <x v="53"/>
            <x v="54"/>
            <x v="60"/>
            <x v="62"/>
            <x v="67"/>
            <x v="68"/>
            <x v="71"/>
            <x v="72"/>
            <x v="73"/>
            <x v="75"/>
            <x v="78"/>
            <x v="80"/>
            <x v="81"/>
            <x v="83"/>
            <x v="87"/>
            <x v="91"/>
            <x v="92"/>
            <x v="93"/>
            <x v="100"/>
            <x v="101"/>
            <x v="106"/>
            <x v="109"/>
            <x v="110"/>
            <x v="111"/>
            <x v="115"/>
            <x v="123"/>
            <x v="131"/>
            <x v="132"/>
            <x v="133"/>
            <x v="138"/>
            <x v="140"/>
            <x v="141"/>
            <x v="143"/>
            <x v="144"/>
            <x v="145"/>
            <x v="146"/>
            <x v="147"/>
            <x v="150"/>
            <x v="152"/>
            <x v="153"/>
            <x v="157"/>
            <x v="166"/>
            <x v="170"/>
            <x v="171"/>
            <x v="175"/>
            <x v="180"/>
            <x v="181"/>
            <x v="182"/>
            <x v="183"/>
            <x v="186"/>
            <x v="187"/>
            <x v="190"/>
            <x v="193"/>
            <x v="195"/>
            <x v="200"/>
            <x v="201"/>
            <x v="206"/>
            <x v="207"/>
            <x v="209"/>
            <x v="212"/>
            <x v="213"/>
            <x v="214"/>
            <x v="220"/>
            <x v="223"/>
            <x v="225"/>
            <x v="231"/>
            <x v="232"/>
            <x v="233"/>
            <x v="234"/>
            <x v="237"/>
            <x v="242"/>
            <x v="243"/>
            <x v="247"/>
            <x v="249"/>
            <x v="252"/>
            <x v="254"/>
            <x v="255"/>
          </reference>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9B4CB7-4C4E-410C-BF27-ADB6B817D1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C15" firstHeaderRow="0" firstDataRow="1" firstDataCol="1" rowPageCount="1" colPageCount="1"/>
  <pivotFields count="7">
    <pivotField axis="axisRow" showAll="0" measureFilter="1" sortType="ascending">
      <items count="128">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autoSortScope>
        <pivotArea dataOnly="0" outline="0" fieldPosition="0">
          <references count="1">
            <reference field="4294967294" count="1" selected="0">
              <x v="1"/>
            </reference>
          </references>
        </pivotArea>
      </autoSortScope>
    </pivotField>
    <pivotField axis="axisPage" showAll="0">
      <items count="7">
        <item x="0"/>
        <item x="2"/>
        <item x="4"/>
        <item x="1"/>
        <item x="5"/>
        <item x="3"/>
        <item t="default"/>
      </items>
    </pivotField>
    <pivotField dataField="1" showAll="0"/>
    <pivotField dataField="1" showAll="0"/>
    <pivotField numFmtId="164" showAll="0">
      <items count="222">
        <item x="27"/>
        <item x="94"/>
        <item x="154"/>
        <item x="73"/>
        <item x="34"/>
        <item x="32"/>
        <item x="204"/>
        <item x="112"/>
        <item x="65"/>
        <item x="11"/>
        <item x="45"/>
        <item x="49"/>
        <item x="0"/>
        <item x="100"/>
        <item x="115"/>
        <item x="1"/>
        <item x="187"/>
        <item x="208"/>
        <item x="155"/>
        <item x="19"/>
        <item x="44"/>
        <item x="9"/>
        <item x="67"/>
        <item x="64"/>
        <item x="123"/>
        <item x="216"/>
        <item x="63"/>
        <item x="75"/>
        <item x="103"/>
        <item x="30"/>
        <item x="111"/>
        <item x="174"/>
        <item x="151"/>
        <item x="167"/>
        <item x="211"/>
        <item x="25"/>
        <item x="138"/>
        <item x="165"/>
        <item x="114"/>
        <item x="149"/>
        <item x="206"/>
        <item x="157"/>
        <item x="215"/>
        <item x="135"/>
        <item x="28"/>
        <item x="159"/>
        <item x="14"/>
        <item x="35"/>
        <item x="46"/>
        <item x="50"/>
        <item x="120"/>
        <item x="170"/>
        <item x="203"/>
        <item x="197"/>
        <item x="68"/>
        <item x="131"/>
        <item x="110"/>
        <item x="139"/>
        <item x="97"/>
        <item x="113"/>
        <item x="62"/>
        <item x="54"/>
        <item x="177"/>
        <item x="169"/>
        <item x="81"/>
        <item x="217"/>
        <item x="51"/>
        <item x="55"/>
        <item x="220"/>
        <item x="156"/>
        <item x="196"/>
        <item x="193"/>
        <item x="56"/>
        <item x="33"/>
        <item x="192"/>
        <item x="160"/>
        <item x="59"/>
        <item x="168"/>
        <item x="144"/>
        <item x="184"/>
        <item x="148"/>
        <item x="39"/>
        <item x="212"/>
        <item x="29"/>
        <item x="102"/>
        <item x="23"/>
        <item x="158"/>
        <item x="116"/>
        <item x="101"/>
        <item x="166"/>
        <item x="13"/>
        <item x="76"/>
        <item x="205"/>
        <item x="145"/>
        <item x="185"/>
        <item x="181"/>
        <item x="8"/>
        <item x="200"/>
        <item x="98"/>
        <item x="141"/>
        <item x="171"/>
        <item x="74"/>
        <item x="190"/>
        <item x="125"/>
        <item x="42"/>
        <item x="66"/>
        <item x="162"/>
        <item x="22"/>
        <item x="164"/>
        <item x="5"/>
        <item x="161"/>
        <item x="180"/>
        <item x="72"/>
        <item x="77"/>
        <item x="153"/>
        <item x="210"/>
        <item x="129"/>
        <item x="189"/>
        <item x="85"/>
        <item x="121"/>
        <item x="4"/>
        <item x="136"/>
        <item x="109"/>
        <item x="84"/>
        <item x="176"/>
        <item x="38"/>
        <item x="172"/>
        <item x="173"/>
        <item x="24"/>
        <item x="58"/>
        <item x="48"/>
        <item x="108"/>
        <item x="207"/>
        <item x="96"/>
        <item x="53"/>
        <item x="18"/>
        <item x="201"/>
        <item x="219"/>
        <item x="95"/>
        <item x="87"/>
        <item x="118"/>
        <item x="36"/>
        <item x="179"/>
        <item x="198"/>
        <item x="191"/>
        <item x="69"/>
        <item x="147"/>
        <item x="133"/>
        <item x="132"/>
        <item x="20"/>
        <item x="104"/>
        <item x="60"/>
        <item x="79"/>
        <item x="10"/>
        <item x="82"/>
        <item x="91"/>
        <item x="124"/>
        <item x="78"/>
        <item x="57"/>
        <item x="186"/>
        <item x="194"/>
        <item x="137"/>
        <item x="92"/>
        <item x="41"/>
        <item x="47"/>
        <item x="218"/>
        <item x="128"/>
        <item x="202"/>
        <item x="214"/>
        <item x="107"/>
        <item x="70"/>
        <item x="83"/>
        <item x="178"/>
        <item x="146"/>
        <item x="90"/>
        <item x="142"/>
        <item x="6"/>
        <item x="199"/>
        <item x="86"/>
        <item x="119"/>
        <item x="89"/>
        <item x="71"/>
        <item x="37"/>
        <item x="195"/>
        <item x="52"/>
        <item x="209"/>
        <item x="40"/>
        <item x="130"/>
        <item x="16"/>
        <item x="163"/>
        <item x="80"/>
        <item x="127"/>
        <item x="183"/>
        <item x="12"/>
        <item x="134"/>
        <item x="3"/>
        <item x="126"/>
        <item x="122"/>
        <item x="43"/>
        <item x="17"/>
        <item x="21"/>
        <item x="106"/>
        <item x="182"/>
        <item x="143"/>
        <item x="2"/>
        <item x="15"/>
        <item x="93"/>
        <item x="117"/>
        <item x="99"/>
        <item x="105"/>
        <item x="175"/>
        <item x="31"/>
        <item x="61"/>
        <item x="140"/>
        <item x="88"/>
        <item x="26"/>
        <item x="213"/>
        <item x="152"/>
        <item x="188"/>
        <item x="150"/>
        <item x="7"/>
        <item t="default"/>
      </items>
    </pivotField>
    <pivotField showAll="0"/>
    <pivotField showAll="0"/>
  </pivotFields>
  <rowFields count="1">
    <field x="0"/>
  </rowFields>
  <rowItems count="12">
    <i>
      <x v="71"/>
    </i>
    <i>
      <x v="73"/>
    </i>
    <i>
      <x v="36"/>
    </i>
    <i>
      <x v="101"/>
    </i>
    <i>
      <x v="43"/>
    </i>
    <i>
      <x v="15"/>
    </i>
    <i>
      <x v="88"/>
    </i>
    <i>
      <x v="21"/>
    </i>
    <i>
      <x v="48"/>
    </i>
    <i>
      <x v="51"/>
    </i>
    <i>
      <x v="39"/>
    </i>
    <i t="grand">
      <x/>
    </i>
  </rowItems>
  <colFields count="1">
    <field x="-2"/>
  </colFields>
  <colItems count="2">
    <i>
      <x/>
    </i>
    <i i="1">
      <x v="1"/>
    </i>
  </colItems>
  <pageFields count="1">
    <pageField fld="1" hier="-1"/>
  </pageFields>
  <dataFields count="2">
    <dataField name="Times won" fld="3" baseField="0" baseItem="0"/>
    <dataField name="Times Picked" fld="2" baseField="0" baseItem="0"/>
  </dataFields>
  <chartFormats count="6">
    <chartFormat chart="0" format="0"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14" format="11"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F1713D-4452-489B-BFF9-144358F6D91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4" firstHeaderRow="1" firstDataRow="1" firstDataCol="1"/>
  <pivotFields count="9">
    <pivotField axis="axisRow" showAll="0" measureFilter="1" sortType="descending">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autoSortScope>
        <pivotArea dataOnly="0" outline="0" fieldPosition="0">
          <references count="1">
            <reference field="4294967294" count="1" selected="0">
              <x v="0"/>
            </reference>
          </references>
        </pivotArea>
      </autoSortScope>
    </pivotField>
    <pivotField showAll="0"/>
    <pivotField dataField="1" showAll="0"/>
    <pivotField numFmtId="164" showAll="0"/>
    <pivotField numFmtId="164" showAll="0"/>
    <pivotField showAll="0"/>
    <pivotField numFmtId="164" showAll="0"/>
    <pivotField numFmtId="2" showAll="0"/>
    <pivotField showAll="0"/>
  </pivotFields>
  <rowFields count="1">
    <field x="0"/>
  </rowFields>
  <rowItems count="11">
    <i>
      <x v="7"/>
    </i>
    <i>
      <x v="75"/>
    </i>
    <i>
      <x v="1"/>
    </i>
    <i>
      <x v="8"/>
    </i>
    <i>
      <x v="26"/>
    </i>
    <i>
      <x v="78"/>
    </i>
    <i>
      <x v="119"/>
    </i>
    <i>
      <x v="80"/>
    </i>
    <i>
      <x v="116"/>
    </i>
    <i>
      <x v="83"/>
    </i>
    <i t="grand">
      <x/>
    </i>
  </rowItems>
  <colItems count="1">
    <i/>
  </colItems>
  <dataFields count="1">
    <dataField name="Sum of times_banned" fld="2"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_name" xr10:uid="{E7401F7D-0441-4B49-9EC6-D9835FE07C99}" sourceName="role_name">
  <pivotTables>
    <pivotTable tabId="4" name="PivotTable1"/>
  </pivotTables>
  <data>
    <tabular pivotCacheId="1767969795">
      <items count="6">
        <i x="0" s="1"/>
        <i x="2" s="1"/>
        <i x="4" s="1"/>
        <i x="1" s="1"/>
        <i x="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_name 1" xr10:uid="{740E773B-EF69-45DF-940B-91E92FCB4601}" cache="Slicer_role_name" caption="role_name" startItem="3" style="Slicer Style 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_name" xr10:uid="{92629B6C-9981-428A-A63B-DCEA51384966}" cache="Slicer_role_name" caption="role_name" style="Slicer Style 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L111"/>
  <sheetViews>
    <sheetView showGridLines="0" tabSelected="1" topLeftCell="A55" zoomScale="86" zoomScaleNormal="112" workbookViewId="0">
      <selection activeCell="BM69" sqref="BM69"/>
    </sheetView>
  </sheetViews>
  <sheetFormatPr defaultColWidth="2.77734375" defaultRowHeight="14.4" x14ac:dyDescent="0.3"/>
  <cols>
    <col min="1" max="3" width="2.77734375" style="1"/>
    <col min="4" max="5" width="2.77734375" style="1" customWidth="1"/>
    <col min="6" max="7" width="2.77734375" style="1"/>
    <col min="8" max="8" width="2.77734375" style="1" customWidth="1"/>
    <col min="9" max="9" width="2.77734375" style="1"/>
    <col min="10" max="12" width="2.77734375" style="1" customWidth="1"/>
    <col min="13" max="13" width="2.77734375" style="1"/>
    <col min="14" max="14" width="2.77734375" style="1" customWidth="1"/>
    <col min="15" max="17" width="2.77734375" style="1"/>
    <col min="18" max="19" width="2.77734375" style="1" customWidth="1"/>
    <col min="20" max="20" width="2.77734375" style="1"/>
    <col min="21" max="23" width="2.77734375" style="1" customWidth="1"/>
    <col min="24" max="24" width="2.77734375" style="1"/>
    <col min="25" max="25" width="2.77734375" style="1" customWidth="1"/>
    <col min="26" max="27" width="2.77734375" style="1"/>
    <col min="28" max="28" width="2.77734375" style="1" customWidth="1"/>
    <col min="29" max="34" width="2.77734375" style="1"/>
    <col min="35" max="35" width="3.44140625" style="1" customWidth="1"/>
    <col min="36" max="43" width="2.77734375" style="1"/>
    <col min="44" max="44" width="2.77734375" style="1" customWidth="1"/>
    <col min="45" max="54" width="2.77734375" style="1"/>
    <col min="55" max="55" width="2.77734375" style="1" customWidth="1"/>
    <col min="56" max="16384" width="2.77734375" style="1"/>
  </cols>
  <sheetData>
    <row r="2" spans="2:63" ht="14.4" customHeight="1" x14ac:dyDescent="0.3">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row>
    <row r="3" spans="2:63" ht="14.4" customHeight="1" x14ac:dyDescent="0.3">
      <c r="B3" s="2"/>
      <c r="C3" s="6"/>
      <c r="D3" s="3"/>
      <c r="E3" s="3"/>
      <c r="F3" s="3"/>
      <c r="G3" s="3"/>
      <c r="H3" s="3"/>
      <c r="I3" s="3"/>
      <c r="J3" s="3"/>
      <c r="K3" s="3"/>
      <c r="L3" s="3"/>
      <c r="M3" s="3"/>
      <c r="N3" s="3"/>
      <c r="O3" s="3"/>
      <c r="P3" s="3"/>
      <c r="Q3" s="3"/>
      <c r="R3" s="3"/>
      <c r="S3" s="3"/>
      <c r="T3" s="3"/>
      <c r="U3" s="3"/>
      <c r="V3" s="3"/>
      <c r="W3" s="3"/>
      <c r="X3" s="3"/>
      <c r="Y3" s="3"/>
      <c r="Z3" s="3"/>
      <c r="AA3" s="3"/>
      <c r="AB3" s="3"/>
      <c r="AC3" s="3"/>
      <c r="AD3" s="3"/>
      <c r="AE3" s="3"/>
      <c r="AF3" s="3"/>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row>
    <row r="4" spans="2:63" ht="14.4" customHeight="1" x14ac:dyDescent="0.3">
      <c r="B4" s="2"/>
      <c r="C4" s="6"/>
      <c r="D4" s="3"/>
      <c r="E4" s="3"/>
      <c r="F4" s="3"/>
      <c r="G4" s="3"/>
      <c r="H4" s="74" t="s">
        <v>0</v>
      </c>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4"/>
      <c r="AQ4" s="4"/>
      <c r="AR4" s="4"/>
      <c r="AS4" s="4"/>
      <c r="AT4" s="4"/>
      <c r="AU4" s="4"/>
      <c r="AV4" s="4"/>
      <c r="AW4" s="4"/>
      <c r="AX4" s="4"/>
      <c r="AY4" s="4"/>
      <c r="AZ4" s="4"/>
      <c r="BA4" s="4"/>
      <c r="BB4" s="4"/>
      <c r="BC4" s="4"/>
      <c r="BD4" s="4"/>
      <c r="BE4" s="4"/>
      <c r="BF4" s="4"/>
      <c r="BG4" s="4"/>
      <c r="BH4" s="4"/>
      <c r="BI4" s="4"/>
      <c r="BJ4" s="4"/>
      <c r="BK4" s="4"/>
    </row>
    <row r="5" spans="2:63" ht="14.4" customHeight="1" x14ac:dyDescent="0.3">
      <c r="B5" s="2"/>
      <c r="C5" s="6"/>
      <c r="D5" s="3"/>
      <c r="E5" s="3"/>
      <c r="F5" s="3"/>
      <c r="G5" s="3"/>
      <c r="H5" s="74"/>
      <c r="I5" s="74"/>
      <c r="J5" s="74"/>
      <c r="K5" s="74"/>
      <c r="L5" s="74"/>
      <c r="M5" s="74"/>
      <c r="N5" s="74"/>
      <c r="O5" s="74"/>
      <c r="P5" s="74"/>
      <c r="Q5" s="74"/>
      <c r="R5" s="74"/>
      <c r="S5" s="74"/>
      <c r="T5" s="74"/>
      <c r="U5" s="74"/>
      <c r="V5" s="74"/>
      <c r="W5" s="74"/>
      <c r="X5" s="74"/>
      <c r="Y5" s="74"/>
      <c r="Z5" s="74"/>
      <c r="AA5" s="74"/>
      <c r="AB5" s="74"/>
      <c r="AC5" s="74"/>
      <c r="AD5" s="74"/>
      <c r="AE5" s="74"/>
      <c r="AF5" s="74"/>
      <c r="AG5" s="74"/>
      <c r="AH5" s="74"/>
      <c r="AI5" s="74"/>
      <c r="AJ5" s="74"/>
      <c r="AK5" s="74"/>
      <c r="AL5" s="74"/>
      <c r="AM5" s="74"/>
      <c r="AN5" s="74"/>
      <c r="AO5" s="74"/>
      <c r="AP5" s="4"/>
      <c r="AQ5" s="4"/>
      <c r="AR5" s="4"/>
      <c r="AS5" s="4"/>
      <c r="AT5" s="4"/>
      <c r="AU5" s="4"/>
      <c r="AV5" s="4"/>
      <c r="AW5" s="4"/>
      <c r="AX5" s="4"/>
      <c r="AY5" s="4"/>
      <c r="AZ5" s="4"/>
      <c r="BA5" s="4"/>
      <c r="BB5" s="4"/>
      <c r="BC5" s="4"/>
      <c r="BD5" s="4"/>
      <c r="BE5" s="4"/>
      <c r="BF5" s="4"/>
      <c r="BG5" s="4"/>
      <c r="BH5" s="4"/>
      <c r="BI5" s="4"/>
      <c r="BJ5" s="4"/>
      <c r="BK5" s="4"/>
    </row>
    <row r="6" spans="2:63" ht="14.4" customHeight="1" x14ac:dyDescent="0.3">
      <c r="C6" s="6"/>
      <c r="D6" s="3"/>
      <c r="E6" s="3"/>
      <c r="F6" s="3"/>
      <c r="G6" s="3"/>
      <c r="H6" s="74"/>
      <c r="I6" s="74"/>
      <c r="J6" s="74"/>
      <c r="K6" s="74"/>
      <c r="L6" s="74"/>
      <c r="M6" s="74"/>
      <c r="N6" s="74"/>
      <c r="O6" s="74"/>
      <c r="P6" s="74"/>
      <c r="Q6" s="74"/>
      <c r="R6" s="74"/>
      <c r="S6" s="74"/>
      <c r="T6" s="74"/>
      <c r="U6" s="74"/>
      <c r="V6" s="74"/>
      <c r="W6" s="74"/>
      <c r="X6" s="74"/>
      <c r="Y6" s="74"/>
      <c r="Z6" s="74"/>
      <c r="AA6" s="74"/>
      <c r="AB6" s="74"/>
      <c r="AC6" s="74"/>
      <c r="AD6" s="74"/>
      <c r="AE6" s="74"/>
      <c r="AF6" s="74"/>
      <c r="AG6" s="74"/>
      <c r="AH6" s="74"/>
      <c r="AI6" s="74"/>
      <c r="AJ6" s="74"/>
      <c r="AK6" s="74"/>
      <c r="AL6" s="74"/>
      <c r="AM6" s="74"/>
      <c r="AN6" s="74"/>
      <c r="AO6" s="74"/>
      <c r="AP6" s="4"/>
      <c r="AQ6" s="4"/>
      <c r="AR6" s="4"/>
      <c r="AS6" s="4"/>
      <c r="AT6" s="4"/>
      <c r="AU6" s="4"/>
      <c r="AV6" s="4"/>
      <c r="AW6" s="4"/>
      <c r="AX6" s="4"/>
      <c r="AY6" s="4"/>
      <c r="AZ6" s="4"/>
      <c r="BA6" s="4"/>
      <c r="BB6" s="4"/>
      <c r="BC6" s="4"/>
      <c r="BD6" s="4"/>
      <c r="BE6" s="4"/>
      <c r="BF6" s="4"/>
      <c r="BG6" s="4"/>
      <c r="BH6" s="4"/>
      <c r="BI6" s="4"/>
      <c r="BJ6" s="4"/>
      <c r="BK6" s="4"/>
    </row>
    <row r="7" spans="2:63" ht="14.4" customHeight="1" x14ac:dyDescent="0.3">
      <c r="C7" s="6"/>
      <c r="D7" s="3"/>
      <c r="E7" s="3"/>
      <c r="F7" s="3"/>
      <c r="G7" s="3"/>
      <c r="H7" s="3"/>
      <c r="I7" s="5"/>
      <c r="J7" s="5"/>
      <c r="K7" s="5"/>
      <c r="L7" s="5"/>
      <c r="M7" s="5"/>
      <c r="N7" s="5"/>
      <c r="O7" s="5"/>
      <c r="P7" s="5"/>
      <c r="Q7" s="5"/>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row>
    <row r="8" spans="2:63" ht="19.2" customHeight="1" x14ac:dyDescent="0.3">
      <c r="C8" s="75" t="s">
        <v>1</v>
      </c>
      <c r="D8" s="75"/>
      <c r="E8" s="75"/>
      <c r="F8" s="75"/>
      <c r="G8" s="75"/>
      <c r="H8" s="75"/>
      <c r="I8" s="75"/>
      <c r="J8" s="75"/>
      <c r="K8" s="75"/>
      <c r="L8" s="75"/>
      <c r="M8" s="75"/>
      <c r="N8" s="75"/>
      <c r="O8" s="75"/>
      <c r="P8" s="75"/>
      <c r="Q8" s="75"/>
      <c r="R8" s="75"/>
      <c r="S8" s="75"/>
      <c r="T8" s="75"/>
      <c r="U8" s="75"/>
      <c r="V8" s="75"/>
      <c r="W8" s="75"/>
      <c r="X8" s="75"/>
      <c r="Y8" s="75"/>
      <c r="Z8" s="75"/>
      <c r="AA8" s="75"/>
      <c r="AB8" s="75"/>
      <c r="AC8" s="75"/>
      <c r="AD8" s="75"/>
      <c r="AE8" s="75"/>
      <c r="AF8" s="75"/>
      <c r="AG8" s="75"/>
      <c r="AH8" s="75"/>
    </row>
    <row r="9" spans="2:63" ht="15" thickBot="1" x14ac:dyDescent="0.35"/>
    <row r="10" spans="2:63" ht="15" thickTop="1" x14ac:dyDescent="0.3">
      <c r="C10" s="7"/>
      <c r="D10" s="7"/>
      <c r="E10" s="7"/>
      <c r="F10" s="7"/>
      <c r="G10" s="7"/>
      <c r="H10" s="7"/>
      <c r="I10" s="7"/>
      <c r="J10" s="7"/>
      <c r="K10" s="7"/>
      <c r="L10" s="7"/>
      <c r="M10" s="7"/>
      <c r="N10" s="7"/>
      <c r="O10" s="7"/>
      <c r="P10" s="7"/>
      <c r="Q10" s="7"/>
      <c r="R10" s="7"/>
      <c r="S10" s="7"/>
      <c r="T10" s="7"/>
      <c r="U10" s="7"/>
      <c r="V10" s="7"/>
      <c r="X10" s="7"/>
      <c r="Y10" s="7"/>
      <c r="Z10" s="7"/>
      <c r="AA10" s="7"/>
      <c r="AB10" s="7"/>
      <c r="AC10" s="7"/>
      <c r="AD10" s="7"/>
      <c r="AE10" s="7"/>
      <c r="AF10" s="7"/>
      <c r="AG10" s="7"/>
      <c r="AH10" s="7"/>
      <c r="AI10" s="7"/>
      <c r="AJ10" s="7"/>
      <c r="AK10" s="7"/>
      <c r="AL10" s="7"/>
      <c r="AM10" s="7"/>
      <c r="AN10" s="7"/>
      <c r="AO10" s="7"/>
      <c r="AP10" s="7"/>
      <c r="AR10" s="7"/>
      <c r="AS10" s="7"/>
      <c r="AT10" s="7"/>
      <c r="AU10" s="7"/>
      <c r="AV10" s="7"/>
      <c r="AW10" s="7"/>
      <c r="AX10" s="7"/>
      <c r="AY10" s="7"/>
      <c r="AZ10" s="7"/>
      <c r="BA10" s="7"/>
      <c r="BB10" s="7"/>
      <c r="BC10" s="7"/>
      <c r="BD10" s="7"/>
      <c r="BE10" s="7"/>
      <c r="BF10" s="7"/>
      <c r="BG10" s="7"/>
      <c r="BH10" s="7"/>
      <c r="BI10" s="7"/>
      <c r="BJ10" s="7"/>
      <c r="BK10" s="7"/>
    </row>
    <row r="11" spans="2:63" x14ac:dyDescent="0.3">
      <c r="C11" s="4"/>
      <c r="D11" s="76" t="s">
        <v>2</v>
      </c>
      <c r="E11" s="76"/>
      <c r="F11" s="76"/>
      <c r="G11" s="76"/>
      <c r="H11" s="76"/>
      <c r="I11" s="76"/>
      <c r="J11" s="76"/>
      <c r="K11" s="76"/>
      <c r="L11" s="76"/>
      <c r="M11" s="76"/>
      <c r="N11" s="76"/>
      <c r="O11" s="76"/>
      <c r="P11" s="76"/>
      <c r="Q11" s="76"/>
      <c r="R11" s="76"/>
      <c r="S11" s="76"/>
      <c r="T11" s="76"/>
      <c r="U11" s="76"/>
      <c r="V11" s="4"/>
      <c r="X11" s="4"/>
      <c r="Y11" s="76" t="s">
        <v>4</v>
      </c>
      <c r="Z11" s="76"/>
      <c r="AA11" s="76"/>
      <c r="AB11" s="76"/>
      <c r="AC11" s="76"/>
      <c r="AD11" s="76"/>
      <c r="AE11" s="76"/>
      <c r="AF11" s="76"/>
      <c r="AG11" s="76"/>
      <c r="AH11" s="76"/>
      <c r="AI11" s="76"/>
      <c r="AJ11" s="76"/>
      <c r="AK11" s="76"/>
      <c r="AL11" s="76"/>
      <c r="AM11" s="76"/>
      <c r="AN11" s="76"/>
      <c r="AO11" s="76"/>
      <c r="AP11" s="4"/>
      <c r="AR11" s="4"/>
      <c r="AS11" s="76" t="s">
        <v>6</v>
      </c>
      <c r="AT11" s="76"/>
      <c r="AU11" s="76"/>
      <c r="AV11" s="76"/>
      <c r="AW11" s="76"/>
      <c r="AX11" s="76"/>
      <c r="AY11" s="76"/>
      <c r="AZ11" s="76"/>
      <c r="BA11" s="76"/>
      <c r="BB11" s="76"/>
      <c r="BC11" s="76"/>
      <c r="BD11" s="76"/>
      <c r="BE11" s="76"/>
      <c r="BF11" s="76"/>
      <c r="BG11" s="76"/>
      <c r="BH11" s="76"/>
      <c r="BI11" s="8"/>
      <c r="BJ11" s="8"/>
      <c r="BK11" s="4"/>
    </row>
    <row r="12" spans="2:63" ht="14.4" customHeight="1" x14ac:dyDescent="0.3">
      <c r="C12" s="4"/>
      <c r="D12" s="77">
        <v>2378</v>
      </c>
      <c r="E12" s="79"/>
      <c r="F12" s="79"/>
      <c r="G12" s="79"/>
      <c r="H12" s="79"/>
      <c r="I12" s="79"/>
      <c r="J12" s="79"/>
      <c r="K12" s="79"/>
      <c r="L12" s="79"/>
      <c r="M12" s="79"/>
      <c r="N12" s="79"/>
      <c r="O12" s="79"/>
      <c r="P12" s="79"/>
      <c r="Q12" s="79"/>
      <c r="R12" s="79"/>
      <c r="S12" s="79"/>
      <c r="T12" s="79"/>
      <c r="U12" s="79"/>
      <c r="V12" s="4"/>
      <c r="X12" s="4"/>
      <c r="Y12" s="77">
        <v>128</v>
      </c>
      <c r="Z12" s="79"/>
      <c r="AA12" s="79"/>
      <c r="AB12" s="79"/>
      <c r="AC12" s="79"/>
      <c r="AD12" s="79"/>
      <c r="AE12" s="79"/>
      <c r="AF12" s="79"/>
      <c r="AG12" s="79"/>
      <c r="AH12" s="79"/>
      <c r="AI12" s="79"/>
      <c r="AJ12" s="79"/>
      <c r="AK12" s="79"/>
      <c r="AL12" s="79"/>
      <c r="AM12" s="79"/>
      <c r="AN12" s="79"/>
      <c r="AO12" s="79"/>
      <c r="AP12" s="4"/>
      <c r="AR12" s="4"/>
      <c r="AS12" s="77">
        <v>97</v>
      </c>
      <c r="AT12" s="77"/>
      <c r="AU12" s="77"/>
      <c r="AV12" s="77"/>
      <c r="AW12" s="77"/>
      <c r="AX12" s="77"/>
      <c r="AY12" s="77"/>
      <c r="AZ12" s="77"/>
      <c r="BA12" s="77"/>
      <c r="BB12" s="77"/>
      <c r="BC12" s="77"/>
      <c r="BD12" s="77"/>
      <c r="BE12" s="77"/>
      <c r="BF12" s="77"/>
      <c r="BG12" s="77"/>
      <c r="BH12" s="77"/>
      <c r="BI12" s="9"/>
      <c r="BJ12" s="9"/>
      <c r="BK12" s="4"/>
    </row>
    <row r="13" spans="2:63" ht="8.4" customHeight="1" x14ac:dyDescent="0.3">
      <c r="C13" s="4"/>
      <c r="D13" s="79"/>
      <c r="E13" s="79"/>
      <c r="F13" s="79"/>
      <c r="G13" s="79"/>
      <c r="H13" s="79"/>
      <c r="I13" s="79"/>
      <c r="J13" s="79"/>
      <c r="K13" s="79"/>
      <c r="L13" s="79"/>
      <c r="M13" s="79"/>
      <c r="N13" s="79"/>
      <c r="O13" s="79"/>
      <c r="P13" s="79"/>
      <c r="Q13" s="79"/>
      <c r="R13" s="79"/>
      <c r="S13" s="79"/>
      <c r="T13" s="79"/>
      <c r="U13" s="79"/>
      <c r="V13" s="4"/>
      <c r="X13" s="4"/>
      <c r="Y13" s="79"/>
      <c r="Z13" s="79"/>
      <c r="AA13" s="79"/>
      <c r="AB13" s="79"/>
      <c r="AC13" s="79"/>
      <c r="AD13" s="79"/>
      <c r="AE13" s="79"/>
      <c r="AF13" s="79"/>
      <c r="AG13" s="79"/>
      <c r="AH13" s="79"/>
      <c r="AI13" s="79"/>
      <c r="AJ13" s="79"/>
      <c r="AK13" s="79"/>
      <c r="AL13" s="79"/>
      <c r="AM13" s="79"/>
      <c r="AN13" s="79"/>
      <c r="AO13" s="79"/>
      <c r="AP13" s="4"/>
      <c r="AR13" s="4"/>
      <c r="AS13" s="77"/>
      <c r="AT13" s="77"/>
      <c r="AU13" s="77"/>
      <c r="AV13" s="77"/>
      <c r="AW13" s="77"/>
      <c r="AX13" s="77"/>
      <c r="AY13" s="77"/>
      <c r="AZ13" s="77"/>
      <c r="BA13" s="77"/>
      <c r="BB13" s="77"/>
      <c r="BC13" s="77"/>
      <c r="BD13" s="77"/>
      <c r="BE13" s="77"/>
      <c r="BF13" s="77"/>
      <c r="BG13" s="77"/>
      <c r="BH13" s="77"/>
      <c r="BI13" s="9"/>
      <c r="BJ13" s="9"/>
      <c r="BK13" s="4"/>
    </row>
    <row r="14" spans="2:63" x14ac:dyDescent="0.3">
      <c r="C14" s="4"/>
      <c r="D14" s="78" t="s">
        <v>3</v>
      </c>
      <c r="E14" s="80"/>
      <c r="F14" s="80"/>
      <c r="G14" s="80"/>
      <c r="H14" s="80"/>
      <c r="I14" s="80"/>
      <c r="J14" s="80"/>
      <c r="K14" s="80"/>
      <c r="L14" s="80"/>
      <c r="M14" s="80"/>
      <c r="N14" s="80"/>
      <c r="O14" s="80"/>
      <c r="P14" s="80"/>
      <c r="Q14" s="80"/>
      <c r="R14" s="80"/>
      <c r="S14" s="80"/>
      <c r="T14" s="80"/>
      <c r="U14" s="80"/>
      <c r="V14" s="4"/>
      <c r="X14" s="4"/>
      <c r="Y14" s="78" t="s">
        <v>5</v>
      </c>
      <c r="Z14" s="80"/>
      <c r="AA14" s="80"/>
      <c r="AB14" s="80"/>
      <c r="AC14" s="80"/>
      <c r="AD14" s="80"/>
      <c r="AE14" s="80"/>
      <c r="AF14" s="80"/>
      <c r="AG14" s="80"/>
      <c r="AH14" s="80"/>
      <c r="AI14" s="80"/>
      <c r="AJ14" s="80"/>
      <c r="AK14" s="80"/>
      <c r="AL14" s="80"/>
      <c r="AM14" s="80"/>
      <c r="AN14" s="80"/>
      <c r="AO14" s="80"/>
      <c r="AP14" s="4"/>
      <c r="AR14" s="4"/>
      <c r="AS14" s="78" t="s">
        <v>7</v>
      </c>
      <c r="AT14" s="78"/>
      <c r="AU14" s="78"/>
      <c r="AV14" s="78"/>
      <c r="AW14" s="78"/>
      <c r="AX14" s="78"/>
      <c r="AY14" s="78"/>
      <c r="AZ14" s="78"/>
      <c r="BA14" s="78"/>
      <c r="BB14" s="78"/>
      <c r="BC14" s="78"/>
      <c r="BD14" s="78"/>
      <c r="BE14" s="78"/>
      <c r="BF14" s="78"/>
      <c r="BG14" s="78"/>
      <c r="BH14" s="78"/>
      <c r="BI14" s="10"/>
      <c r="BJ14" s="10"/>
      <c r="BK14" s="4"/>
    </row>
    <row r="15" spans="2:63" x14ac:dyDescent="0.3">
      <c r="C15" s="4"/>
      <c r="D15" s="4"/>
      <c r="E15" s="4"/>
      <c r="F15" s="4"/>
      <c r="G15" s="4"/>
      <c r="H15" s="4"/>
      <c r="I15" s="4"/>
      <c r="J15" s="4"/>
      <c r="K15" s="4"/>
      <c r="L15" s="4"/>
      <c r="M15" s="4"/>
      <c r="N15" s="4"/>
      <c r="O15" s="4"/>
      <c r="P15" s="4"/>
      <c r="Q15" s="4"/>
      <c r="R15" s="4"/>
      <c r="S15" s="4"/>
      <c r="T15" s="4"/>
      <c r="U15" s="4"/>
      <c r="V15" s="4"/>
      <c r="X15" s="4"/>
      <c r="Y15" s="4"/>
      <c r="Z15" s="4"/>
      <c r="AA15" s="4"/>
      <c r="AB15" s="4"/>
      <c r="AC15" s="4"/>
      <c r="AD15" s="4"/>
      <c r="AE15" s="4"/>
      <c r="AF15" s="4"/>
      <c r="AG15" s="4"/>
      <c r="AH15" s="4"/>
      <c r="AI15" s="4"/>
      <c r="AJ15" s="4"/>
      <c r="AK15" s="4"/>
      <c r="AL15" s="4"/>
      <c r="AM15" s="4"/>
      <c r="AN15" s="4"/>
      <c r="AO15" s="4"/>
      <c r="AP15" s="4"/>
      <c r="AR15" s="4"/>
      <c r="AS15" s="4"/>
      <c r="AT15" s="4"/>
      <c r="AU15" s="4"/>
      <c r="AV15" s="4"/>
      <c r="AW15" s="4"/>
      <c r="AX15" s="4"/>
      <c r="AY15" s="4"/>
      <c r="AZ15" s="4"/>
      <c r="BA15" s="4"/>
      <c r="BB15" s="4"/>
      <c r="BC15" s="4"/>
      <c r="BD15" s="4"/>
      <c r="BE15" s="4"/>
      <c r="BF15" s="4"/>
      <c r="BG15" s="4"/>
      <c r="BH15" s="4"/>
      <c r="BI15" s="4"/>
      <c r="BJ15" s="4"/>
      <c r="BK15" s="4"/>
    </row>
    <row r="17" spans="3:63" ht="14.4" customHeight="1" x14ac:dyDescent="0.3">
      <c r="C17" s="4"/>
      <c r="D17" s="68" t="s">
        <v>9</v>
      </c>
      <c r="E17" s="68"/>
      <c r="F17" s="68"/>
      <c r="G17" s="68"/>
      <c r="H17" s="68"/>
      <c r="I17" s="68"/>
      <c r="J17" s="68"/>
      <c r="K17" s="68"/>
      <c r="L17" s="68"/>
      <c r="M17" s="68"/>
      <c r="N17" s="68"/>
      <c r="O17" s="68"/>
      <c r="P17" s="68"/>
      <c r="Q17" s="68"/>
      <c r="R17" s="68"/>
      <c r="S17" s="68"/>
      <c r="T17" s="68"/>
      <c r="U17" s="68"/>
      <c r="V17" s="68"/>
      <c r="W17" s="68"/>
      <c r="X17" s="68"/>
      <c r="Y17" s="68"/>
      <c r="Z17" s="68"/>
      <c r="AA17" s="68"/>
      <c r="AB17" s="68"/>
      <c r="AC17" s="68"/>
      <c r="AD17" s="68"/>
      <c r="AE17" s="68"/>
      <c r="AF17" s="68"/>
      <c r="AH17" s="12"/>
      <c r="AI17" s="68" t="s">
        <v>8</v>
      </c>
      <c r="AJ17" s="68"/>
      <c r="AK17" s="68"/>
      <c r="AL17" s="68"/>
      <c r="AM17" s="68"/>
      <c r="AN17" s="68"/>
      <c r="AO17" s="68"/>
      <c r="AP17" s="68"/>
      <c r="AQ17" s="68"/>
      <c r="AR17" s="68"/>
      <c r="AS17" s="68"/>
      <c r="AT17" s="68"/>
      <c r="AU17" s="68"/>
      <c r="AV17" s="68"/>
      <c r="AW17" s="68"/>
      <c r="AX17" s="68"/>
      <c r="AY17" s="68"/>
      <c r="AZ17" s="68"/>
      <c r="BA17" s="68"/>
      <c r="BB17" s="68"/>
      <c r="BC17" s="68"/>
      <c r="BD17" s="68"/>
      <c r="BE17" s="68"/>
      <c r="BF17" s="68"/>
      <c r="BG17" s="68"/>
      <c r="BH17" s="68"/>
      <c r="BI17" s="4"/>
      <c r="BJ17" s="4"/>
      <c r="BK17" s="4"/>
    </row>
    <row r="18" spans="3:63" ht="14.4" customHeight="1" x14ac:dyDescent="0.3">
      <c r="C18" s="15"/>
      <c r="D18" s="68"/>
      <c r="E18" s="68"/>
      <c r="F18" s="68"/>
      <c r="G18" s="68"/>
      <c r="H18" s="68"/>
      <c r="I18" s="68"/>
      <c r="J18" s="68"/>
      <c r="K18" s="68"/>
      <c r="L18" s="68"/>
      <c r="M18" s="68"/>
      <c r="N18" s="68"/>
      <c r="O18" s="68"/>
      <c r="P18" s="68"/>
      <c r="Q18" s="68"/>
      <c r="R18" s="68"/>
      <c r="S18" s="68"/>
      <c r="T18" s="68"/>
      <c r="U18" s="68"/>
      <c r="V18" s="68"/>
      <c r="W18" s="68"/>
      <c r="X18" s="68"/>
      <c r="Y18" s="68"/>
      <c r="Z18" s="68"/>
      <c r="AA18" s="68"/>
      <c r="AB18" s="68"/>
      <c r="AC18" s="68"/>
      <c r="AD18" s="68"/>
      <c r="AE18" s="68"/>
      <c r="AF18" s="68"/>
      <c r="AH18" s="4"/>
      <c r="AI18" s="68"/>
      <c r="AJ18" s="68"/>
      <c r="AK18" s="68"/>
      <c r="AL18" s="68"/>
      <c r="AM18" s="68"/>
      <c r="AN18" s="68"/>
      <c r="AO18" s="68"/>
      <c r="AP18" s="68"/>
      <c r="AQ18" s="68"/>
      <c r="AR18" s="68"/>
      <c r="AS18" s="68"/>
      <c r="AT18" s="68"/>
      <c r="AU18" s="68"/>
      <c r="AV18" s="68"/>
      <c r="AW18" s="68"/>
      <c r="AX18" s="68"/>
      <c r="AY18" s="68"/>
      <c r="AZ18" s="68"/>
      <c r="BA18" s="68"/>
      <c r="BB18" s="68"/>
      <c r="BC18" s="68"/>
      <c r="BD18" s="68"/>
      <c r="BE18" s="68"/>
      <c r="BF18" s="68"/>
      <c r="BG18" s="68"/>
      <c r="BH18" s="68"/>
      <c r="BI18" s="4"/>
      <c r="BJ18" s="4"/>
      <c r="BK18" s="4"/>
    </row>
    <row r="19" spans="3:63" ht="3.6" customHeight="1" x14ac:dyDescent="0.3">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11"/>
      <c r="AF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row>
    <row r="20" spans="3:63" ht="0.6" customHeight="1" x14ac:dyDescent="0.3">
      <c r="C20" s="11"/>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11"/>
      <c r="AH20" s="4"/>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5"/>
      <c r="BJ20" s="35"/>
      <c r="BK20" s="4"/>
    </row>
    <row r="21" spans="3:63" x14ac:dyDescent="0.3">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row>
    <row r="22" spans="3:63" x14ac:dyDescent="0.3">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row>
    <row r="23" spans="3:63" x14ac:dyDescent="0.3">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row>
    <row r="24" spans="3:63" x14ac:dyDescent="0.3">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row>
    <row r="25" spans="3:63" x14ac:dyDescent="0.3">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row>
    <row r="26" spans="3:63" x14ac:dyDescent="0.3">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row>
    <row r="27" spans="3:63" x14ac:dyDescent="0.3">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row>
    <row r="28" spans="3:63" x14ac:dyDescent="0.3">
      <c r="BJ28" s="4"/>
      <c r="BK28" s="4"/>
    </row>
    <row r="29" spans="3:63" ht="14.4" customHeight="1" x14ac:dyDescent="0.3">
      <c r="C29" s="13"/>
      <c r="D29" s="13"/>
      <c r="E29" s="13"/>
      <c r="F29" s="13"/>
      <c r="G29" s="13"/>
      <c r="H29" s="13"/>
      <c r="I29" s="13"/>
      <c r="J29" s="13"/>
      <c r="K29" s="13"/>
      <c r="L29" s="13"/>
      <c r="M29" s="13"/>
      <c r="BJ29" s="4"/>
      <c r="BK29" s="4"/>
    </row>
    <row r="30" spans="3:63" ht="14.4" customHeight="1" x14ac:dyDescent="0.3">
      <c r="C30" s="13"/>
      <c r="D30" s="13"/>
      <c r="E30" s="13"/>
      <c r="F30" s="13"/>
      <c r="G30" s="13"/>
      <c r="H30" s="13"/>
      <c r="I30" s="13"/>
      <c r="J30" s="13"/>
      <c r="K30" s="13"/>
      <c r="L30" s="13"/>
      <c r="M30" s="13"/>
      <c r="BJ30" s="4"/>
      <c r="BK30" s="4"/>
    </row>
    <row r="31" spans="3:63" x14ac:dyDescent="0.3">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4"/>
      <c r="BK31" s="4"/>
    </row>
    <row r="32" spans="3:63" x14ac:dyDescent="0.3">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4"/>
      <c r="BK32" s="4"/>
    </row>
    <row r="33" spans="3:63" x14ac:dyDescent="0.3">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4"/>
      <c r="BK33" s="4"/>
    </row>
    <row r="34" spans="3:63" x14ac:dyDescent="0.3">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4"/>
      <c r="BK34" s="4"/>
    </row>
    <row r="35" spans="3:63" x14ac:dyDescent="0.3">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4"/>
      <c r="BK35" s="4"/>
    </row>
    <row r="36" spans="3:63" x14ac:dyDescent="0.3">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row>
    <row r="37" spans="3:63" x14ac:dyDescent="0.3">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row>
    <row r="38" spans="3:63" x14ac:dyDescent="0.3">
      <c r="C38" s="4"/>
      <c r="D38" s="73" t="s">
        <v>168</v>
      </c>
      <c r="E38" s="73"/>
      <c r="F38" s="73"/>
      <c r="G38" s="73"/>
      <c r="H38" s="73"/>
      <c r="I38" s="73"/>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4"/>
    </row>
    <row r="39" spans="3:63" x14ac:dyDescent="0.3">
      <c r="C39" s="4"/>
      <c r="D39" s="73"/>
      <c r="E39" s="73"/>
      <c r="F39" s="73"/>
      <c r="G39" s="73"/>
      <c r="H39" s="73"/>
      <c r="I39" s="73"/>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4"/>
    </row>
    <row r="40" spans="3:63" x14ac:dyDescent="0.3">
      <c r="C40" s="4"/>
      <c r="D40" s="71" t="s">
        <v>169</v>
      </c>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4"/>
    </row>
    <row r="41" spans="3:63" x14ac:dyDescent="0.3">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row>
    <row r="42" spans="3:63" x14ac:dyDescent="0.3">
      <c r="C42" s="4"/>
      <c r="D42" s="67" t="s">
        <v>170</v>
      </c>
      <c r="E42" s="67"/>
      <c r="F42" s="67"/>
      <c r="G42" s="67"/>
      <c r="H42" s="67"/>
      <c r="I42" s="67"/>
      <c r="J42" s="67"/>
      <c r="K42" s="67"/>
      <c r="L42" s="67"/>
      <c r="M42" s="67"/>
      <c r="N42" s="67"/>
      <c r="O42" s="36"/>
      <c r="P42" s="67" t="s">
        <v>171</v>
      </c>
      <c r="Q42" s="67"/>
      <c r="R42" s="67"/>
      <c r="S42" s="67"/>
      <c r="T42" s="67"/>
      <c r="U42" s="67"/>
      <c r="V42" s="67"/>
      <c r="W42" s="67"/>
      <c r="X42" s="67"/>
      <c r="Y42" s="67"/>
      <c r="Z42" s="67"/>
      <c r="AA42" s="36"/>
      <c r="AB42" s="67" t="s">
        <v>174</v>
      </c>
      <c r="AC42" s="67"/>
      <c r="AD42" s="67"/>
      <c r="AE42" s="67"/>
      <c r="AF42" s="67"/>
      <c r="AG42" s="67"/>
      <c r="AH42" s="67"/>
      <c r="AI42" s="67"/>
      <c r="AJ42" s="67"/>
      <c r="AK42" s="67"/>
      <c r="AL42" s="67"/>
      <c r="AM42" s="36"/>
      <c r="AN42" s="67" t="s">
        <v>172</v>
      </c>
      <c r="AO42" s="67"/>
      <c r="AP42" s="67"/>
      <c r="AQ42" s="67"/>
      <c r="AR42" s="67"/>
      <c r="AS42" s="67"/>
      <c r="AT42" s="67"/>
      <c r="AU42" s="67"/>
      <c r="AV42" s="67"/>
      <c r="AW42" s="67"/>
      <c r="AX42" s="67"/>
      <c r="AY42" s="36"/>
      <c r="AZ42" s="67" t="s">
        <v>173</v>
      </c>
      <c r="BA42" s="67"/>
      <c r="BB42" s="67"/>
      <c r="BC42" s="67"/>
      <c r="BD42" s="67"/>
      <c r="BE42" s="67"/>
      <c r="BF42" s="67"/>
      <c r="BG42" s="67"/>
      <c r="BH42" s="67"/>
      <c r="BI42" s="67"/>
      <c r="BJ42" s="67"/>
      <c r="BK42" s="4"/>
    </row>
    <row r="43" spans="3:63" ht="17.399999999999999" customHeight="1" x14ac:dyDescent="0.3">
      <c r="C43" s="4"/>
      <c r="D43" s="67"/>
      <c r="E43" s="67"/>
      <c r="F43" s="67"/>
      <c r="G43" s="67"/>
      <c r="H43" s="67"/>
      <c r="I43" s="67"/>
      <c r="J43" s="67"/>
      <c r="K43" s="67"/>
      <c r="L43" s="67"/>
      <c r="M43" s="67"/>
      <c r="N43" s="67"/>
      <c r="O43" s="36"/>
      <c r="P43" s="67"/>
      <c r="Q43" s="67"/>
      <c r="R43" s="67"/>
      <c r="S43" s="67"/>
      <c r="T43" s="67"/>
      <c r="U43" s="67"/>
      <c r="V43" s="67"/>
      <c r="W43" s="67"/>
      <c r="X43" s="67"/>
      <c r="Y43" s="67"/>
      <c r="Z43" s="67"/>
      <c r="AA43" s="36"/>
      <c r="AB43" s="67"/>
      <c r="AC43" s="67"/>
      <c r="AD43" s="67"/>
      <c r="AE43" s="67"/>
      <c r="AF43" s="67"/>
      <c r="AG43" s="67"/>
      <c r="AH43" s="67"/>
      <c r="AI43" s="67"/>
      <c r="AJ43" s="67"/>
      <c r="AK43" s="67"/>
      <c r="AL43" s="67"/>
      <c r="AM43" s="36"/>
      <c r="AN43" s="67"/>
      <c r="AO43" s="67"/>
      <c r="AP43" s="67"/>
      <c r="AQ43" s="67"/>
      <c r="AR43" s="67"/>
      <c r="AS43" s="67"/>
      <c r="AT43" s="67"/>
      <c r="AU43" s="67"/>
      <c r="AV43" s="67"/>
      <c r="AW43" s="67"/>
      <c r="AX43" s="67"/>
      <c r="AY43" s="36"/>
      <c r="AZ43" s="67"/>
      <c r="BA43" s="67"/>
      <c r="BB43" s="67"/>
      <c r="BC43" s="67"/>
      <c r="BD43" s="67"/>
      <c r="BE43" s="67"/>
      <c r="BF43" s="67"/>
      <c r="BG43" s="67"/>
      <c r="BH43" s="67"/>
      <c r="BI43" s="67"/>
      <c r="BJ43" s="67"/>
      <c r="BK43" s="4"/>
    </row>
    <row r="44" spans="3:63" ht="16.95" customHeight="1" x14ac:dyDescent="0.3">
      <c r="C44" s="4"/>
      <c r="D44" s="39"/>
      <c r="E44" s="41" t="str" cm="1">
        <f t="array" ref="E44:E49">_xlfn.SORTBY(_xlfn._xlws.FILTER(hero_lane_summary!A2:A541,(hero_lane_summary!B2:B541="Carry")*(hero_lane_summary!F2:F541="Yes")*(hero_lane_summary!E2:E541&gt;=LARGE(IF((hero_lane_summary!B2:B541="Carry")*(hero_lane_summary!F2:F541="Yes"),hero_lane_summary!E2:E541),6))),_xlfn._xlws.FILTER(hero_lane_summary!E2:E541,(hero_lane_summary!B2:B541="Carry")*(hero_lane_summary!F2:F541="Yes")*(hero_lane_summary!E2:E541&gt;=LARGE(IF((hero_lane_summary!B2:B541="Carry")*(hero_lane_summary!F2:F541="Yes"),hero_lane_summary!E2:E541),6))),-1)</f>
        <v>Pudge</v>
      </c>
      <c r="F44" s="41"/>
      <c r="G44" s="41"/>
      <c r="H44" s="41"/>
      <c r="I44" s="41"/>
      <c r="J44" s="70" cm="1">
        <f t="array" ref="J44">_xlfn.XLOOKUP(E44&amp;"Carry",hero_lane_summary!A:A&amp;hero_lane_summary!B:B,hero_lane_summary!E:E)</f>
        <v>0.81818181818181801</v>
      </c>
      <c r="K44" s="70"/>
      <c r="L44" s="69" t="str" cm="1">
        <f t="array" ref="L44">_xlfn.XLOOKUP(E44&amp;"Carry",hero_lane_summary!A:A&amp;hero_lane_summary!B:B, hero_lane_summary!H:H)</f>
        <v>S</v>
      </c>
      <c r="M44" s="69"/>
      <c r="N44" s="41"/>
      <c r="O44" s="42"/>
      <c r="P44" s="41"/>
      <c r="Q44" s="41" t="str" cm="1">
        <f t="array" ref="Q44:Q49">_xlfn.SORTBY(_xlfn._xlws.FILTER(hero_lane_summary!A2:A541,(hero_lane_summary!B2:B541="Mid")*(hero_lane_summary!F2:F541="Yes")*(hero_lane_summary!E2:E541&gt;=LARGE(IF((hero_lane_summary!B2:B541="Mid")*(hero_lane_summary!F2:F541="Yes"),hero_lane_summary!E2:E541),6))),_xlfn._xlws.FILTER(hero_lane_summary!E2:E541,(hero_lane_summary!B2:B541="Mid")*(hero_lane_summary!F2:F541="Yes")*(hero_lane_summary!E2:E541&gt;=LARGE(IF((hero_lane_summary!B2:B541="Mid")*(hero_lane_summary!F2:F541="Yes"),hero_lane_summary!E2:E541),6))),-1)</f>
        <v>Spirit Breaker</v>
      </c>
      <c r="R44" s="41"/>
      <c r="S44" s="41"/>
      <c r="T44" s="41"/>
      <c r="U44" s="41"/>
      <c r="V44" s="70" cm="1">
        <f t="array" ref="V44">_xlfn.XLOOKUP(Q44&amp;"Mid",hero_lane_summary!A:A&amp;hero_lane_summary!B:B,hero_lane_summary!E:E)</f>
        <v>0.8</v>
      </c>
      <c r="W44" s="70"/>
      <c r="X44" s="69" t="str" cm="1">
        <f t="array" ref="X44">_xlfn.XLOOKUP(Q44&amp;"Mid",hero_lane_summary!A:A&amp;hero_lane_summary!B:B, hero_lane_summary!H:H)</f>
        <v>S</v>
      </c>
      <c r="Y44" s="69"/>
      <c r="Z44" s="41"/>
      <c r="AA44" s="42"/>
      <c r="AB44" s="41"/>
      <c r="AC44" s="41" t="str" cm="1">
        <f t="array" ref="AC44:AC49">_xlfn.SORTBY(
_xlfn._xlws.FILTER(
hero_lane_summary!A2:A541,
(hero_lane_summary!B2:B541="Off Lane")*(hero_lane_summary!F2:F541="Yes")*
(hero_lane_summary!E2:E541&gt;=LARGE(IF((hero_lane_summary!B2:B541="Off Lane")*(hero_lane_summary!F2:F541="Yes"),hero_lane_summary!E2:E541),6))
),
_xlfn._xlws.FILTER(
hero_lane_summary!E2:E541,
(hero_lane_summary!B2:B541="Off Lane")*(hero_lane_summary!F2:F541="Yes")*
(hero_lane_summary!E2:E541&gt;=LARGE(IF((hero_lane_summary!B2:B541="Off Lane")*(hero_lane_summary!F2:F541="Yes"),hero_lane_summary!E2:E541),6))
),-1)</f>
        <v>Zeus</v>
      </c>
      <c r="AD44" s="41"/>
      <c r="AE44" s="41"/>
      <c r="AF44" s="41"/>
      <c r="AG44" s="41"/>
      <c r="AH44" s="70" cm="1">
        <f t="array" ref="AH44">_xlfn.XLOOKUP(AC44&amp;"Off Lane",hero_lane_summary!A:A&amp;hero_lane_summary!B:B,hero_lane_summary!E:E)</f>
        <v>0.73333333333333328</v>
      </c>
      <c r="AI44" s="70"/>
      <c r="AJ44" s="69" t="str" cm="1">
        <f t="array" ref="AJ44">_xlfn.XLOOKUP(AC44&amp;"Off Lane",hero_lane_summary!A:A&amp;hero_lane_summary!B:B, hero_lane_summary!H:H)</f>
        <v>S</v>
      </c>
      <c r="AK44" s="69"/>
      <c r="AL44" s="41"/>
      <c r="AM44" s="42"/>
      <c r="AN44" s="41"/>
      <c r="AO44" s="41" t="str" cm="1">
        <f t="array" ref="AO44:AO49">_xlfn.SORTBY(_xlfn._xlws.FILTER(hero_lane_summary!A2:A541,(hero_lane_summary!B2:B541="Soft Support")*(hero_lane_summary!F2:F541="Yes")*(hero_lane_summary!E2:E541&gt;=LARGE(IF((hero_lane_summary!B2:B541="Soft Support")*(hero_lane_summary!F2:F541="Yes"),hero_lane_summary!E2:E541),6))),_xlfn._xlws.FILTER(hero_lane_summary!E2:E541,(hero_lane_summary!B2:B541="Soft Support")*(hero_lane_summary!F2:F541="Yes")*(hero_lane_summary!E2:E541&gt;=LARGE(IF((hero_lane_summary!B2:B541="Soft Support")*(hero_lane_summary!F2:F541="Yes"),hero_lane_summary!E2:E541),6))),-1)</f>
        <v>Bounty Hunter</v>
      </c>
      <c r="AP44" s="41"/>
      <c r="AQ44" s="41"/>
      <c r="AR44" s="41"/>
      <c r="AS44" s="41"/>
      <c r="AT44" s="70" cm="1">
        <f t="array" ref="AT44">_xlfn.XLOOKUP(AO44&amp;"Soft Support",hero_lane_summary!A:A&amp;hero_lane_summary!B:B,hero_lane_summary!E:E)</f>
        <v>0.75</v>
      </c>
      <c r="AU44" s="70"/>
      <c r="AV44" s="69" t="str" cm="1">
        <f t="array" ref="AV44">_xlfn.XLOOKUP(AO44&amp;"Soft Support",hero_lane_summary!A:A&amp;hero_lane_summary!B:B, hero_lane_summary!H:H)</f>
        <v>S</v>
      </c>
      <c r="AW44" s="69"/>
      <c r="AX44" s="41"/>
      <c r="AY44" s="42"/>
      <c r="AZ44" s="41"/>
      <c r="BA44" s="41" t="str" cm="1">
        <f t="array" ref="BA44:BA49">_xlfn.SORTBY(_xlfn._xlws.FILTER(hero_lane_summary!A2:A541,(hero_lane_summary!B2:B541="Hard Support")*(hero_lane_summary!F2:F541="Yes")*(hero_lane_summary!E2:E541&gt;=LARGE(IF((hero_lane_summary!B2:B541="Hard Support")*(hero_lane_summary!F2:F541="Yes"),hero_lane_summary!E2:E541),6))),_xlfn._xlws.FILTER(hero_lane_summary!E2:E541,(hero_lane_summary!B2:B541="Hard Support")*(hero_lane_summary!F2:F541="Yes")*(hero_lane_summary!E2:E541&gt;=LARGE(IF((hero_lane_summary!B2:B541="Hard Support")*(hero_lane_summary!F2:F541="Yes"),hero_lane_summary!E2:E541),6))),-1)</f>
        <v>Pugna</v>
      </c>
      <c r="BB44" s="41"/>
      <c r="BC44" s="41"/>
      <c r="BD44" s="41"/>
      <c r="BE44" s="41"/>
      <c r="BF44" s="70" cm="1">
        <f t="array" ref="BF44">_xlfn.XLOOKUP(BA44&amp;"Hard Support",hero_lane_summary!A:A&amp;hero_lane_summary!B:B,hero_lane_summary!E:E)</f>
        <v>0.7857142857142857</v>
      </c>
      <c r="BG44" s="70"/>
      <c r="BH44" s="69" t="str" cm="1">
        <f t="array" ref="BH44">_xlfn.XLOOKUP(BA44&amp;"Hard Support",hero_lane_summary!A:A&amp;hero_lane_summary!B:B, hero_lane_summary!H:H)</f>
        <v>S</v>
      </c>
      <c r="BI44" s="69"/>
      <c r="BJ44" s="39"/>
      <c r="BK44" s="4"/>
    </row>
    <row r="45" spans="3:63" ht="16.95" customHeight="1" x14ac:dyDescent="0.3">
      <c r="C45" s="4"/>
      <c r="D45" s="39"/>
      <c r="E45" s="41" t="str">
        <v>Phoenix</v>
      </c>
      <c r="F45" s="41"/>
      <c r="G45" s="41"/>
      <c r="H45" s="41"/>
      <c r="I45" s="41"/>
      <c r="J45" s="70" cm="1">
        <f t="array" ref="J45">_xlfn.XLOOKUP(E45&amp;"Carry",hero_lane_summary!A:A&amp;hero_lane_summary!B:B,hero_lane_summary!E:E)</f>
        <v>0.7</v>
      </c>
      <c r="K45" s="70"/>
      <c r="L45" s="69" t="str" cm="1">
        <f t="array" ref="L45">_xlfn.XLOOKUP(E45&amp;"Carry",hero_lane_summary!A:A&amp;hero_lane_summary!B:B, hero_lane_summary!H:H)</f>
        <v>S</v>
      </c>
      <c r="M45" s="69"/>
      <c r="N45" s="41"/>
      <c r="O45" s="42"/>
      <c r="P45" s="41"/>
      <c r="Q45" s="41" t="str">
        <v>Bristleback</v>
      </c>
      <c r="R45" s="41"/>
      <c r="S45" s="41"/>
      <c r="T45" s="41"/>
      <c r="U45" s="41"/>
      <c r="V45" s="70" cm="1">
        <f t="array" ref="V45">_xlfn.XLOOKUP(Q45&amp;"Mid",hero_lane_summary!A:A&amp;hero_lane_summary!B:B,hero_lane_summary!E:E)</f>
        <v>0.72727272727272729</v>
      </c>
      <c r="W45" s="70"/>
      <c r="X45" s="69" t="str" cm="1">
        <f t="array" ref="X45">_xlfn.XLOOKUP(Q45&amp;"Mid",hero_lane_summary!A:A&amp;hero_lane_summary!B:B, hero_lane_summary!H:H)</f>
        <v>S</v>
      </c>
      <c r="Y45" s="69"/>
      <c r="Z45" s="41"/>
      <c r="AA45" s="42"/>
      <c r="AB45" s="41"/>
      <c r="AC45" s="41" t="str">
        <v>Phoenix</v>
      </c>
      <c r="AD45" s="41"/>
      <c r="AE45" s="41"/>
      <c r="AF45" s="41"/>
      <c r="AG45" s="41"/>
      <c r="AH45" s="70" cm="1">
        <f t="array" ref="AH45">_xlfn.XLOOKUP(AC45&amp;"Off Lane",hero_lane_summary!A:A&amp;hero_lane_summary!B:B,hero_lane_summary!E:E)</f>
        <v>0.73195876288659789</v>
      </c>
      <c r="AI45" s="70"/>
      <c r="AJ45" s="69" t="str" cm="1">
        <f t="array" ref="AJ45">_xlfn.XLOOKUP(AC45&amp;"Off Lane",hero_lane_summary!A:A&amp;hero_lane_summary!B:B, hero_lane_summary!H:H)</f>
        <v>S</v>
      </c>
      <c r="AK45" s="69"/>
      <c r="AL45" s="41"/>
      <c r="AM45" s="42"/>
      <c r="AN45" s="41"/>
      <c r="AO45" s="41" t="str">
        <v>Earth Spirit</v>
      </c>
      <c r="AP45" s="41"/>
      <c r="AQ45" s="41"/>
      <c r="AR45" s="41"/>
      <c r="AS45" s="41"/>
      <c r="AT45" s="70" cm="1">
        <f t="array" ref="AT45">_xlfn.XLOOKUP(AO45&amp;"Soft Support",hero_lane_summary!A:A&amp;hero_lane_summary!B:B,hero_lane_summary!E:E)</f>
        <v>0.73076923076923073</v>
      </c>
      <c r="AU45" s="70"/>
      <c r="AV45" s="69" t="str" cm="1">
        <f t="array" ref="AV45">_xlfn.XLOOKUP(AO45&amp;"Soft Support",hero_lane_summary!A:A&amp;hero_lane_summary!B:B, hero_lane_summary!H:H)</f>
        <v>S</v>
      </c>
      <c r="AW45" s="69"/>
      <c r="AX45" s="41"/>
      <c r="AY45" s="42"/>
      <c r="AZ45" s="41"/>
      <c r="BA45" s="41" t="str">
        <v>Keeper of the Light</v>
      </c>
      <c r="BB45" s="41"/>
      <c r="BC45" s="41"/>
      <c r="BD45" s="41"/>
      <c r="BE45" s="41"/>
      <c r="BF45" s="70" cm="1">
        <f t="array" ref="BF45">_xlfn.XLOOKUP(BA45&amp;"Hard Support",hero_lane_summary!A:A&amp;hero_lane_summary!B:B,hero_lane_summary!E:E)</f>
        <v>0.73333333333333328</v>
      </c>
      <c r="BG45" s="70"/>
      <c r="BH45" s="69" t="str" cm="1">
        <f t="array" ref="BH45">_xlfn.XLOOKUP(BA45&amp;"Hard Support",hero_lane_summary!A:A&amp;hero_lane_summary!B:B, hero_lane_summary!H:H)</f>
        <v>S</v>
      </c>
      <c r="BI45" s="69"/>
      <c r="BJ45" s="39"/>
      <c r="BK45" s="4"/>
    </row>
    <row r="46" spans="3:63" ht="16.95" customHeight="1" x14ac:dyDescent="0.3">
      <c r="C46" s="4"/>
      <c r="D46" s="39"/>
      <c r="E46" s="41" t="str">
        <v>Lone Druid</v>
      </c>
      <c r="F46" s="41"/>
      <c r="G46" s="41"/>
      <c r="H46" s="41"/>
      <c r="I46" s="41"/>
      <c r="J46" s="70" cm="1">
        <f t="array" ref="J46">_xlfn.XLOOKUP(E46&amp;"Carry",hero_lane_summary!A:A&amp;hero_lane_summary!B:B,hero_lane_summary!E:E)</f>
        <v>0.65094339622641506</v>
      </c>
      <c r="K46" s="70"/>
      <c r="L46" s="69" t="str" cm="1">
        <f t="array" ref="L46">_xlfn.XLOOKUP(E46&amp;"Carry",hero_lane_summary!A:A&amp;hero_lane_summary!B:B, hero_lane_summary!H:H)</f>
        <v>S</v>
      </c>
      <c r="M46" s="69"/>
      <c r="N46" s="41"/>
      <c r="O46" s="42"/>
      <c r="P46" s="41"/>
      <c r="Q46" s="41" t="str">
        <v>Snapfire</v>
      </c>
      <c r="R46" s="41"/>
      <c r="S46" s="41"/>
      <c r="T46" s="41"/>
      <c r="U46" s="41"/>
      <c r="V46" s="70" cm="1">
        <f t="array" ref="V46">_xlfn.XLOOKUP(Q46&amp;"Mid",hero_lane_summary!A:A&amp;hero_lane_summary!B:B,hero_lane_summary!E:E)</f>
        <v>0.65714285714285714</v>
      </c>
      <c r="W46" s="70"/>
      <c r="X46" s="69" t="str" cm="1">
        <f t="array" ref="X46">_xlfn.XLOOKUP(Q46&amp;"Mid",hero_lane_summary!A:A&amp;hero_lane_summary!B:B, hero_lane_summary!H:H)</f>
        <v>S</v>
      </c>
      <c r="Y46" s="69"/>
      <c r="Z46" s="41"/>
      <c r="AA46" s="42"/>
      <c r="AB46" s="41"/>
      <c r="AC46" s="41" t="str">
        <v>Ogre Magi</v>
      </c>
      <c r="AD46" s="41"/>
      <c r="AE46" s="41"/>
      <c r="AF46" s="41"/>
      <c r="AG46" s="41"/>
      <c r="AH46" s="70" cm="1">
        <f t="array" ref="AH46">_xlfn.XLOOKUP(AC46&amp;"Off Lane",hero_lane_summary!A:A&amp;hero_lane_summary!B:B,hero_lane_summary!E:E)</f>
        <v>0.68181818181818177</v>
      </c>
      <c r="AI46" s="70"/>
      <c r="AJ46" s="69" t="str" cm="1">
        <f t="array" ref="AJ46">_xlfn.XLOOKUP(AC46&amp;"Off Lane",hero_lane_summary!A:A&amp;hero_lane_summary!B:B, hero_lane_summary!H:H)</f>
        <v>S</v>
      </c>
      <c r="AK46" s="69"/>
      <c r="AL46" s="41"/>
      <c r="AM46" s="42"/>
      <c r="AN46" s="41"/>
      <c r="AO46" s="41" t="str">
        <v>Lina</v>
      </c>
      <c r="AP46" s="41"/>
      <c r="AQ46" s="41"/>
      <c r="AR46" s="41"/>
      <c r="AS46" s="41"/>
      <c r="AT46" s="70" cm="1">
        <f t="array" ref="AT46">_xlfn.XLOOKUP(AO46&amp;"Soft Support",hero_lane_summary!A:A&amp;hero_lane_summary!B:B,hero_lane_summary!E:E)</f>
        <v>0.7</v>
      </c>
      <c r="AU46" s="70"/>
      <c r="AV46" s="69" t="str" cm="1">
        <f t="array" ref="AV46">_xlfn.XLOOKUP(AO46&amp;"Soft Support",hero_lane_summary!A:A&amp;hero_lane_summary!B:B, hero_lane_summary!H:H)</f>
        <v>S</v>
      </c>
      <c r="AW46" s="69"/>
      <c r="AX46" s="41"/>
      <c r="AY46" s="42"/>
      <c r="AZ46" s="41"/>
      <c r="BA46" s="41" t="str">
        <v>Mirana</v>
      </c>
      <c r="BB46" s="41"/>
      <c r="BC46" s="41"/>
      <c r="BD46" s="41"/>
      <c r="BE46" s="41"/>
      <c r="BF46" s="70" cm="1">
        <f t="array" ref="BF46">_xlfn.XLOOKUP(BA46&amp;"Hard Support",hero_lane_summary!A:A&amp;hero_lane_summary!B:B,hero_lane_summary!E:E)</f>
        <v>0.69230769230769229</v>
      </c>
      <c r="BG46" s="70"/>
      <c r="BH46" s="69" t="str" cm="1">
        <f t="array" ref="BH46">_xlfn.XLOOKUP(BA46&amp;"Hard Support",hero_lane_summary!A:A&amp;hero_lane_summary!B:B, hero_lane_summary!H:H)</f>
        <v>S</v>
      </c>
      <c r="BI46" s="69"/>
      <c r="BJ46" s="39"/>
      <c r="BK46" s="4"/>
    </row>
    <row r="47" spans="3:63" ht="16.95" customHeight="1" x14ac:dyDescent="0.3">
      <c r="C47" s="4"/>
      <c r="D47" s="39"/>
      <c r="E47" s="41" t="str">
        <v>Naga Siren</v>
      </c>
      <c r="F47" s="41"/>
      <c r="G47" s="41"/>
      <c r="H47" s="41"/>
      <c r="I47" s="41"/>
      <c r="J47" s="70" cm="1">
        <f t="array" ref="J47">_xlfn.XLOOKUP(E47&amp;"Carry",hero_lane_summary!A:A&amp;hero_lane_summary!B:B,hero_lane_summary!E:E)</f>
        <v>0.6333333333333333</v>
      </c>
      <c r="K47" s="70"/>
      <c r="L47" s="69" t="str" cm="1">
        <f t="array" ref="L47">_xlfn.XLOOKUP(E47&amp;"Carry",hero_lane_summary!A:A&amp;hero_lane_summary!B:B, hero_lane_summary!H:H)</f>
        <v>A</v>
      </c>
      <c r="M47" s="69"/>
      <c r="N47" s="41"/>
      <c r="O47" s="42"/>
      <c r="P47" s="41"/>
      <c r="Q47" s="41" t="str">
        <v>Alchemist</v>
      </c>
      <c r="R47" s="41"/>
      <c r="S47" s="41"/>
      <c r="T47" s="41"/>
      <c r="U47" s="41"/>
      <c r="V47" s="70" cm="1">
        <f t="array" ref="V47">_xlfn.XLOOKUP(Q47&amp;"Mid",hero_lane_summary!A:A&amp;hero_lane_summary!B:B,hero_lane_summary!E:E)</f>
        <v>0.625</v>
      </c>
      <c r="W47" s="70"/>
      <c r="X47" s="69" t="str" cm="1">
        <f t="array" ref="X47">_xlfn.XLOOKUP(Q47&amp;"Mid",hero_lane_summary!A:A&amp;hero_lane_summary!B:B, hero_lane_summary!H:H)</f>
        <v>A</v>
      </c>
      <c r="Y47" s="69"/>
      <c r="Z47" s="41"/>
      <c r="AA47" s="42"/>
      <c r="AB47" s="41"/>
      <c r="AC47" s="41" t="str">
        <v>Batrider</v>
      </c>
      <c r="AD47" s="41"/>
      <c r="AE47" s="41"/>
      <c r="AF47" s="41"/>
      <c r="AG47" s="41"/>
      <c r="AH47" s="70" cm="1">
        <f t="array" ref="AH47">_xlfn.XLOOKUP(AC47&amp;"Off Lane",hero_lane_summary!A:A&amp;hero_lane_summary!B:B,hero_lane_summary!E:E)</f>
        <v>0.63694267515923564</v>
      </c>
      <c r="AI47" s="70"/>
      <c r="AJ47" s="69" t="str" cm="1">
        <f t="array" ref="AJ47">_xlfn.XLOOKUP(AC47&amp;"Off Lane",hero_lane_summary!A:A&amp;hero_lane_summary!B:B, hero_lane_summary!H:H)</f>
        <v>A</v>
      </c>
      <c r="AK47" s="69"/>
      <c r="AL47" s="41"/>
      <c r="AM47" s="42"/>
      <c r="AN47" s="41"/>
      <c r="AO47" s="41" t="str">
        <v>Largo</v>
      </c>
      <c r="AP47" s="41"/>
      <c r="AQ47" s="41"/>
      <c r="AR47" s="41"/>
      <c r="AS47" s="41"/>
      <c r="AT47" s="70" cm="1">
        <f t="array" ref="AT47">_xlfn.XLOOKUP(AO47&amp;"Soft Support",hero_lane_summary!A:A&amp;hero_lane_summary!B:B,hero_lane_summary!E:E)</f>
        <v>0.6875</v>
      </c>
      <c r="AU47" s="70"/>
      <c r="AV47" s="69" t="str" cm="1">
        <f t="array" ref="AV47">_xlfn.XLOOKUP(AO47&amp;"Soft Support",hero_lane_summary!A:A&amp;hero_lane_summary!B:B, hero_lane_summary!H:H)</f>
        <v>S</v>
      </c>
      <c r="AW47" s="69"/>
      <c r="AX47" s="41"/>
      <c r="AY47" s="42"/>
      <c r="AZ47" s="41"/>
      <c r="BA47" s="41" t="str">
        <v>Windranger</v>
      </c>
      <c r="BB47" s="41"/>
      <c r="BC47" s="41"/>
      <c r="BD47" s="41"/>
      <c r="BE47" s="41"/>
      <c r="BF47" s="70" cm="1">
        <f t="array" ref="BF47">_xlfn.XLOOKUP(BA47&amp;"Hard Support",hero_lane_summary!A:A&amp;hero_lane_summary!B:B,hero_lane_summary!E:E)</f>
        <v>0.66666666666666663</v>
      </c>
      <c r="BG47" s="70"/>
      <c r="BH47" s="69" t="str" cm="1">
        <f t="array" ref="BH47">_xlfn.XLOOKUP(BA47&amp;"Hard Support",hero_lane_summary!A:A&amp;hero_lane_summary!B:B, hero_lane_summary!H:H)</f>
        <v>S</v>
      </c>
      <c r="BI47" s="69"/>
      <c r="BJ47" s="39"/>
      <c r="BK47" s="4"/>
    </row>
    <row r="48" spans="3:63" ht="16.95" customHeight="1" x14ac:dyDescent="0.3">
      <c r="C48" s="4"/>
      <c r="D48" s="39"/>
      <c r="E48" s="41" t="str">
        <v>Sniper</v>
      </c>
      <c r="F48" s="41"/>
      <c r="G48" s="41"/>
      <c r="H48" s="41"/>
      <c r="I48" s="41"/>
      <c r="J48" s="70" cm="1">
        <f t="array" ref="J48">_xlfn.XLOOKUP(E48&amp;"Carry",hero_lane_summary!A:A&amp;hero_lane_summary!B:B,hero_lane_summary!E:E)</f>
        <v>0.60784313725490191</v>
      </c>
      <c r="K48" s="70"/>
      <c r="L48" s="69" t="str" cm="1">
        <f t="array" ref="L48">_xlfn.XLOOKUP(E48&amp;"Carry",hero_lane_summary!A:A&amp;hero_lane_summary!B:B, hero_lane_summary!H:H)</f>
        <v>A</v>
      </c>
      <c r="M48" s="69"/>
      <c r="N48" s="41"/>
      <c r="O48" s="42"/>
      <c r="P48" s="41"/>
      <c r="Q48" s="41" t="str">
        <v>Arc Warden</v>
      </c>
      <c r="R48" s="41"/>
      <c r="S48" s="41"/>
      <c r="T48" s="41"/>
      <c r="U48" s="41"/>
      <c r="V48" s="70" cm="1">
        <f t="array" ref="V48">_xlfn.XLOOKUP(Q48&amp;"Mid",hero_lane_summary!A:A&amp;hero_lane_summary!B:B,hero_lane_summary!E:E)</f>
        <v>0.61538461538461542</v>
      </c>
      <c r="W48" s="70"/>
      <c r="X48" s="69" t="str" cm="1">
        <f t="array" ref="X48">_xlfn.XLOOKUP(Q48&amp;"Mid",hero_lane_summary!A:A&amp;hero_lane_summary!B:B, hero_lane_summary!H:H)</f>
        <v>A</v>
      </c>
      <c r="Y48" s="69"/>
      <c r="Z48" s="41"/>
      <c r="AA48" s="42"/>
      <c r="AB48" s="41"/>
      <c r="AC48" s="41" t="str">
        <v>Necrophos</v>
      </c>
      <c r="AD48" s="41"/>
      <c r="AE48" s="41"/>
      <c r="AF48" s="41"/>
      <c r="AG48" s="41"/>
      <c r="AH48" s="70" cm="1">
        <f t="array" ref="AH48">_xlfn.XLOOKUP(AC48&amp;"Off Lane",hero_lane_summary!A:A&amp;hero_lane_summary!B:B,hero_lane_summary!E:E)</f>
        <v>0.62962962962962965</v>
      </c>
      <c r="AI48" s="70"/>
      <c r="AJ48" s="69" t="str" cm="1">
        <f t="array" ref="AJ48">_xlfn.XLOOKUP(AC48&amp;"Off Lane",hero_lane_summary!A:A&amp;hero_lane_summary!B:B, hero_lane_summary!H:H)</f>
        <v>A</v>
      </c>
      <c r="AK48" s="69"/>
      <c r="AL48" s="41"/>
      <c r="AM48" s="42"/>
      <c r="AN48" s="41"/>
      <c r="AO48" s="41" t="str">
        <v>Bane</v>
      </c>
      <c r="AP48" s="41"/>
      <c r="AQ48" s="41"/>
      <c r="AR48" s="41"/>
      <c r="AS48" s="41"/>
      <c r="AT48" s="70" cm="1">
        <f t="array" ref="AT48">_xlfn.XLOOKUP(AO48&amp;"Soft Support",hero_lane_summary!A:A&amp;hero_lane_summary!B:B,hero_lane_summary!E:E)</f>
        <v>0.68181818181818177</v>
      </c>
      <c r="AU48" s="70"/>
      <c r="AV48" s="69" t="str" cm="1">
        <f t="array" ref="AV48">_xlfn.XLOOKUP(AO48&amp;"Soft Support",hero_lane_summary!A:A&amp;hero_lane_summary!B:B, hero_lane_summary!H:H)</f>
        <v>S</v>
      </c>
      <c r="AW48" s="69"/>
      <c r="AX48" s="41"/>
      <c r="AY48" s="42"/>
      <c r="AZ48" s="41"/>
      <c r="BA48" s="41" t="str">
        <v>Phoenix</v>
      </c>
      <c r="BB48" s="41"/>
      <c r="BC48" s="41"/>
      <c r="BD48" s="41"/>
      <c r="BE48" s="41"/>
      <c r="BF48" s="70" cm="1">
        <f t="array" ref="BF48">_xlfn.XLOOKUP(BA48&amp;"Hard Support",hero_lane_summary!A:A&amp;hero_lane_summary!B:B,hero_lane_summary!E:E)</f>
        <v>0.6588235294117647</v>
      </c>
      <c r="BG48" s="70"/>
      <c r="BH48" s="69" t="str" cm="1">
        <f t="array" ref="BH48">_xlfn.XLOOKUP(BA48&amp;"Hard Support",hero_lane_summary!A:A&amp;hero_lane_summary!B:B, hero_lane_summary!H:H)</f>
        <v>S</v>
      </c>
      <c r="BI48" s="69"/>
      <c r="BJ48" s="39"/>
      <c r="BK48" s="4"/>
    </row>
    <row r="49" spans="3:63" ht="16.95" customHeight="1" x14ac:dyDescent="0.3">
      <c r="C49" s="4"/>
      <c r="D49" s="39"/>
      <c r="E49" s="41" t="str">
        <v>Necrophos</v>
      </c>
      <c r="F49" s="41"/>
      <c r="G49" s="41"/>
      <c r="H49" s="41"/>
      <c r="I49" s="41"/>
      <c r="J49" s="70" cm="1">
        <f t="array" ref="J49">_xlfn.XLOOKUP(E49&amp;"Carry",hero_lane_summary!A:A&amp;hero_lane_summary!B:B,hero_lane_summary!E:E)</f>
        <v>0.6071428571428571</v>
      </c>
      <c r="K49" s="70"/>
      <c r="L49" s="69" t="str" cm="1">
        <f t="array" ref="L49">_xlfn.XLOOKUP(E49&amp;"Carry",hero_lane_summary!A:A&amp;hero_lane_summary!B:B, hero_lane_summary!H:H)</f>
        <v>A</v>
      </c>
      <c r="M49" s="69"/>
      <c r="N49" s="41"/>
      <c r="O49" s="42"/>
      <c r="P49" s="41"/>
      <c r="Q49" s="41" t="str">
        <v>Clinkz</v>
      </c>
      <c r="R49" s="41"/>
      <c r="S49" s="41"/>
      <c r="T49" s="41"/>
      <c r="U49" s="41"/>
      <c r="V49" s="70" cm="1">
        <f t="array" ref="V49">_xlfn.XLOOKUP(Q49&amp;"Mid",hero_lane_summary!A:A&amp;hero_lane_summary!B:B,hero_lane_summary!E:E)</f>
        <v>0.61538461538461542</v>
      </c>
      <c r="W49" s="70"/>
      <c r="X49" s="69" t="str" cm="1">
        <f t="array" ref="X49">_xlfn.XLOOKUP(Q49&amp;"Mid",hero_lane_summary!A:A&amp;hero_lane_summary!B:B, hero_lane_summary!H:H)</f>
        <v>A</v>
      </c>
      <c r="Y49" s="69"/>
      <c r="Z49" s="41"/>
      <c r="AA49" s="42"/>
      <c r="AB49" s="41"/>
      <c r="AC49" s="41" t="str">
        <v>Visage</v>
      </c>
      <c r="AD49" s="41"/>
      <c r="AE49" s="41"/>
      <c r="AF49" s="41"/>
      <c r="AG49" s="41"/>
      <c r="AH49" s="70" cm="1">
        <f t="array" ref="AH49">_xlfn.XLOOKUP(AC49&amp;"Off Lane",hero_lane_summary!A:A&amp;hero_lane_summary!B:B,hero_lane_summary!E:E)</f>
        <v>0.61904761904761907</v>
      </c>
      <c r="AI49" s="70"/>
      <c r="AJ49" s="69" t="str" cm="1">
        <f t="array" ref="AJ49">_xlfn.XLOOKUP(AC49&amp;"Off Lane",hero_lane_summary!A:A&amp;hero_lane_summary!B:B, hero_lane_summary!H:H)</f>
        <v>A</v>
      </c>
      <c r="AK49" s="69"/>
      <c r="AL49" s="41"/>
      <c r="AM49" s="42"/>
      <c r="AN49" s="41"/>
      <c r="AO49" s="41" t="str">
        <v>Monkey King</v>
      </c>
      <c r="AP49" s="41"/>
      <c r="AQ49" s="41"/>
      <c r="AR49" s="41"/>
      <c r="AS49" s="41"/>
      <c r="AT49" s="70" cm="1">
        <f t="array" ref="AT49">_xlfn.XLOOKUP(AO49&amp;"Soft Support",hero_lane_summary!A:A&amp;hero_lane_summary!B:B,hero_lane_summary!E:E)</f>
        <v>0.6428571428571429</v>
      </c>
      <c r="AU49" s="70"/>
      <c r="AV49" s="69" t="str" cm="1">
        <f t="array" ref="AV49">_xlfn.XLOOKUP(AO49&amp;"Soft Support",hero_lane_summary!A:A&amp;hero_lane_summary!B:B, hero_lane_summary!H:H)</f>
        <v>A</v>
      </c>
      <c r="AW49" s="69"/>
      <c r="AX49" s="41"/>
      <c r="AY49" s="42"/>
      <c r="AZ49" s="41"/>
      <c r="BA49" s="41" t="str">
        <v>Batrider</v>
      </c>
      <c r="BB49" s="41"/>
      <c r="BC49" s="41"/>
      <c r="BD49" s="41"/>
      <c r="BE49" s="41"/>
      <c r="BF49" s="70" cm="1">
        <f t="array" ref="BF49">_xlfn.XLOOKUP(BA49&amp;"Hard Support",hero_lane_summary!A:A&amp;hero_lane_summary!B:B,hero_lane_summary!E:E)</f>
        <v>0.6428571428571429</v>
      </c>
      <c r="BG49" s="70"/>
      <c r="BH49" s="69" t="str" cm="1">
        <f t="array" ref="BH49">_xlfn.XLOOKUP(BA49&amp;"Hard Support",hero_lane_summary!A:A&amp;hero_lane_summary!B:B, hero_lane_summary!H:H)</f>
        <v>A</v>
      </c>
      <c r="BI49" s="69"/>
      <c r="BJ49" s="39"/>
      <c r="BK49" s="4"/>
    </row>
    <row r="50" spans="3:63" x14ac:dyDescent="0.3">
      <c r="C50" s="4"/>
      <c r="D50" s="34"/>
      <c r="E50" s="34"/>
      <c r="F50" s="34"/>
      <c r="G50" s="34"/>
      <c r="H50" s="34"/>
      <c r="I50" s="34"/>
      <c r="J50" s="34"/>
      <c r="K50" s="34"/>
      <c r="L50" s="34"/>
      <c r="M50" s="34"/>
      <c r="N50" s="34"/>
      <c r="O50" s="36"/>
      <c r="P50" s="34"/>
      <c r="Q50" s="34"/>
      <c r="R50" s="34"/>
      <c r="S50" s="34"/>
      <c r="T50" s="34"/>
      <c r="U50" s="34"/>
      <c r="V50" s="34"/>
      <c r="W50" s="34"/>
      <c r="X50" s="34"/>
      <c r="Y50" s="34"/>
      <c r="Z50" s="34"/>
      <c r="AA50" s="36"/>
      <c r="AB50" s="34"/>
      <c r="AC50" s="34"/>
      <c r="AD50" s="34"/>
      <c r="AE50" s="34"/>
      <c r="AF50" s="34"/>
      <c r="AG50" s="34"/>
      <c r="AH50" s="34"/>
      <c r="AI50" s="34"/>
      <c r="AJ50" s="34"/>
      <c r="AK50" s="34"/>
      <c r="AL50" s="34"/>
      <c r="AM50" s="36"/>
      <c r="AN50" s="34"/>
      <c r="AO50" s="34"/>
      <c r="AP50" s="34"/>
      <c r="AQ50" s="34"/>
      <c r="AR50" s="34"/>
      <c r="AS50" s="34"/>
      <c r="AT50" s="34"/>
      <c r="AU50" s="34"/>
      <c r="AV50" s="34"/>
      <c r="AW50" s="34"/>
      <c r="AX50" s="34"/>
      <c r="AY50" s="36"/>
      <c r="AZ50" s="34"/>
      <c r="BA50" s="34"/>
      <c r="BB50" s="34"/>
      <c r="BC50" s="34"/>
      <c r="BD50" s="34"/>
      <c r="BE50" s="34"/>
      <c r="BF50" s="34"/>
      <c r="BG50" s="34"/>
      <c r="BH50" s="34"/>
      <c r="BI50" s="34"/>
      <c r="BJ50" s="34"/>
      <c r="BK50" s="4"/>
    </row>
    <row r="51" spans="3:63" x14ac:dyDescent="0.3">
      <c r="C51" s="4"/>
      <c r="D51" s="36"/>
      <c r="E51" s="36"/>
      <c r="F51" s="36"/>
      <c r="G51" s="36"/>
      <c r="H51" s="36"/>
      <c r="I51" s="36"/>
      <c r="J51" s="36"/>
      <c r="K51" s="36"/>
      <c r="L51" s="36"/>
      <c r="M51" s="36"/>
      <c r="N51" s="36"/>
      <c r="O51" s="36"/>
      <c r="P51" s="36"/>
      <c r="Q51" s="36"/>
      <c r="R51" s="36"/>
      <c r="S51" s="36"/>
      <c r="T51" s="36"/>
      <c r="U51" s="36"/>
      <c r="V51" s="36"/>
      <c r="W51" s="36"/>
      <c r="X51" s="36"/>
      <c r="Y51" s="36"/>
      <c r="Z51" s="36"/>
      <c r="AA51" s="36"/>
      <c r="AB51" s="36"/>
      <c r="AC51" s="36"/>
      <c r="AD51" s="36"/>
      <c r="AE51" s="36"/>
      <c r="AF51" s="36"/>
      <c r="AG51" s="36"/>
      <c r="AH51" s="36"/>
      <c r="AI51" s="36"/>
      <c r="AJ51" s="36"/>
      <c r="AK51" s="36"/>
      <c r="AL51" s="36"/>
      <c r="AM51" s="36"/>
      <c r="AN51" s="36"/>
      <c r="AO51" s="36"/>
      <c r="AP51" s="36"/>
      <c r="AQ51" s="36"/>
      <c r="AR51" s="36"/>
      <c r="AS51" s="36"/>
      <c r="AT51" s="36"/>
      <c r="AU51" s="36"/>
      <c r="AV51" s="36"/>
      <c r="AW51" s="36"/>
      <c r="AX51" s="36"/>
      <c r="AY51" s="36"/>
      <c r="AZ51" s="36"/>
      <c r="BA51" s="36"/>
      <c r="BB51" s="36"/>
      <c r="BC51" s="36"/>
      <c r="BD51" s="36"/>
      <c r="BE51" s="36"/>
      <c r="BF51" s="36"/>
      <c r="BG51" s="36"/>
      <c r="BH51" s="36"/>
      <c r="BI51" s="36"/>
      <c r="BJ51" s="36"/>
      <c r="BK51" s="4"/>
    </row>
    <row r="52" spans="3:63" x14ac:dyDescent="0.3">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40"/>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4"/>
    </row>
    <row r="53" spans="3:63" x14ac:dyDescent="0.3">
      <c r="C53" s="4"/>
      <c r="D53" s="68" t="s">
        <v>662</v>
      </c>
      <c r="E53" s="68"/>
      <c r="F53" s="68"/>
      <c r="G53" s="68"/>
      <c r="H53" s="68"/>
      <c r="I53" s="68"/>
      <c r="J53" s="68"/>
      <c r="K53" s="68"/>
      <c r="L53" s="68"/>
      <c r="M53" s="68"/>
      <c r="N53" s="68"/>
      <c r="O53" s="68"/>
      <c r="P53" s="68"/>
      <c r="Q53" s="68"/>
      <c r="R53" s="68"/>
      <c r="S53" s="68"/>
      <c r="T53" s="68"/>
      <c r="U53" s="68"/>
      <c r="V53" s="68"/>
      <c r="W53" s="68"/>
      <c r="X53" s="68"/>
      <c r="Y53" s="68"/>
      <c r="Z53" s="68"/>
      <c r="AA53" s="68"/>
      <c r="AB53" s="68"/>
      <c r="AC53" s="68"/>
      <c r="AD53" s="68"/>
      <c r="AE53" s="68"/>
      <c r="AF53" s="68"/>
      <c r="AG53" s="4"/>
      <c r="AH53" s="12"/>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4"/>
      <c r="BJ53" s="4"/>
      <c r="BK53" s="4"/>
    </row>
    <row r="54" spans="3:63" x14ac:dyDescent="0.3">
      <c r="C54" s="15"/>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c r="AD54" s="68"/>
      <c r="AE54" s="68"/>
      <c r="AF54" s="68"/>
      <c r="AG54" s="4"/>
      <c r="AH54" s="4"/>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4"/>
      <c r="BJ54" s="4"/>
      <c r="BK54" s="4"/>
    </row>
    <row r="55" spans="3:63" ht="3.6" customHeight="1" x14ac:dyDescent="0.3">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11"/>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row>
    <row r="56" spans="3:63" ht="0.6" customHeight="1" x14ac:dyDescent="0.3">
      <c r="C56" s="11"/>
      <c r="D56" s="30"/>
      <c r="E56" s="30"/>
      <c r="F56" s="30"/>
      <c r="G56" s="30"/>
      <c r="H56" s="30"/>
      <c r="I56" s="30"/>
      <c r="J56" s="30"/>
      <c r="K56" s="30"/>
      <c r="L56" s="30"/>
      <c r="M56" s="30"/>
      <c r="N56" s="30"/>
      <c r="O56" s="30"/>
      <c r="P56" s="30"/>
      <c r="Q56" s="30"/>
      <c r="R56" s="30"/>
      <c r="S56" s="30"/>
      <c r="T56" s="30"/>
      <c r="U56" s="30"/>
      <c r="V56" s="30"/>
      <c r="W56" s="30"/>
      <c r="X56" s="30"/>
      <c r="Y56" s="30"/>
      <c r="Z56" s="30"/>
      <c r="AA56" s="30"/>
      <c r="AB56" s="30"/>
      <c r="AC56" s="30"/>
      <c r="AD56" s="30"/>
      <c r="AE56" s="30"/>
      <c r="AF56" s="30"/>
      <c r="AG56" s="95"/>
      <c r="AH56" s="95"/>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5"/>
      <c r="BJ56" s="95"/>
      <c r="BK56" s="4"/>
    </row>
    <row r="57" spans="3:63" x14ac:dyDescent="0.3">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row>
    <row r="58" spans="3:63" x14ac:dyDescent="0.3">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row>
    <row r="59" spans="3:63" x14ac:dyDescent="0.3">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row>
    <row r="60" spans="3:63" x14ac:dyDescent="0.3">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row>
    <row r="61" spans="3:63" x14ac:dyDescent="0.3">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row>
    <row r="62" spans="3:63" x14ac:dyDescent="0.3">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row>
    <row r="63" spans="3:63" x14ac:dyDescent="0.3">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row>
    <row r="64" spans="3:63" x14ac:dyDescent="0.3">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row>
    <row r="65" spans="3:63" ht="21" x14ac:dyDescent="0.3">
      <c r="C65" s="13"/>
      <c r="D65" s="13"/>
      <c r="E65" s="13"/>
      <c r="F65" s="13"/>
      <c r="G65" s="13"/>
      <c r="H65" s="13"/>
      <c r="I65" s="13"/>
      <c r="J65" s="13"/>
      <c r="K65" s="13"/>
      <c r="L65" s="13"/>
      <c r="M65" s="13"/>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row>
    <row r="66" spans="3:63" ht="21" x14ac:dyDescent="0.3">
      <c r="C66" s="13"/>
      <c r="D66" s="13"/>
      <c r="E66" s="13"/>
      <c r="F66" s="13"/>
      <c r="G66" s="13"/>
      <c r="H66" s="13"/>
      <c r="I66" s="13"/>
      <c r="J66" s="13"/>
      <c r="K66" s="13"/>
      <c r="L66" s="13"/>
      <c r="M66" s="13"/>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row>
    <row r="67" spans="3:63" x14ac:dyDescent="0.3">
      <c r="V67" s="14"/>
      <c r="W67" s="14"/>
      <c r="X67" s="14"/>
      <c r="Y67" s="14"/>
      <c r="Z67" s="14"/>
      <c r="AA67" s="14"/>
      <c r="AB67" s="14"/>
      <c r="AC67" s="14"/>
      <c r="AD67" s="14"/>
      <c r="AE67" s="14"/>
      <c r="AF67" s="14"/>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4"/>
      <c r="BK67" s="4"/>
    </row>
    <row r="68" spans="3:63" x14ac:dyDescent="0.3">
      <c r="V68" s="14"/>
      <c r="W68" s="14"/>
      <c r="X68" s="14"/>
      <c r="Y68" s="14"/>
      <c r="Z68" s="14"/>
      <c r="AA68" s="14"/>
      <c r="AB68" s="14"/>
      <c r="AC68" s="14"/>
      <c r="AD68" s="14"/>
      <c r="AE68" s="14"/>
      <c r="AF68" s="14"/>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4"/>
      <c r="BK68" s="4"/>
    </row>
    <row r="69" spans="3:63" x14ac:dyDescent="0.3">
      <c r="V69" s="14"/>
      <c r="W69" s="14"/>
      <c r="X69" s="14"/>
      <c r="Y69" s="14"/>
      <c r="Z69" s="14"/>
      <c r="AA69" s="14"/>
      <c r="AB69" s="14"/>
      <c r="AC69" s="14"/>
      <c r="AD69" s="14"/>
      <c r="AE69" s="14"/>
      <c r="AF69" s="14"/>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4"/>
      <c r="BK69" s="4"/>
    </row>
    <row r="70" spans="3:63" x14ac:dyDescent="0.3">
      <c r="V70" s="14"/>
      <c r="W70" s="14"/>
      <c r="X70" s="14"/>
      <c r="Y70" s="14"/>
      <c r="Z70" s="14"/>
      <c r="AA70" s="14"/>
      <c r="AB70" s="14"/>
      <c r="AC70" s="14"/>
      <c r="AD70" s="14"/>
      <c r="AE70" s="14"/>
      <c r="AF70" s="14"/>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4"/>
      <c r="BK70" s="4"/>
    </row>
    <row r="71" spans="3:63" x14ac:dyDescent="0.3">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row>
    <row r="72" spans="3:63" x14ac:dyDescent="0.3">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row>
    <row r="73" spans="3:63" x14ac:dyDescent="0.3">
      <c r="C73" s="4"/>
      <c r="D73" s="73" t="s">
        <v>437</v>
      </c>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4"/>
    </row>
    <row r="74" spans="3:63" x14ac:dyDescent="0.3">
      <c r="C74" s="4"/>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4"/>
    </row>
    <row r="75" spans="3:63" x14ac:dyDescent="0.3">
      <c r="C75" s="4"/>
      <c r="D75" s="71" t="s">
        <v>663</v>
      </c>
      <c r="E75" s="72"/>
      <c r="F75" s="72"/>
      <c r="G75" s="72"/>
      <c r="H75" s="72"/>
      <c r="I75" s="72"/>
      <c r="J75" s="72"/>
      <c r="K75" s="72"/>
      <c r="L75" s="72"/>
      <c r="M75" s="72"/>
      <c r="N75" s="72"/>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4"/>
    </row>
    <row r="76" spans="3:63" x14ac:dyDescent="0.3">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row>
    <row r="77" spans="3:63" ht="14.4" customHeight="1" x14ac:dyDescent="0.3">
      <c r="C77" s="4"/>
      <c r="D77" s="67" t="s">
        <v>170</v>
      </c>
      <c r="E77" s="67"/>
      <c r="F77" s="67"/>
      <c r="G77" s="67"/>
      <c r="H77" s="67"/>
      <c r="I77" s="67"/>
      <c r="J77" s="67"/>
      <c r="K77" s="67"/>
      <c r="L77" s="67"/>
      <c r="M77" s="67"/>
      <c r="N77" s="67"/>
      <c r="O77" s="67"/>
      <c r="P77" s="67"/>
      <c r="Q77" s="67"/>
      <c r="R77" s="67"/>
      <c r="S77" s="67"/>
      <c r="T77" s="67"/>
      <c r="U77" s="67"/>
      <c r="V77" s="67"/>
      <c r="W77" s="64"/>
      <c r="X77" s="67" t="s">
        <v>171</v>
      </c>
      <c r="Y77" s="67"/>
      <c r="Z77" s="67"/>
      <c r="AA77" s="67"/>
      <c r="AB77" s="67"/>
      <c r="AC77" s="67"/>
      <c r="AD77" s="67"/>
      <c r="AE77" s="67"/>
      <c r="AF77" s="67"/>
      <c r="AG77" s="67"/>
      <c r="AH77" s="67"/>
      <c r="AI77" s="67"/>
      <c r="AJ77" s="67"/>
      <c r="AK77" s="67"/>
      <c r="AL77" s="67"/>
      <c r="AM77" s="67"/>
      <c r="AN77" s="67"/>
      <c r="AO77" s="67"/>
      <c r="AP77" s="67"/>
      <c r="AQ77" s="64"/>
      <c r="AR77" s="67" t="s">
        <v>174</v>
      </c>
      <c r="AS77" s="67"/>
      <c r="AT77" s="67"/>
      <c r="AU77" s="67"/>
      <c r="AV77" s="67"/>
      <c r="AW77" s="67"/>
      <c r="AX77" s="67"/>
      <c r="AY77" s="67"/>
      <c r="AZ77" s="67"/>
      <c r="BA77" s="67"/>
      <c r="BB77" s="67"/>
      <c r="BC77" s="67"/>
      <c r="BD77" s="67"/>
      <c r="BE77" s="67"/>
      <c r="BF77" s="67"/>
      <c r="BG77" s="67"/>
      <c r="BH77" s="67"/>
      <c r="BI77" s="67"/>
      <c r="BJ77" s="67"/>
      <c r="BK77" s="4"/>
    </row>
    <row r="78" spans="3:63" ht="14.4" customHeight="1" x14ac:dyDescent="0.3">
      <c r="C78" s="4"/>
      <c r="D78" s="67"/>
      <c r="E78" s="67"/>
      <c r="F78" s="67"/>
      <c r="G78" s="67"/>
      <c r="H78" s="67"/>
      <c r="I78" s="67"/>
      <c r="J78" s="67"/>
      <c r="K78" s="67"/>
      <c r="L78" s="67"/>
      <c r="M78" s="67"/>
      <c r="N78" s="67"/>
      <c r="O78" s="67"/>
      <c r="P78" s="67"/>
      <c r="Q78" s="67"/>
      <c r="R78" s="67"/>
      <c r="S78" s="67"/>
      <c r="T78" s="67"/>
      <c r="U78" s="67"/>
      <c r="V78" s="67"/>
      <c r="W78" s="64"/>
      <c r="X78" s="67"/>
      <c r="Y78" s="67"/>
      <c r="Z78" s="67"/>
      <c r="AA78" s="67"/>
      <c r="AB78" s="67"/>
      <c r="AC78" s="67"/>
      <c r="AD78" s="67"/>
      <c r="AE78" s="67"/>
      <c r="AF78" s="67"/>
      <c r="AG78" s="67"/>
      <c r="AH78" s="67"/>
      <c r="AI78" s="67"/>
      <c r="AJ78" s="67"/>
      <c r="AK78" s="67"/>
      <c r="AL78" s="67"/>
      <c r="AM78" s="67"/>
      <c r="AN78" s="67"/>
      <c r="AO78" s="67"/>
      <c r="AP78" s="67"/>
      <c r="AQ78" s="64"/>
      <c r="AR78" s="67"/>
      <c r="AS78" s="67"/>
      <c r="AT78" s="67"/>
      <c r="AU78" s="67"/>
      <c r="AV78" s="67"/>
      <c r="AW78" s="67"/>
      <c r="AX78" s="67"/>
      <c r="AY78" s="67"/>
      <c r="AZ78" s="67"/>
      <c r="BA78" s="67"/>
      <c r="BB78" s="67"/>
      <c r="BC78" s="67"/>
      <c r="BD78" s="67"/>
      <c r="BE78" s="67"/>
      <c r="BF78" s="67"/>
      <c r="BG78" s="67"/>
      <c r="BH78" s="67"/>
      <c r="BI78" s="67"/>
      <c r="BJ78" s="67"/>
      <c r="BK78" s="4"/>
    </row>
    <row r="79" spans="3:63" ht="14.4" customHeight="1" x14ac:dyDescent="0.3">
      <c r="C79" s="4"/>
      <c r="D79" s="65"/>
      <c r="E79" s="84" t="str" cm="1">
        <f t="array" ref="E79:E84">INDEX(
    _xlfn.SORTBY(
        _xlfn._xlws.FILTER(
            player_summary!A2:A220,
            (player_summary!D2:D220="Carry")*
            (player_summary!G2:G220="Yes")
        ),
        _xlfn._xlws.FILTER(
            player_summary!F2:F220,
            (player_summary!D2:D220="Carry")*
            (player_summary!G2:G220="Yes")
        ),
        -1
    ),
    _xlfn.SEQUENCE(6)
)</f>
        <v>Kiritych~</v>
      </c>
      <c r="F79" s="85"/>
      <c r="G79" s="85"/>
      <c r="H79" s="85"/>
      <c r="I79" s="85"/>
      <c r="J79" s="85" t="str" cm="1">
        <f t="array" ref="J79">_xlfn.XLOOKUP(
    1,
    (TEXT(player_summary!A2:A220,"@")=TEXT(E79,"@"))*
    (player_summary!D2:D220="Carry"),
    player_summary!B2:B220
)</f>
        <v>Monkey King</v>
      </c>
      <c r="K79" s="86"/>
      <c r="L79" s="85"/>
      <c r="M79" s="85"/>
      <c r="N79" s="87"/>
      <c r="O79" s="65"/>
      <c r="P79" s="93" cm="1">
        <f t="array" ref="P79">_xlfn.XLOOKUP(1,(player_summary!$A$2:$A$220=E79&amp;"")*(player_summary!$D$2:$D$220="Carry")*(player_summary!$B$2:$B$220=J79),player_summary!$H$2:$H$220)</f>
        <v>751.47058823529414</v>
      </c>
      <c r="Q79" s="93"/>
      <c r="R79" s="98" cm="1">
        <f t="array" ref="R79">_xlfn.XLOOKUP(1,(player_summary!$A$2:$A$220=E79&amp;"")*(player_summary!$D$2:$D$220="Carry")*(player_summary!$B$2:$B$220=J79),player_summary!$I$2:$I$220)</f>
        <v>875.5</v>
      </c>
      <c r="S79" s="98"/>
      <c r="T79" s="91" cm="1">
        <f t="array" ref="T79">_xlfn.XLOOKUP(1,(player_summary!$A$2:$A$220=E79&amp;"")*(player_summary!$D$2:$D$220="Carry")*(player_summary!$B$2:$B$220=J79),player_summary!$F$2:$F$220)</f>
        <v>0.79411764705882348</v>
      </c>
      <c r="U79" s="91"/>
      <c r="V79" s="85"/>
      <c r="W79" s="88"/>
      <c r="X79" s="85"/>
      <c r="Y79" s="85" t="str" cm="1">
        <f t="array" ref="Y79:Y84">INDEX(
    _xlfn.SORTBY(
        _xlfn._xlws.FILTER(
            player_summary!A2:A220,
            (player_summary!D2:D220="Mid")*
            (player_summary!G2:G220="Yes")
        ),
        _xlfn._xlws.FILTER(
            player_summary!F2:F220,
            (player_summary!D2:D220="Mid")*
            (player_summary!G2:G220="Yes")
        ),
        -1
    ),
    _xlfn.SEQUENCE(6)
)</f>
        <v>gpk~</v>
      </c>
      <c r="Z79" s="85"/>
      <c r="AA79" s="85"/>
      <c r="AB79" s="85"/>
      <c r="AC79" s="85"/>
      <c r="AD79" s="85" t="str" cm="1">
        <f t="array" ref="AD79">_xlfn.XLOOKUP(
    1,
    (TEXT(player_summary!A2:A220,"@")=TEXT(Y79,"@"))*
    (player_summary!D2:D220="Mid"),
    player_summary!B2:B220
)</f>
        <v>Pangolier</v>
      </c>
      <c r="AE79" s="85"/>
      <c r="AF79" s="85"/>
      <c r="AG79" s="85"/>
      <c r="AH79" s="85"/>
      <c r="AI79" s="65"/>
      <c r="AJ79" s="93" cm="1">
        <f t="array" ref="AJ79">_xlfn.XLOOKUP(1,(player_summary!$A$2:$A$220=Y79&amp;"")*(player_summary!$D$2:$D$220="Mid")*(player_summary!$B$2:$B$220=AD79),player_summary!$H$2:$H$220)</f>
        <v>643.44117647058829</v>
      </c>
      <c r="AK79" s="93"/>
      <c r="AL79" s="98" cm="1">
        <f t="array" ref="AL79">_xlfn.XLOOKUP(1,(player_summary!$A$2:$A$220=Y79&amp;"")*(player_summary!$D$2:$D$220="Mid")*(player_summary!$B$2:$B$220=AD79),player_summary!$I$2:$I$220)</f>
        <v>851.08823529411768</v>
      </c>
      <c r="AM79" s="98"/>
      <c r="AN79" s="91" cm="1">
        <f t="array" ref="AN79">_xlfn.XLOOKUP(1,(player_summary!$A$2:$A$220=Y79&amp;"")*(player_summary!$D$2:$D$220="Mid")*(player_summary!$B$2:$B$220=AD79),player_summary!$F$2:$F$220)</f>
        <v>0.79411764705882348</v>
      </c>
      <c r="AO79" s="91"/>
      <c r="AP79" s="85"/>
      <c r="AQ79" s="88"/>
      <c r="AR79" s="85"/>
      <c r="AS79" s="85" t="str" cm="1">
        <f t="array" ref="AS79:AS84">INDEX(
    _xlfn.SORTBY(
        _xlfn._xlws.FILTER(
            player_summary!A2:A220,
            (player_summary!D2:D220="Off Lane")*
            (player_summary!G2:G220="Yes")
        ),
        _xlfn._xlws.FILTER(
            player_summary!F2:F220,
            (player_summary!D2:D220="Off Lane")*
            (player_summary!G2:G220="Yes")
        ),
        -1
    ),
    _xlfn.SEQUENCE(6)
)</f>
        <v>MieRo</v>
      </c>
      <c r="AT79" s="85"/>
      <c r="AU79" s="85"/>
      <c r="AV79" s="85"/>
      <c r="AW79" s="85"/>
      <c r="AX79" s="85" t="str" cm="1">
        <f t="array" ref="AX79">_xlfn.XLOOKUP(
    1,
    (TEXT(player_summary!A2:A220,"@")=TEXT(AS79,"@"))*
    (player_summary!D2:D220="Off Lane"),
    player_summary!B2:B220
)</f>
        <v>Dawnbreaker</v>
      </c>
      <c r="AY79" s="85"/>
      <c r="AZ79" s="85"/>
      <c r="BA79" s="85"/>
      <c r="BB79" s="85"/>
      <c r="BC79" s="65"/>
      <c r="BD79" s="93" cm="1">
        <f t="array" ref="BD79">_xlfn.XLOOKUP(1,(player_summary!$A$2:$A$220=AS79&amp;"")*(player_summary!$D$2:$D$220="Off Lane")*(player_summary!$B$2:$B$220=AX79),player_summary!$H$2:$H$220)</f>
        <v>624.61764705882354</v>
      </c>
      <c r="BE79" s="93"/>
      <c r="BF79" s="98" cm="1">
        <f t="array" ref="BF79">_xlfn.XLOOKUP(1,(player_summary!$A$2:$A$220=AS79&amp;"")*(player_summary!$D$2:$D$220="Off Lane")*(player_summary!$B$2:$B$220=AX79),player_summary!$I$2:$I$220)</f>
        <v>817.05882352941171</v>
      </c>
      <c r="BG79" s="98"/>
      <c r="BH79" s="91" cm="1">
        <f t="array" ref="BH79">_xlfn.XLOOKUP(1,(player_summary!$A$2:$A$220=Y79&amp;"")*(player_summary!$D$2:$D$220="Mid")*(player_summary!$B$2:$B$220=AD79),player_summary!$F$2:$F$220)</f>
        <v>0.79411764705882348</v>
      </c>
      <c r="BI79" s="91"/>
      <c r="BJ79" s="85"/>
      <c r="BK79" s="4"/>
    </row>
    <row r="80" spans="3:63" ht="14.4" customHeight="1" x14ac:dyDescent="0.3">
      <c r="C80" s="4"/>
      <c r="D80" s="65"/>
      <c r="E80" s="84" t="str">
        <v>Satanic</v>
      </c>
      <c r="F80" s="85"/>
      <c r="G80" s="85"/>
      <c r="H80" s="85"/>
      <c r="I80" s="85"/>
      <c r="J80" s="85" t="str" cm="1">
        <f t="array" ref="J80">_xlfn.XLOOKUP(
    1,
    (TEXT(player_summary!A3:A221,"@")=TEXT(E80,"@"))*
    (player_summary!D3:D221="Carry"),
    player_summary!B3:B221
)</f>
        <v>Kez</v>
      </c>
      <c r="K80" s="86"/>
      <c r="L80" s="85"/>
      <c r="M80" s="85"/>
      <c r="N80" s="87"/>
      <c r="O80" s="65"/>
      <c r="P80" s="93" cm="1">
        <f t="array" ref="P80">_xlfn.XLOOKUP(1,(player_summary!$A$2:$A$220=E80&amp;"")*(player_summary!$D$2:$D$220="Carry")*(player_summary!$B$2:$B$220=J80),player_summary!$H$2:$H$220)</f>
        <v>779.45161290322585</v>
      </c>
      <c r="Q80" s="93"/>
      <c r="R80" s="98" cm="1">
        <f t="array" ref="R80">_xlfn.XLOOKUP(1,(player_summary!$A$2:$A$220=E80&amp;"")*(player_summary!$D$2:$D$220="Carry")*(player_summary!$B$2:$B$220=J80),player_summary!$I$2:$I$220)</f>
        <v>865.67741935483866</v>
      </c>
      <c r="S80" s="98"/>
      <c r="T80" s="91" cm="1">
        <f t="array" ref="T80">_xlfn.XLOOKUP(1,(player_summary!$A$2:$A$220=E80&amp;"")*(player_summary!$D$2:$D$220="Carry")*(player_summary!$B$2:$B$220=J80),player_summary!$F$2:$F$220)</f>
        <v>0.74193548387096775</v>
      </c>
      <c r="U80" s="91"/>
      <c r="V80" s="85"/>
      <c r="W80" s="88"/>
      <c r="X80" s="85"/>
      <c r="Y80" s="85" t="str">
        <v>No[o]ne-</v>
      </c>
      <c r="Z80" s="85"/>
      <c r="AA80" s="85"/>
      <c r="AB80" s="85"/>
      <c r="AC80" s="85"/>
      <c r="AD80" s="85" t="str" cm="1">
        <f t="array" ref="AD80">_xlfn.XLOOKUP(
    1,
    (TEXT(player_summary!A3:A221,"@")=TEXT(Y80,"@"))*
    (player_summary!D3:D221="Mid"),
    player_summary!B3:B221
)</f>
        <v>Puck</v>
      </c>
      <c r="AE80" s="85"/>
      <c r="AF80" s="85"/>
      <c r="AG80" s="85"/>
      <c r="AH80" s="85"/>
      <c r="AI80" s="65"/>
      <c r="AJ80" s="93" cm="1">
        <f t="array" ref="AJ80">_xlfn.XLOOKUP(1,(player_summary!$A$2:$A$220=Y80&amp;"")*(player_summary!$D$2:$D$220="Mid")*(player_summary!$B$2:$B$220=AD80),player_summary!$H$2:$H$220)</f>
        <v>606.32258064516134</v>
      </c>
      <c r="AK80" s="93"/>
      <c r="AL80" s="98" cm="1">
        <f t="array" ref="AL80">_xlfn.XLOOKUP(1,(player_summary!$A$2:$A$220=Y80&amp;"")*(player_summary!$D$2:$D$220="Mid")*(player_summary!$B$2:$B$220=AD80),player_summary!$I$2:$I$220)</f>
        <v>753.83870967741939</v>
      </c>
      <c r="AM80" s="98"/>
      <c r="AN80" s="91" cm="1">
        <f t="array" ref="AN80">_xlfn.XLOOKUP(1,(player_summary!$A$2:$A$220=Y80&amp;"")*(player_summary!$D$2:$D$220="Mid")*(player_summary!$B$2:$B$220=AD80),player_summary!$F$2:$F$220)</f>
        <v>0.74193548387096775</v>
      </c>
      <c r="AO80" s="91"/>
      <c r="AP80" s="85"/>
      <c r="AQ80" s="88"/>
      <c r="AR80" s="85"/>
      <c r="AS80" s="85" t="str">
        <v>SSS</v>
      </c>
      <c r="AT80" s="85"/>
      <c r="AU80" s="85"/>
      <c r="AV80" s="85"/>
      <c r="AW80" s="85"/>
      <c r="AX80" s="85" t="str" cm="1">
        <f t="array" ref="AX80">_xlfn.XLOOKUP(
    1,
    (TEXT(player_summary!A3:A221,"@")=TEXT(AS80,"@"))*
    (player_summary!D3:D221="Off Lane"),
    player_summary!B3:B221
)</f>
        <v>Slardar</v>
      </c>
      <c r="AY80" s="85"/>
      <c r="AZ80" s="85"/>
      <c r="BA80" s="85"/>
      <c r="BB80" s="85"/>
      <c r="BC80" s="65"/>
      <c r="BD80" s="93" cm="1">
        <f t="array" ref="BD80">_xlfn.XLOOKUP(1,(player_summary!$A$2:$A$220=AS80&amp;"")*(player_summary!$D$2:$D$220="Off Lane")*(player_summary!$B$2:$B$220=AX80),player_summary!$H$2:$H$220)</f>
        <v>544.80645161290317</v>
      </c>
      <c r="BE80" s="93"/>
      <c r="BF80" s="98" cm="1">
        <f t="array" ref="BF80">_xlfn.XLOOKUP(1,(player_summary!$A$2:$A$220=AS80&amp;"")*(player_summary!$D$2:$D$220="Off Lane")*(player_summary!$B$2:$B$220=AX80),player_summary!$I$2:$I$220)</f>
        <v>674.19354838709683</v>
      </c>
      <c r="BG80" s="98"/>
      <c r="BH80" s="91" cm="1">
        <f t="array" ref="BH80">_xlfn.XLOOKUP(1,(player_summary!$A$2:$A$220=Y80&amp;"")*(player_summary!$D$2:$D$220="Mid")*(player_summary!$B$2:$B$220=AD80),player_summary!$F$2:$F$220)</f>
        <v>0.74193548387096775</v>
      </c>
      <c r="BI80" s="91"/>
      <c r="BJ80" s="85"/>
      <c r="BK80" s="4"/>
    </row>
    <row r="81" spans="3:64" ht="14.4" customHeight="1" x14ac:dyDescent="0.3">
      <c r="C81" s="4"/>
      <c r="D81" s="65"/>
      <c r="E81" s="84" t="str">
        <v>423</v>
      </c>
      <c r="F81" s="85"/>
      <c r="G81" s="85"/>
      <c r="H81" s="85"/>
      <c r="I81" s="85"/>
      <c r="J81" s="85" t="str" cm="1">
        <f t="array" ref="J81">_xlfn.XLOOKUP(1,(player_summary!A2:A220=E81&amp;"")*(player_summary!D2:D220="Carry"),player_summary!B2:B220)</f>
        <v>Terrorblade</v>
      </c>
      <c r="K81" s="86"/>
      <c r="L81" s="85"/>
      <c r="M81" s="85"/>
      <c r="N81" s="87"/>
      <c r="O81" s="65"/>
      <c r="P81" s="93" cm="1">
        <f t="array" ref="P81">_xlfn.XLOOKUP(1,(player_summary!$A$2:$A$220=E81&amp;"")*(player_summary!$D$2:$D$220="Carry")*(player_summary!$B$2:$B$220=J81),player_summary!$H$2:$H$220)</f>
        <v>758.81481481481478</v>
      </c>
      <c r="Q81" s="93"/>
      <c r="R81" s="98" cm="1">
        <f t="array" ref="R81">_xlfn.XLOOKUP(1,(player_summary!$A$2:$A$220=E81&amp;"")*(player_summary!$D$2:$D$220="Carry")*(player_summary!$B$2:$B$220=J81),player_summary!$I$2:$I$220)</f>
        <v>846.55555555555554</v>
      </c>
      <c r="S81" s="98"/>
      <c r="T81" s="91" cm="1">
        <f t="array" ref="T81">_xlfn.XLOOKUP(1,(player_summary!$A$2:$A$220=E81&amp;"")*(player_summary!$D$2:$D$220="Carry")*(player_summary!$B$2:$B$220=J81),player_summary!$F$2:$F$220)</f>
        <v>0.70370370370370372</v>
      </c>
      <c r="U81" s="91"/>
      <c r="V81" s="85"/>
      <c r="W81" s="88"/>
      <c r="X81" s="85"/>
      <c r="Y81" s="85" t="str">
        <v>Tala</v>
      </c>
      <c r="Z81" s="85"/>
      <c r="AA81" s="85"/>
      <c r="AB81" s="85"/>
      <c r="AC81" s="85"/>
      <c r="AD81" s="85" t="str" cm="1">
        <f t="array" ref="AD81">_xlfn.XLOOKUP(
    1,
    (TEXT(player_summary!A4:A222,"@")=TEXT(Y81,"@"))*
    (player_summary!D4:D222="Mid"),
    player_summary!B4:B222
)</f>
        <v>Tiny</v>
      </c>
      <c r="AE81" s="85"/>
      <c r="AF81" s="85"/>
      <c r="AG81" s="85"/>
      <c r="AH81" s="85"/>
      <c r="AI81" s="65"/>
      <c r="AJ81" s="93" cm="1">
        <f t="array" ref="AJ81">_xlfn.XLOOKUP(1,(player_summary!$A$2:$A$220=Y81&amp;"")*(player_summary!$D$2:$D$220="Mid")*(player_summary!$B$2:$B$220=AD81),player_summary!$H$2:$H$220)</f>
        <v>536.4545454545455</v>
      </c>
      <c r="AK81" s="93"/>
      <c r="AL81" s="98" cm="1">
        <f t="array" ref="AL81">_xlfn.XLOOKUP(1,(player_summary!$A$2:$A$220=Y81&amp;"")*(player_summary!$D$2:$D$220="Mid")*(player_summary!$B$2:$B$220=AD81),player_summary!$I$2:$I$220)</f>
        <v>674.90909090909088</v>
      </c>
      <c r="AM81" s="98"/>
      <c r="AN81" s="91" cm="1">
        <f t="array" ref="AN81">_xlfn.XLOOKUP(1,(player_summary!$A$2:$A$220=Y81&amp;"")*(player_summary!$D$2:$D$220="Mid")*(player_summary!$B$2:$B$220=AD81),player_summary!$F$2:$F$220)</f>
        <v>0.72727272727272729</v>
      </c>
      <c r="AO81" s="91"/>
      <c r="AP81" s="85"/>
      <c r="AQ81" s="88"/>
      <c r="AR81" s="85"/>
      <c r="AS81" s="85" t="str">
        <v>Fbz</v>
      </c>
      <c r="AT81" s="85"/>
      <c r="AU81" s="85"/>
      <c r="AV81" s="85"/>
      <c r="AW81" s="85"/>
      <c r="AX81" s="85" t="str" cm="1">
        <f t="array" ref="AX81">_xlfn.XLOOKUP(
    1,
    (TEXT(player_summary!A4:A222,"@")=TEXT(AS81,"@"))*
    (player_summary!D4:D222="Off Lane"),
    player_summary!B4:B222
)</f>
        <v>Bristleback</v>
      </c>
      <c r="AY81" s="85"/>
      <c r="AZ81" s="85"/>
      <c r="BA81" s="85"/>
      <c r="BB81" s="85"/>
      <c r="BC81" s="65"/>
      <c r="BD81" s="93" cm="1">
        <f t="array" ref="BD81">_xlfn.XLOOKUP(1,(player_summary!$A$2:$A$220=AS81&amp;"")*(player_summary!$D$2:$D$220="Off Lane")*(player_summary!$B$2:$B$220=AX81),player_summary!$H$2:$H$220)</f>
        <v>568.28571428571433</v>
      </c>
      <c r="BE81" s="93"/>
      <c r="BF81" s="98" cm="1">
        <f t="array" ref="BF81">_xlfn.XLOOKUP(1,(player_summary!$A$2:$A$220=AS81&amp;"")*(player_summary!$D$2:$D$220="Off Lane")*(player_summary!$B$2:$B$220=AX81),player_summary!$I$2:$I$220)</f>
        <v>760.42857142857144</v>
      </c>
      <c r="BG81" s="98"/>
      <c r="BH81" s="91" cm="1">
        <f t="array" ref="BH81">_xlfn.XLOOKUP(1,(player_summary!$A$2:$A$220=Y81&amp;"")*(player_summary!$D$2:$D$220="Mid")*(player_summary!$B$2:$B$220=AD81),player_summary!$F$2:$F$220)</f>
        <v>0.72727272727272729</v>
      </c>
      <c r="BI81" s="91"/>
      <c r="BJ81" s="85"/>
      <c r="BK81" s="4"/>
    </row>
    <row r="82" spans="3:64" ht="14.4" customHeight="1" x14ac:dyDescent="0.3">
      <c r="C82" s="4"/>
      <c r="D82" s="65"/>
      <c r="E82" s="84" t="str">
        <v>rincyq</v>
      </c>
      <c r="F82" s="85"/>
      <c r="G82" s="85"/>
      <c r="H82" s="85"/>
      <c r="I82" s="85"/>
      <c r="J82" s="85" t="str" cm="1">
        <f t="array" ref="J82">_xlfn.XLOOKUP(
    1,
    (TEXT(player_summary!A5:A223,"@")=TEXT(E82,"@"))*
    (player_summary!D5:D223="Carry"),
    player_summary!B5:B223
)</f>
        <v>Muerta</v>
      </c>
      <c r="K82" s="86"/>
      <c r="L82" s="85"/>
      <c r="M82" s="85"/>
      <c r="N82" s="87"/>
      <c r="O82" s="65"/>
      <c r="P82" s="93" cm="1">
        <f t="array" ref="P82">_xlfn.XLOOKUP(1,(player_summary!$A$2:$A$220=E82&amp;"")*(player_summary!$D$2:$D$220="Carry")*(player_summary!$B$2:$B$220=J82),player_summary!$H$2:$H$220)</f>
        <v>704.38775510204084</v>
      </c>
      <c r="Q82" s="93"/>
      <c r="R82" s="98" cm="1">
        <f t="array" ref="R82">_xlfn.XLOOKUP(1,(player_summary!$A$2:$A$220=E82&amp;"")*(player_summary!$D$2:$D$220="Carry")*(player_summary!$B$2:$B$220=J82),player_summary!$I$2:$I$220)</f>
        <v>819.83673469387759</v>
      </c>
      <c r="S82" s="98"/>
      <c r="T82" s="91" cm="1">
        <f t="array" ref="T82">_xlfn.XLOOKUP(1,(player_summary!$A$2:$A$220=E82&amp;"")*(player_summary!$D$2:$D$220="Carry")*(player_summary!$B$2:$B$220=J82),player_summary!$F$2:$F$220)</f>
        <v>0.69387755102040816</v>
      </c>
      <c r="U82" s="91"/>
      <c r="V82" s="85"/>
      <c r="W82" s="88"/>
      <c r="X82" s="85"/>
      <c r="Y82" s="85" t="str">
        <v>inYourdreaM</v>
      </c>
      <c r="Z82" s="85"/>
      <c r="AA82" s="85"/>
      <c r="AB82" s="85"/>
      <c r="AC82" s="85"/>
      <c r="AD82" s="85" t="str" cm="1">
        <f t="array" ref="AD82">_xlfn.XLOOKUP(
    1,
    (TEXT(player_summary!A5:A223,"@")=TEXT(Y82,"@"))*
    (player_summary!D5:D223="Mid"),
    player_summary!B5:B223
)</f>
        <v>Sand King</v>
      </c>
      <c r="AE82" s="85"/>
      <c r="AF82" s="85"/>
      <c r="AG82" s="85"/>
      <c r="AH82" s="85"/>
      <c r="AI82" s="65"/>
      <c r="AJ82" s="93" cm="1">
        <f t="array" ref="AJ82">_xlfn.XLOOKUP(1,(player_summary!$A$2:$A$220=Y82&amp;"")*(player_summary!$D$2:$D$220="Mid")*(player_summary!$B$2:$B$220=AD82),player_summary!$H$2:$H$220)</f>
        <v>580.61904761904759</v>
      </c>
      <c r="AK82" s="93"/>
      <c r="AL82" s="98" cm="1">
        <f t="array" ref="AL82">_xlfn.XLOOKUP(1,(player_summary!$A$2:$A$220=Y82&amp;"")*(player_summary!$D$2:$D$220="Mid")*(player_summary!$B$2:$B$220=AD82),player_summary!$I$2:$I$220)</f>
        <v>738.33333333333337</v>
      </c>
      <c r="AM82" s="98"/>
      <c r="AN82" s="91" cm="1">
        <f t="array" ref="AN82">_xlfn.XLOOKUP(1,(player_summary!$A$2:$A$220=Y82&amp;"")*(player_summary!$D$2:$D$220="Mid")*(player_summary!$B$2:$B$220=AD82),player_summary!$F$2:$F$220)</f>
        <v>0.7142857142857143</v>
      </c>
      <c r="AO82" s="91"/>
      <c r="AP82" s="85"/>
      <c r="AQ82" s="88"/>
      <c r="AR82" s="85"/>
      <c r="AS82" s="85" t="str">
        <v>laise</v>
      </c>
      <c r="AT82" s="85"/>
      <c r="AU82" s="85"/>
      <c r="AV82" s="85"/>
      <c r="AW82" s="85"/>
      <c r="AX82" s="85" t="str" cm="1">
        <f t="array" ref="AX82">_xlfn.XLOOKUP(
    1,
    (TEXT(player_summary!A5:A223,"@")=TEXT(AS82,"@"))*
    (player_summary!D5:D223="Off Lane"),
    player_summary!B5:B223
)</f>
        <v>Brewmaster</v>
      </c>
      <c r="AY82" s="85"/>
      <c r="AZ82" s="85"/>
      <c r="BA82" s="85"/>
      <c r="BB82" s="85"/>
      <c r="BC82" s="65"/>
      <c r="BD82" s="93" cm="1">
        <f t="array" ref="BD82">_xlfn.XLOOKUP(1,(player_summary!$A$2:$A$220=AS82&amp;"")*(player_summary!$D$2:$D$220="Off Lane")*(player_summary!$B$2:$B$220=AX82),player_summary!$H$2:$H$220)</f>
        <v>575.42424242424238</v>
      </c>
      <c r="BE82" s="93"/>
      <c r="BF82" s="98" cm="1">
        <f t="array" ref="BF82">_xlfn.XLOOKUP(1,(player_summary!$A$2:$A$220=AS82&amp;"")*(player_summary!$D$2:$D$220="Off Lane")*(player_summary!$B$2:$B$220=AX82),player_summary!$I$2:$I$220)</f>
        <v>739.36363636363637</v>
      </c>
      <c r="BG82" s="98"/>
      <c r="BH82" s="91" cm="1">
        <f t="array" ref="BH82">_xlfn.XLOOKUP(1,(player_summary!$A$2:$A$220=Y82&amp;"")*(player_summary!$D$2:$D$220="Mid")*(player_summary!$B$2:$B$220=AD82),player_summary!$F$2:$F$220)</f>
        <v>0.7142857142857143</v>
      </c>
      <c r="BI82" s="91"/>
      <c r="BJ82" s="85"/>
      <c r="BK82" s="4"/>
    </row>
    <row r="83" spans="3:64" ht="14.4" customHeight="1" x14ac:dyDescent="0.3">
      <c r="C83" s="4"/>
      <c r="D83" s="65"/>
      <c r="E83" s="84" t="str">
        <v>shigetsu</v>
      </c>
      <c r="F83" s="85"/>
      <c r="G83" s="85"/>
      <c r="H83" s="85"/>
      <c r="I83" s="85"/>
      <c r="J83" s="85" t="str" cm="1">
        <f t="array" ref="J83">_xlfn.XLOOKUP(
    1,
    (TEXT(player_summary!A6:A224,"@")=TEXT(E83,"@"))*
    (player_summary!D6:D224="Carry"),
    player_summary!B6:B224
)</f>
        <v>Luna</v>
      </c>
      <c r="K83" s="86"/>
      <c r="L83" s="85"/>
      <c r="M83" s="85"/>
      <c r="N83" s="87"/>
      <c r="O83" s="65"/>
      <c r="P83" s="93" cm="1">
        <f t="array" ref="P83">_xlfn.XLOOKUP(1,(player_summary!$A$2:$A$220=E83&amp;"")*(player_summary!$D$2:$D$220="Carry")*(player_summary!$B$2:$B$220=J83),player_summary!$H$2:$H$220)</f>
        <v>799.44827586206895</v>
      </c>
      <c r="Q83" s="93"/>
      <c r="R83" s="98" cm="1">
        <f t="array" ref="R83">_xlfn.XLOOKUP(1,(player_summary!$A$2:$A$220=E83&amp;"")*(player_summary!$D$2:$D$220="Carry")*(player_summary!$B$2:$B$220=J83),player_summary!$I$2:$I$220)</f>
        <v>912.20689655172418</v>
      </c>
      <c r="S83" s="98"/>
      <c r="T83" s="91" cm="1">
        <f t="array" ref="T83">_xlfn.XLOOKUP(1,(player_summary!$A$2:$A$220=E83&amp;"")*(player_summary!$D$2:$D$220="Carry")*(player_summary!$B$2:$B$220=J83),player_summary!$F$2:$F$220)</f>
        <v>0.68965517241379315</v>
      </c>
      <c r="U83" s="91"/>
      <c r="V83" s="85"/>
      <c r="W83" s="88"/>
      <c r="X83" s="85"/>
      <c r="Y83" s="85" t="str">
        <v>No!obâ„¢</v>
      </c>
      <c r="Z83" s="85"/>
      <c r="AA83" s="85"/>
      <c r="AB83" s="85"/>
      <c r="AC83" s="85"/>
      <c r="AD83" s="85" t="str" cm="1">
        <f t="array" ref="AD83">_xlfn.XLOOKUP(
    1,
    (TEXT(player_summary!A6:A224,"@")=TEXT(Y83,"@"))*
    (player_summary!D6:D224="Mid"),
    player_summary!B6:B224
)</f>
        <v>Beastmaster</v>
      </c>
      <c r="AE83" s="85"/>
      <c r="AF83" s="85"/>
      <c r="AG83" s="85"/>
      <c r="AH83" s="85"/>
      <c r="AI83" s="65"/>
      <c r="AJ83" s="93" cm="1">
        <f t="array" ref="AJ83">_xlfn.XLOOKUP(1,(player_summary!$A$2:$A$220=Y83&amp;"")*(player_summary!$D$2:$D$220="Mid")*(player_summary!$B$2:$B$220=AD83),player_summary!$H$2:$H$220)</f>
        <v>614.14285714285711</v>
      </c>
      <c r="AK83" s="93"/>
      <c r="AL83" s="98" cm="1">
        <f t="array" ref="AL83">_xlfn.XLOOKUP(1,(player_summary!$A$2:$A$220=Y83&amp;"")*(player_summary!$D$2:$D$220="Mid")*(player_summary!$B$2:$B$220=AD83),player_summary!$I$2:$I$220)</f>
        <v>773.38775510204084</v>
      </c>
      <c r="AM83" s="98"/>
      <c r="AN83" s="91" cm="1">
        <f t="array" ref="AN83">_xlfn.XLOOKUP(1,(player_summary!$A$2:$A$220=Y83&amp;"")*(player_summary!$D$2:$D$220="Mid")*(player_summary!$B$2:$B$220=AD83),player_summary!$F$2:$F$220)</f>
        <v>0.69387755102040816</v>
      </c>
      <c r="AO83" s="91"/>
      <c r="AP83" s="85"/>
      <c r="AQ83" s="88"/>
      <c r="AR83" s="85"/>
      <c r="AS83" s="85" t="str">
        <v>Davai Lama</v>
      </c>
      <c r="AT83" s="85"/>
      <c r="AU83" s="85"/>
      <c r="AV83" s="85"/>
      <c r="AW83" s="85"/>
      <c r="AX83" s="85" t="str" cm="1">
        <f t="array" ref="AX83">_xlfn.XLOOKUP(
    1,
    (TEXT(player_summary!A6:A224,"@")=TEXT(AS83,"@"))*
    (player_summary!D6:D224="Off Lane"),
    player_summary!B6:B224
)</f>
        <v>Underlord</v>
      </c>
      <c r="AY83" s="85"/>
      <c r="AZ83" s="85"/>
      <c r="BA83" s="85"/>
      <c r="BB83" s="85"/>
      <c r="BC83" s="65"/>
      <c r="BD83" s="93" cm="1">
        <f t="array" ref="BD83">_xlfn.XLOOKUP(1,(player_summary!$A$2:$A$220=AS83&amp;"")*(player_summary!$D$2:$D$220="Off Lane")*(player_summary!$B$2:$B$220=AX83),player_summary!$H$2:$H$220)</f>
        <v>556.70212765957444</v>
      </c>
      <c r="BE83" s="93"/>
      <c r="BF83" s="98" cm="1">
        <f t="array" ref="BF83">_xlfn.XLOOKUP(1,(player_summary!$A$2:$A$220=AS83&amp;"")*(player_summary!$D$2:$D$220="Off Lane")*(player_summary!$B$2:$B$220=AX83),player_summary!$I$2:$I$220)</f>
        <v>717.936170212766</v>
      </c>
      <c r="BG83" s="98"/>
      <c r="BH83" s="91" cm="1">
        <f t="array" ref="BH83">_xlfn.XLOOKUP(1,(player_summary!$A$2:$A$220=Y83&amp;"")*(player_summary!$D$2:$D$220="Mid")*(player_summary!$B$2:$B$220=AD83),player_summary!$F$2:$F$220)</f>
        <v>0.69387755102040816</v>
      </c>
      <c r="BI83" s="91"/>
      <c r="BJ83" s="85"/>
      <c r="BK83" s="4"/>
    </row>
    <row r="84" spans="3:64" ht="14.4" customHeight="1" x14ac:dyDescent="0.3">
      <c r="C84" s="4"/>
      <c r="D84" s="65"/>
      <c r="E84" s="84" t="str">
        <v>23savage</v>
      </c>
      <c r="F84" s="85"/>
      <c r="G84" s="85"/>
      <c r="H84" s="85"/>
      <c r="I84" s="85"/>
      <c r="J84" s="85" t="str" cm="1">
        <f t="array" ref="J84">_xlfn.XLOOKUP(1,(player_summary!A2:A220=E84&amp;"")*(player_summary!D2:D220="Carry"),player_summary!B2:B220)</f>
        <v>Ursa</v>
      </c>
      <c r="K84" s="86"/>
      <c r="L84" s="85"/>
      <c r="M84" s="85"/>
      <c r="N84" s="87"/>
      <c r="O84" s="65"/>
      <c r="P84" s="93" cm="1">
        <f t="array" ref="P84">_xlfn.XLOOKUP(1,(player_summary!$A$2:$A$220=E84&amp;"")*(player_summary!$D$2:$D$220="Carry")*(player_summary!$B$2:$B$220=J84),player_summary!$H$2:$H$220)</f>
        <v>698.77777777777783</v>
      </c>
      <c r="Q84" s="93"/>
      <c r="R84" s="98" cm="1">
        <f t="array" ref="R84">_xlfn.XLOOKUP(1,(player_summary!$A$2:$A$220=E84&amp;"")*(player_summary!$D$2:$D$220="Carry")*(player_summary!$B$2:$B$220=J84),player_summary!$I$2:$I$220)</f>
        <v>855</v>
      </c>
      <c r="S84" s="98"/>
      <c r="T84" s="91" cm="1">
        <f t="array" ref="T84">_xlfn.XLOOKUP(1,(player_summary!$A$2:$A$220=E84&amp;"")*(player_summary!$D$2:$D$220="Carry")*(player_summary!$B$2:$B$220=J84),player_summary!$F$2:$F$220)</f>
        <v>0.66666666666666663</v>
      </c>
      <c r="U84" s="91"/>
      <c r="V84" s="85"/>
      <c r="W84" s="88"/>
      <c r="X84" s="85"/>
      <c r="Y84" s="85" t="str">
        <v>EchozZ</v>
      </c>
      <c r="Z84" s="85"/>
      <c r="AA84" s="85"/>
      <c r="AB84" s="85"/>
      <c r="AC84" s="85"/>
      <c r="AD84" s="85" t="str" cm="1">
        <f t="array" ref="AD84">_xlfn.XLOOKUP(
    1,
    (TEXT(player_summary!A7:A225,"@")=TEXT(Y84,"@"))*
    (player_summary!D7:D225="Mid"),
    player_summary!B7:B225
)</f>
        <v>Sand King</v>
      </c>
      <c r="AE84" s="85"/>
      <c r="AF84" s="85"/>
      <c r="AG84" s="85"/>
      <c r="AH84" s="85"/>
      <c r="AI84" s="65"/>
      <c r="AJ84" s="93" cm="1">
        <f t="array" ref="AJ84">_xlfn.XLOOKUP(1,(player_summary!$A$2:$A$220=Y84&amp;"")*(player_summary!$D$2:$D$220="Mid")*(player_summary!$B$2:$B$220=AD84),player_summary!$H$2:$H$220)</f>
        <v>549.33333333333337</v>
      </c>
      <c r="AK84" s="93"/>
      <c r="AL84" s="98" cm="1">
        <f t="array" ref="AL84">_xlfn.XLOOKUP(1,(player_summary!$A$2:$A$220=Y84&amp;"")*(player_summary!$D$2:$D$220="Mid")*(player_summary!$B$2:$B$220=AD84),player_summary!$I$2:$I$220)</f>
        <v>693.26666666666665</v>
      </c>
      <c r="AM84" s="98"/>
      <c r="AN84" s="91" cm="1">
        <f t="array" ref="AN84">_xlfn.XLOOKUP(1,(player_summary!$A$2:$A$220=Y84&amp;"")*(player_summary!$D$2:$D$220="Mid")*(player_summary!$B$2:$B$220=AD84),player_summary!$F$2:$F$220)</f>
        <v>0.66666666666666663</v>
      </c>
      <c r="AO84" s="91"/>
      <c r="AP84" s="85"/>
      <c r="AQ84" s="88"/>
      <c r="AR84" s="85"/>
      <c r="AS84" s="85" t="str">
        <v>Jabz</v>
      </c>
      <c r="AT84" s="85"/>
      <c r="AU84" s="85"/>
      <c r="AV84" s="85"/>
      <c r="AW84" s="85"/>
      <c r="AX84" s="85" t="str" cm="1">
        <f t="array" ref="AX84">_xlfn.XLOOKUP(
    1,
    (TEXT(player_summary!A7:A225,"@")=TEXT(AS84,"@"))*
    (player_summary!D7:D225="Off Lane"),
    player_summary!B7:B225
)</f>
        <v>Slardar</v>
      </c>
      <c r="AY84" s="85"/>
      <c r="AZ84" s="85"/>
      <c r="BA84" s="85"/>
      <c r="BB84" s="85"/>
      <c r="BC84" s="65"/>
      <c r="BD84" s="93" cm="1">
        <f t="array" ref="BD84">_xlfn.XLOOKUP(1,(player_summary!$A$2:$A$220=AS84&amp;"")*(player_summary!$D$2:$D$220="Off Lane")*(player_summary!$B$2:$B$220=AX84),player_summary!$H$2:$H$220)</f>
        <v>539.55555555555554</v>
      </c>
      <c r="BE84" s="93"/>
      <c r="BF84" s="98" cm="1">
        <f t="array" ref="BF84">_xlfn.XLOOKUP(1,(player_summary!$A$2:$A$220=AS84&amp;"")*(player_summary!$D$2:$D$220="Off Lane")*(player_summary!$B$2:$B$220=AX84),player_summary!$I$2:$I$220)</f>
        <v>745.77777777777783</v>
      </c>
      <c r="BG84" s="98"/>
      <c r="BH84" s="91" cm="1">
        <f t="array" ref="BH84">_xlfn.XLOOKUP(1,(player_summary!$A$2:$A$220=Y84&amp;"")*(player_summary!$D$2:$D$220="Mid")*(player_summary!$B$2:$B$220=AD84),player_summary!$F$2:$F$220)</f>
        <v>0.66666666666666663</v>
      </c>
      <c r="BI84" s="91"/>
      <c r="BJ84" s="85"/>
      <c r="BK84" s="4"/>
    </row>
    <row r="85" spans="3:64" ht="14.4" customHeight="1" x14ac:dyDescent="0.3">
      <c r="C85" s="4"/>
      <c r="D85" s="65"/>
      <c r="E85" s="65"/>
      <c r="F85" s="65"/>
      <c r="G85" s="65"/>
      <c r="H85" s="65"/>
      <c r="I85" s="65"/>
      <c r="J85" s="65"/>
      <c r="K85" s="65"/>
      <c r="L85" s="65"/>
      <c r="M85" s="65"/>
      <c r="N85" s="65"/>
      <c r="O85" s="65"/>
      <c r="P85" s="85"/>
      <c r="Q85" s="85"/>
      <c r="R85" s="85"/>
      <c r="S85" s="85"/>
      <c r="T85" s="85"/>
      <c r="U85" s="85"/>
      <c r="V85" s="85"/>
      <c r="W85" s="88"/>
      <c r="X85" s="85"/>
      <c r="Y85" s="85"/>
      <c r="Z85" s="85"/>
      <c r="AA85" s="85"/>
      <c r="AB85" s="85"/>
      <c r="AC85" s="85"/>
      <c r="AD85" s="85"/>
      <c r="AE85" s="85"/>
      <c r="AF85" s="85"/>
      <c r="AG85" s="85"/>
      <c r="AH85" s="85"/>
      <c r="AI85" s="85"/>
      <c r="AJ85" s="85"/>
      <c r="AK85" s="85"/>
      <c r="AL85" s="85"/>
      <c r="AM85" s="85"/>
      <c r="AN85" s="85"/>
      <c r="AO85" s="85"/>
      <c r="AP85" s="85"/>
      <c r="AQ85" s="88"/>
      <c r="AR85" s="85"/>
      <c r="AS85" s="85"/>
      <c r="AT85" s="85"/>
      <c r="AU85" s="85"/>
      <c r="AV85" s="85"/>
      <c r="AW85" s="85"/>
      <c r="AX85" s="85"/>
      <c r="AY85" s="85"/>
      <c r="AZ85" s="85"/>
      <c r="BA85" s="85"/>
      <c r="BB85" s="85"/>
      <c r="BC85" s="85"/>
      <c r="BD85" s="85"/>
      <c r="BE85" s="85"/>
      <c r="BF85" s="85"/>
      <c r="BG85" s="85"/>
      <c r="BH85" s="85"/>
      <c r="BI85" s="85"/>
      <c r="BJ85" s="85"/>
      <c r="BK85" s="4"/>
    </row>
    <row r="86" spans="3:64" x14ac:dyDescent="0.3">
      <c r="C86" s="4"/>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4"/>
    </row>
    <row r="87" spans="3:64" ht="20.399999999999999" x14ac:dyDescent="0.35">
      <c r="C87" s="12"/>
      <c r="D87" s="66"/>
      <c r="E87" s="66"/>
      <c r="F87" s="66"/>
      <c r="G87" s="66"/>
      <c r="H87" s="66"/>
      <c r="I87" s="66"/>
      <c r="J87" s="66"/>
      <c r="K87" s="66"/>
      <c r="L87" s="66"/>
      <c r="M87" s="66"/>
      <c r="N87" s="81" t="s">
        <v>172</v>
      </c>
      <c r="O87" s="81"/>
      <c r="P87" s="81"/>
      <c r="Q87" s="81"/>
      <c r="R87" s="81"/>
      <c r="S87" s="81"/>
      <c r="T87" s="81"/>
      <c r="U87" s="81"/>
      <c r="V87" s="81"/>
      <c r="W87" s="81"/>
      <c r="X87" s="81"/>
      <c r="Y87" s="81"/>
      <c r="Z87" s="81"/>
      <c r="AA87" s="81"/>
      <c r="AB87" s="81"/>
      <c r="AC87" s="81"/>
      <c r="AD87" s="81"/>
      <c r="AE87" s="81"/>
      <c r="AF87" s="81"/>
      <c r="AG87" s="89"/>
      <c r="AH87" s="81" t="s">
        <v>173</v>
      </c>
      <c r="AI87" s="81"/>
      <c r="AJ87" s="81"/>
      <c r="AK87" s="81"/>
      <c r="AL87" s="81"/>
      <c r="AM87" s="81"/>
      <c r="AN87" s="81"/>
      <c r="AO87" s="81"/>
      <c r="AP87" s="81"/>
      <c r="AQ87" s="81"/>
      <c r="AR87" s="81"/>
      <c r="AS87" s="81"/>
      <c r="AT87" s="81"/>
      <c r="AU87" s="81"/>
      <c r="AV87" s="81"/>
      <c r="AW87" s="81"/>
      <c r="AX87" s="81"/>
      <c r="AY87" s="81"/>
      <c r="AZ87" s="81"/>
      <c r="BA87" s="66"/>
      <c r="BB87" s="66"/>
      <c r="BC87" s="66"/>
      <c r="BD87" s="66"/>
      <c r="BE87" s="66"/>
      <c r="BF87" s="66"/>
      <c r="BG87" s="66"/>
      <c r="BH87" s="66"/>
      <c r="BI87" s="66"/>
      <c r="BJ87" s="66"/>
      <c r="BK87" s="82"/>
      <c r="BL87" s="83"/>
    </row>
    <row r="88" spans="3:64" ht="20.399999999999999" x14ac:dyDescent="0.35">
      <c r="C88" s="12"/>
      <c r="D88" s="66"/>
      <c r="E88" s="66"/>
      <c r="F88" s="66"/>
      <c r="G88" s="66"/>
      <c r="H88" s="66"/>
      <c r="I88" s="66"/>
      <c r="J88" s="66"/>
      <c r="K88" s="66"/>
      <c r="L88" s="66"/>
      <c r="M88" s="66"/>
      <c r="N88" s="81"/>
      <c r="O88" s="81"/>
      <c r="P88" s="81"/>
      <c r="Q88" s="81"/>
      <c r="R88" s="81"/>
      <c r="S88" s="81"/>
      <c r="T88" s="81"/>
      <c r="U88" s="81"/>
      <c r="V88" s="81"/>
      <c r="W88" s="81"/>
      <c r="X88" s="81"/>
      <c r="Y88" s="81"/>
      <c r="Z88" s="81"/>
      <c r="AA88" s="81"/>
      <c r="AB88" s="81"/>
      <c r="AC88" s="81"/>
      <c r="AD88" s="81"/>
      <c r="AE88" s="81"/>
      <c r="AF88" s="81"/>
      <c r="AG88" s="89"/>
      <c r="AH88" s="81"/>
      <c r="AI88" s="81"/>
      <c r="AJ88" s="81"/>
      <c r="AK88" s="81"/>
      <c r="AL88" s="81"/>
      <c r="AM88" s="81"/>
      <c r="AN88" s="81"/>
      <c r="AO88" s="81"/>
      <c r="AP88" s="81"/>
      <c r="AQ88" s="81"/>
      <c r="AR88" s="81"/>
      <c r="AS88" s="81"/>
      <c r="AT88" s="81"/>
      <c r="AU88" s="81"/>
      <c r="AV88" s="81"/>
      <c r="AW88" s="81"/>
      <c r="AX88" s="81"/>
      <c r="AY88" s="81"/>
      <c r="AZ88" s="81"/>
      <c r="BA88" s="66"/>
      <c r="BB88" s="66"/>
      <c r="BC88" s="66"/>
      <c r="BD88" s="66"/>
      <c r="BE88" s="66"/>
      <c r="BF88" s="66"/>
      <c r="BG88" s="66"/>
      <c r="BH88" s="66"/>
      <c r="BI88" s="66"/>
      <c r="BJ88" s="66"/>
      <c r="BK88" s="82"/>
      <c r="BL88" s="83"/>
    </row>
    <row r="89" spans="3:64" ht="14.4" customHeight="1" x14ac:dyDescent="0.3">
      <c r="C89" s="12"/>
      <c r="D89" s="66"/>
      <c r="E89" s="66"/>
      <c r="F89" s="66"/>
      <c r="G89" s="66"/>
      <c r="H89" s="66"/>
      <c r="I89" s="66"/>
      <c r="J89" s="66"/>
      <c r="K89" s="66"/>
      <c r="L89" s="66"/>
      <c r="M89" s="66"/>
      <c r="N89" s="65"/>
      <c r="O89" s="65" t="str" cm="1">
        <f t="array" ref="O89:O94">INDEX(
    _xlfn.SORTBY(
        _xlfn._xlws.FILTER(
            player_summary!A2:A220,
            (player_summary!D2:D220="Soft Support")*
            (player_summary!G2:G220="Yes")
        ),
        _xlfn._xlws.FILTER(
            player_summary!F2:F220,
            (player_summary!D2:D220="Soft Support")*
            (player_summary!G2:G220="Yes")
        ),
        -1
    ),
    _xlfn.SEQUENCE(6)
)</f>
        <v>Save-</v>
      </c>
      <c r="P89" s="65"/>
      <c r="Q89" s="65"/>
      <c r="R89" s="65"/>
      <c r="S89" s="65" t="str" cm="1">
        <f t="array" ref="S89">_xlfn.XLOOKUP(
    1,
    (TEXT(player_summary!A2:A220,"@")=TEXT(O89,"@"))*
    (player_summary!D2:D220="Soft Support"),
    player_summary!B2:B220
)</f>
        <v>Hoodwink</v>
      </c>
      <c r="T89" s="65"/>
      <c r="U89" s="65"/>
      <c r="V89" s="65"/>
      <c r="W89" s="90"/>
      <c r="X89" s="90"/>
      <c r="Y89" s="90"/>
      <c r="Z89" s="94" cm="1">
        <f t="array" ref="Z89">_xlfn.XLOOKUP(1,(player_summary!$A$2:$A$220=O89&amp;"")*(player_summary!$D$2:$D$220="Soft Support")*(player_summary!$B$2:$B$220=S89),player_summary!$H$2:$H$220)</f>
        <v>367.38235294117646</v>
      </c>
      <c r="AA89" s="94"/>
      <c r="AB89" s="98" cm="1">
        <f t="array" ref="AB89">_xlfn.XLOOKUP(1,(player_summary!$A$2:$A$220=O89&amp;"")*(player_summary!$D$2:$D$220="Soft Support")*(player_summary!$B$2:$B$220=S89),player_summary!$I$2:$I$220)</f>
        <v>571.67647058823525</v>
      </c>
      <c r="AC89" s="98"/>
      <c r="AD89" s="92" cm="1">
        <f t="array" ref="AD89">_xlfn.XLOOKUP(1,(player_summary!$A$2:$A$220=O89&amp;"")*(player_summary!$D$2:$D$220="Soft Support")*(player_summary!$B$2:$B$220=S89),player_summary!$F$2:$F$220)</f>
        <v>0.79411764705882348</v>
      </c>
      <c r="AE89" s="92"/>
      <c r="AF89" s="65"/>
      <c r="AG89" s="66"/>
      <c r="AH89" s="65"/>
      <c r="AI89" s="65" t="str" cm="1">
        <f t="array" ref="AI89:AI94">INDEX(
    _xlfn.SORTBY(
        _xlfn._xlws.FILTER(
            player_summary!A2:A220,
            (player_summary!D2:D220="Hard Support")*
            (player_summary!G2:G220="Yes")
        ),
        _xlfn._xlws.FILTER(
            player_summary!F2:F220,
            (player_summary!D2:D220="Hard Support")*
            (player_summary!G2:G220="Yes")
        ),
        -1
    ),
    _xlfn.SEQUENCE(6)
)</f>
        <v>Kataomi`</v>
      </c>
      <c r="AJ89" s="65"/>
      <c r="AK89" s="65"/>
      <c r="AL89" s="65"/>
      <c r="AM89" s="65"/>
      <c r="AN89" s="65" t="str" cm="1">
        <f t="array" ref="AN89">_xlfn.XLOOKUP(
    1,
    (TEXT(player_summary!A2:A220,"@")=TEXT(AI89,"@"))*
    (player_summary!D2:D220="Hard Support"),
    player_summary!B2:B220
)</f>
        <v>Lich</v>
      </c>
      <c r="AO89" s="65"/>
      <c r="AP89" s="65"/>
      <c r="AQ89" s="90"/>
      <c r="AR89" s="90"/>
      <c r="AS89" s="90"/>
      <c r="AT89" s="94" cm="1">
        <f t="array" ref="AT89">_xlfn.XLOOKUP(1,(player_summary!$A$2:$A$220=AI89&amp;"")*(player_summary!$D$2:$D$220="Hard Support")*(player_summary!$B$2:$B$220=AN89),player_summary!$H$2:$H$220)</f>
        <v>362.85294117647061</v>
      </c>
      <c r="AU89" s="94"/>
      <c r="AV89" s="98" cm="1">
        <f t="array" ref="AV89">_xlfn.XLOOKUP(1,(player_summary!$A$2:$A$220=AI89&amp;"")*(player_summary!$D$2:$D$220="Hard Support")*(player_summary!$B$2:$B$220=AN89),player_summary!$I$2:$I$220)</f>
        <v>510.61764705882354</v>
      </c>
      <c r="AW89" s="98"/>
      <c r="AX89" s="92" cm="1">
        <f t="array" ref="AX89">_xlfn.XLOOKUP(1,(player_summary!$A$2:$A$220=AI89&amp;"")*(player_summary!$D$2:$D$220="Hard Support")*(player_summary!$B$2:$B$220=AN89),player_summary!$F$2:$F$220)</f>
        <v>0.79411764705882348</v>
      </c>
      <c r="AY89" s="92"/>
      <c r="AZ89" s="65"/>
      <c r="BA89" s="66"/>
      <c r="BB89" s="66"/>
      <c r="BC89" s="66"/>
      <c r="BD89" s="66"/>
      <c r="BE89" s="66"/>
      <c r="BF89" s="66"/>
      <c r="BG89" s="66"/>
      <c r="BH89" s="66"/>
      <c r="BI89" s="66"/>
      <c r="BJ89" s="66"/>
      <c r="BK89" s="82"/>
      <c r="BL89" s="83"/>
    </row>
    <row r="90" spans="3:64" ht="14.4" customHeight="1" x14ac:dyDescent="0.3">
      <c r="C90" s="12"/>
      <c r="D90" s="66"/>
      <c r="E90" s="66"/>
      <c r="F90" s="66"/>
      <c r="G90" s="66"/>
      <c r="H90" s="66"/>
      <c r="I90" s="66"/>
      <c r="J90" s="66"/>
      <c r="K90" s="66"/>
      <c r="L90" s="66"/>
      <c r="M90" s="66"/>
      <c r="N90" s="65"/>
      <c r="O90" s="65" t="str">
        <v>Varizh</v>
      </c>
      <c r="P90" s="65"/>
      <c r="Q90" s="65"/>
      <c r="R90" s="65"/>
      <c r="S90" s="65" t="str" cm="1">
        <f t="array" ref="S90">_xlfn.XLOOKUP(
    1,
    (TEXT(player_summary!A3:A221,"@")=TEXT(O90,"@"))*
    (player_summary!D3:D221="Soft Support"),
    player_summary!B3:B221
)</f>
        <v>Phoenix</v>
      </c>
      <c r="T90" s="65"/>
      <c r="U90" s="65"/>
      <c r="V90" s="65"/>
      <c r="W90" s="90"/>
      <c r="X90" s="90"/>
      <c r="Y90" s="90"/>
      <c r="Z90" s="94" cm="1">
        <f t="array" ref="Z90">_xlfn.XLOOKUP(1,(player_summary!$A$2:$A$220=O90&amp;"")*(player_summary!$D$2:$D$220="Soft Support")*(player_summary!$B$2:$B$220=S90),player_summary!$H$2:$H$220)</f>
        <v>351.95238095238096</v>
      </c>
      <c r="AA90" s="94"/>
      <c r="AB90" s="98" cm="1">
        <f t="array" ref="AB90">_xlfn.XLOOKUP(1,(player_summary!$A$2:$A$220=O90&amp;"")*(player_summary!$D$2:$D$220="Soft Support")*(player_summary!$B$2:$B$220=S90),player_summary!$I$2:$I$220)</f>
        <v>494</v>
      </c>
      <c r="AC90" s="98"/>
      <c r="AD90" s="92" cm="1">
        <f t="array" ref="AD90">_xlfn.XLOOKUP(1,(player_summary!$A$2:$A$220=O90&amp;"")*(player_summary!$D$2:$D$220="Soft Support")*(player_summary!$B$2:$B$220=S90),player_summary!$F$2:$F$220)</f>
        <v>0.7142857142857143</v>
      </c>
      <c r="AE90" s="92"/>
      <c r="AF90" s="65"/>
      <c r="AG90" s="66"/>
      <c r="AH90" s="65"/>
      <c r="AI90" s="65" t="str">
        <v>Dukalis</v>
      </c>
      <c r="AJ90" s="65"/>
      <c r="AK90" s="65"/>
      <c r="AL90" s="65"/>
      <c r="AM90" s="65"/>
      <c r="AN90" s="65" t="str" cm="1">
        <f t="array" ref="AN90">_xlfn.XLOOKUP(
    1,
    (TEXT(player_summary!A3:A221,"@")=TEXT(AI90,"@"))*
    (player_summary!D3:D221="Hard Support"),
    player_summary!B3:B221
)</f>
        <v>Phoenix</v>
      </c>
      <c r="AO90" s="65"/>
      <c r="AP90" s="65"/>
      <c r="AQ90" s="90"/>
      <c r="AR90" s="90"/>
      <c r="AS90" s="90"/>
      <c r="AT90" s="94" cm="1">
        <f t="array" ref="AT90">_xlfn.XLOOKUP(1,(player_summary!$A$2:$A$220=AI90&amp;"")*(player_summary!$D$2:$D$220="Hard Support")*(player_summary!$B$2:$B$220=AN90),player_summary!$H$2:$H$220)</f>
        <v>359.77419354838707</v>
      </c>
      <c r="AU90" s="94"/>
      <c r="AV90" s="98" cm="1">
        <f t="array" ref="AV90">_xlfn.XLOOKUP(1,(player_summary!$A$2:$A$220=AI90&amp;"")*(player_summary!$D$2:$D$220="Hard Support")*(player_summary!$B$2:$B$220=AN90),player_summary!$I$2:$I$220)</f>
        <v>456.32258064516128</v>
      </c>
      <c r="AW90" s="98"/>
      <c r="AX90" s="92" cm="1">
        <f t="array" ref="AX90">_xlfn.XLOOKUP(1,(player_summary!$A$2:$A$220=AI90&amp;"")*(player_summary!$D$2:$D$220="Hard Support")*(player_summary!$B$2:$B$220=AN90),player_summary!$F$2:$F$220)</f>
        <v>0.74193548387096775</v>
      </c>
      <c r="AY90" s="92"/>
      <c r="AZ90" s="65"/>
      <c r="BA90" s="66"/>
      <c r="BB90" s="66"/>
      <c r="BC90" s="66"/>
      <c r="BD90" s="66"/>
      <c r="BE90" s="66"/>
      <c r="BF90" s="66"/>
      <c r="BG90" s="66"/>
      <c r="BH90" s="66"/>
      <c r="BI90" s="66"/>
      <c r="BJ90" s="66"/>
      <c r="BK90" s="82"/>
      <c r="BL90" s="83"/>
    </row>
    <row r="91" spans="3:64" ht="14.4" customHeight="1" x14ac:dyDescent="0.3">
      <c r="C91" s="12"/>
      <c r="D91" s="66"/>
      <c r="E91" s="66"/>
      <c r="F91" s="66"/>
      <c r="G91" s="66"/>
      <c r="H91" s="66"/>
      <c r="I91" s="66"/>
      <c r="J91" s="66"/>
      <c r="K91" s="66"/>
      <c r="L91" s="66"/>
      <c r="M91" s="66"/>
      <c r="N91" s="65"/>
      <c r="O91" s="65" t="str">
        <v>Carlo</v>
      </c>
      <c r="P91" s="65"/>
      <c r="Q91" s="65"/>
      <c r="R91" s="65"/>
      <c r="S91" s="65" t="str" cm="1">
        <f t="array" ref="S91">_xlfn.XLOOKUP(
    1,
    (TEXT(player_summary!A4:A222,"@")=TEXT(O91,"@"))*
    (player_summary!D4:D222="Soft Support"),
    player_summary!B4:B222
)</f>
        <v>Rubick</v>
      </c>
      <c r="T91" s="65"/>
      <c r="U91" s="65"/>
      <c r="V91" s="65"/>
      <c r="W91" s="90"/>
      <c r="X91" s="90"/>
      <c r="Y91" s="90"/>
      <c r="Z91" s="94" cm="1">
        <f t="array" ref="Z91">_xlfn.XLOOKUP(1,(player_summary!$A$2:$A$220=O91&amp;"")*(player_summary!$D$2:$D$220="Soft Support")*(player_summary!$B$2:$B$220=S91),player_summary!$H$2:$H$220)</f>
        <v>381.8</v>
      </c>
      <c r="AA91" s="94"/>
      <c r="AB91" s="98" cm="1">
        <f t="array" ref="AB91">_xlfn.XLOOKUP(1,(player_summary!$A$2:$A$220=O91&amp;"")*(player_summary!$D$2:$D$220="Soft Support")*(player_summary!$B$2:$B$220=S91),player_summary!$I$2:$I$220)</f>
        <v>515.70000000000005</v>
      </c>
      <c r="AC91" s="98"/>
      <c r="AD91" s="92" cm="1">
        <f t="array" ref="AD91">_xlfn.XLOOKUP(1,(player_summary!$A$2:$A$220=O91&amp;"")*(player_summary!$D$2:$D$220="Soft Support")*(player_summary!$B$2:$B$220=S91),player_summary!$F$2:$F$220)</f>
        <v>0.7</v>
      </c>
      <c r="AE91" s="92"/>
      <c r="AF91" s="65"/>
      <c r="AG91" s="66"/>
      <c r="AH91" s="65"/>
      <c r="AI91" s="65" t="str">
        <v>Se</v>
      </c>
      <c r="AJ91" s="65"/>
      <c r="AK91" s="65"/>
      <c r="AL91" s="65"/>
      <c r="AM91" s="65"/>
      <c r="AN91" s="65" t="str" cm="1">
        <f t="array" ref="AN91">_xlfn.XLOOKUP(
    1,
    (TEXT(player_summary!A4:A222,"@")=TEXT(AI91,"@"))*
    (player_summary!D4:D222="Hard Support"),
    player_summary!B4:B222
)</f>
        <v>Silencer</v>
      </c>
      <c r="AO91" s="65"/>
      <c r="AP91" s="65"/>
      <c r="AQ91" s="90"/>
      <c r="AR91" s="90"/>
      <c r="AS91" s="90"/>
      <c r="AT91" s="94" cm="1">
        <f t="array" ref="AT91">_xlfn.XLOOKUP(1,(player_summary!$A$2:$A$220=AI91&amp;"")*(player_summary!$D$2:$D$220="Hard Support")*(player_summary!$B$2:$B$220=AN91),player_summary!$H$2:$H$220)</f>
        <v>358.30303030303031</v>
      </c>
      <c r="AU91" s="94"/>
      <c r="AV91" s="98" cm="1">
        <f t="array" ref="AV91">_xlfn.XLOOKUP(1,(player_summary!$A$2:$A$220=AI91&amp;"")*(player_summary!$D$2:$D$220="Hard Support")*(player_summary!$B$2:$B$220=AN91),player_summary!$I$2:$I$220)</f>
        <v>489.60606060606062</v>
      </c>
      <c r="AW91" s="98"/>
      <c r="AX91" s="92" cm="1">
        <f t="array" ref="AX91">_xlfn.XLOOKUP(1,(player_summary!$A$2:$A$220=AI91&amp;"")*(player_summary!$D$2:$D$220="Hard Support")*(player_summary!$B$2:$B$220=AN91),player_summary!$F$2:$F$220)</f>
        <v>0.69696969696969702</v>
      </c>
      <c r="AY91" s="92"/>
      <c r="AZ91" s="65"/>
      <c r="BA91" s="66"/>
      <c r="BB91" s="66"/>
      <c r="BC91" s="66"/>
      <c r="BD91" s="66"/>
      <c r="BE91" s="66"/>
      <c r="BF91" s="66"/>
      <c r="BG91" s="66"/>
      <c r="BH91" s="66"/>
      <c r="BI91" s="66"/>
      <c r="BJ91" s="66"/>
      <c r="BK91" s="82"/>
      <c r="BL91" s="83"/>
    </row>
    <row r="92" spans="3:64" x14ac:dyDescent="0.3">
      <c r="C92" s="12"/>
      <c r="D92" s="66"/>
      <c r="E92" s="66"/>
      <c r="F92" s="66"/>
      <c r="G92" s="66"/>
      <c r="H92" s="66"/>
      <c r="I92" s="66"/>
      <c r="J92" s="66"/>
      <c r="K92" s="66"/>
      <c r="L92" s="66"/>
      <c r="M92" s="66"/>
      <c r="N92" s="65"/>
      <c r="O92" s="65" t="str">
        <v>Fernans</v>
      </c>
      <c r="P92" s="65"/>
      <c r="Q92" s="65"/>
      <c r="R92" s="65"/>
      <c r="S92" s="65" t="str" cm="1">
        <f t="array" ref="S92">_xlfn.XLOOKUP(
    1,
    (TEXT(player_summary!A5:A223,"@")=TEXT(O92,"@"))*
    (player_summary!D5:D223="Soft Support"),
    player_summary!B5:B223
)</f>
        <v>Rubick</v>
      </c>
      <c r="T92" s="65"/>
      <c r="U92" s="65"/>
      <c r="V92" s="65"/>
      <c r="W92" s="90"/>
      <c r="X92" s="90"/>
      <c r="Y92" s="90"/>
      <c r="Z92" s="94" cm="1">
        <f t="array" ref="Z92">_xlfn.XLOOKUP(1,(player_summary!$A$2:$A$220=O92&amp;"")*(player_summary!$D$2:$D$220="Soft Support")*(player_summary!$B$2:$B$220=S92),player_summary!$H$2:$H$220)</f>
        <v>348.21212121212119</v>
      </c>
      <c r="AA92" s="94"/>
      <c r="AB92" s="98" cm="1">
        <f t="array" ref="AB92">_xlfn.XLOOKUP(1,(player_summary!$A$2:$A$220=O92&amp;"")*(player_summary!$D$2:$D$220="Soft Support")*(player_summary!$B$2:$B$220=S92),player_summary!$I$2:$I$220)</f>
        <v>519.06060606060601</v>
      </c>
      <c r="AC92" s="98"/>
      <c r="AD92" s="92" cm="1">
        <f t="array" ref="AD92">_xlfn.XLOOKUP(1,(player_summary!$A$2:$A$220=O92&amp;"")*(player_summary!$D$2:$D$220="Soft Support")*(player_summary!$B$2:$B$220=S92),player_summary!$F$2:$F$220)</f>
        <v>0.69696969696969702</v>
      </c>
      <c r="AE92" s="92"/>
      <c r="AF92" s="65"/>
      <c r="AG92" s="66"/>
      <c r="AH92" s="65"/>
      <c r="AI92" s="65" t="str">
        <v>OmaR</v>
      </c>
      <c r="AJ92" s="65"/>
      <c r="AK92" s="65"/>
      <c r="AL92" s="65"/>
      <c r="AM92" s="65"/>
      <c r="AN92" s="65" t="str" cm="1">
        <f t="array" ref="AN92">_xlfn.XLOOKUP(
    1,
    (TEXT(player_summary!A5:A223,"@")=TEXT(AI92,"@"))*
    (player_summary!D5:D223="Hard Support"),
    player_summary!B5:B223
)</f>
        <v>Rubick</v>
      </c>
      <c r="AO92" s="65"/>
      <c r="AP92" s="65"/>
      <c r="AQ92" s="90"/>
      <c r="AR92" s="90"/>
      <c r="AS92" s="90"/>
      <c r="AT92" s="94" cm="1">
        <f t="array" ref="AT92">_xlfn.XLOOKUP(1,(player_summary!$A$2:$A$220=AI92&amp;"")*(player_summary!$D$2:$D$220="Hard Support")*(player_summary!$B$2:$B$220=AN92),player_summary!$H$2:$H$220)</f>
        <v>342.55102040816325</v>
      </c>
      <c r="AU92" s="94"/>
      <c r="AV92" s="98" cm="1">
        <f t="array" ref="AV92">_xlfn.XLOOKUP(1,(player_summary!$A$2:$A$220=AI92&amp;"")*(player_summary!$D$2:$D$220="Hard Support")*(player_summary!$B$2:$B$220=AN92),player_summary!$I$2:$I$220)</f>
        <v>527.36734693877554</v>
      </c>
      <c r="AW92" s="98"/>
      <c r="AX92" s="92" cm="1">
        <f t="array" ref="AX92">_xlfn.XLOOKUP(1,(player_summary!$A$2:$A$220=AI92&amp;"")*(player_summary!$D$2:$D$220="Hard Support")*(player_summary!$B$2:$B$220=AN92),player_summary!$F$2:$F$220)</f>
        <v>0.69387755102040816</v>
      </c>
      <c r="AY92" s="92"/>
      <c r="AZ92" s="65"/>
      <c r="BA92" s="66"/>
      <c r="BB92" s="66"/>
      <c r="BC92" s="66"/>
      <c r="BD92" s="66"/>
      <c r="BE92" s="66"/>
      <c r="BF92" s="66"/>
      <c r="BG92" s="66"/>
      <c r="BH92" s="66"/>
      <c r="BI92" s="66"/>
      <c r="BJ92" s="66"/>
      <c r="BK92" s="82"/>
      <c r="BL92" s="83"/>
    </row>
    <row r="93" spans="3:64" x14ac:dyDescent="0.3">
      <c r="C93" s="12"/>
      <c r="D93" s="66"/>
      <c r="E93" s="66"/>
      <c r="F93" s="66"/>
      <c r="G93" s="66"/>
      <c r="H93" s="66"/>
      <c r="I93" s="66"/>
      <c r="J93" s="66"/>
      <c r="K93" s="66"/>
      <c r="L93" s="66"/>
      <c r="M93" s="66"/>
      <c r="N93" s="65"/>
      <c r="O93" s="65" t="str">
        <v>GH</v>
      </c>
      <c r="P93" s="65"/>
      <c r="Q93" s="65"/>
      <c r="R93" s="65"/>
      <c r="S93" s="65" t="str" cm="1">
        <f t="array" ref="S93">_xlfn.XLOOKUP(
    1,
    (TEXT(player_summary!A6:A224,"@")=TEXT(O93,"@"))*
    (player_summary!D6:D224="Soft Support"),
    player_summary!B6:B224
)</f>
        <v>Phoenix</v>
      </c>
      <c r="T93" s="65"/>
      <c r="U93" s="65"/>
      <c r="V93" s="65"/>
      <c r="W93" s="90"/>
      <c r="X93" s="90"/>
      <c r="Y93" s="90"/>
      <c r="Z93" s="94" cm="1">
        <f t="array" ref="Z93">_xlfn.XLOOKUP(1,(player_summary!$A$2:$A$220=O93&amp;"")*(player_summary!$D$2:$D$220="Soft Support")*(player_summary!$B$2:$B$220=S93),player_summary!$H$2:$H$220)</f>
        <v>360.24489795918367</v>
      </c>
      <c r="AA93" s="94"/>
      <c r="AB93" s="98" cm="1">
        <f t="array" ref="AB93">_xlfn.XLOOKUP(1,(player_summary!$A$2:$A$220=O93&amp;"")*(player_summary!$D$2:$D$220="Soft Support")*(player_summary!$B$2:$B$220=S93),player_summary!$I$2:$I$220)</f>
        <v>488.0204081632653</v>
      </c>
      <c r="AC93" s="98"/>
      <c r="AD93" s="92" cm="1">
        <f t="array" ref="AD93">_xlfn.XLOOKUP(1,(player_summary!$A$2:$A$220=O93&amp;"")*(player_summary!$D$2:$D$220="Soft Support")*(player_summary!$B$2:$B$220=S93),player_summary!$F$2:$F$220)</f>
        <v>0.69387755102040816</v>
      </c>
      <c r="AE93" s="92"/>
      <c r="AF93" s="65"/>
      <c r="AG93" s="66"/>
      <c r="AH93" s="65"/>
      <c r="AI93" s="65" t="str">
        <v>Kiri &lt;</v>
      </c>
      <c r="AJ93" s="65"/>
      <c r="AK93" s="65"/>
      <c r="AL93" s="65"/>
      <c r="AM93" s="65"/>
      <c r="AN93" s="65" t="str" cm="1">
        <f t="array" ref="AN93">_xlfn.XLOOKUP(
    1,
    (TEXT(player_summary!A6:A224,"@")=TEXT(AI93,"@"))*
    (player_summary!D6:D224="Hard Support"),
    player_summary!B6:B224
)</f>
        <v>Rubick</v>
      </c>
      <c r="AO93" s="65"/>
      <c r="AP93" s="65"/>
      <c r="AQ93" s="90"/>
      <c r="AR93" s="90"/>
      <c r="AS93" s="90"/>
      <c r="AT93" s="94" cm="1">
        <f t="array" ref="AT93">_xlfn.XLOOKUP(1,(player_summary!$A$2:$A$220=AI93&amp;"")*(player_summary!$D$2:$D$220="Hard Support")*(player_summary!$B$2:$B$220=AN93),player_summary!$H$2:$H$220)</f>
        <v>381.11111111111109</v>
      </c>
      <c r="AU93" s="94"/>
      <c r="AV93" s="98" cm="1">
        <f t="array" ref="AV93">_xlfn.XLOOKUP(1,(player_summary!$A$2:$A$220=AI93&amp;"")*(player_summary!$D$2:$D$220="Hard Support")*(player_summary!$B$2:$B$220=AN93),player_summary!$I$2:$I$220)</f>
        <v>511.05555555555554</v>
      </c>
      <c r="AW93" s="98"/>
      <c r="AX93" s="92" cm="1">
        <f t="array" ref="AX93">_xlfn.XLOOKUP(1,(player_summary!$A$2:$A$220=AI93&amp;"")*(player_summary!$D$2:$D$220="Hard Support")*(player_summary!$B$2:$B$220=AN93),player_summary!$F$2:$F$220)</f>
        <v>0.66666666666666663</v>
      </c>
      <c r="AY93" s="92"/>
      <c r="AZ93" s="65"/>
      <c r="BA93" s="66"/>
      <c r="BB93" s="66"/>
      <c r="BC93" s="66"/>
      <c r="BD93" s="66"/>
      <c r="BE93" s="66"/>
      <c r="BF93" s="66"/>
      <c r="BG93" s="66"/>
      <c r="BH93" s="66"/>
      <c r="BI93" s="66"/>
      <c r="BJ93" s="66"/>
      <c r="BK93" s="82"/>
      <c r="BL93" s="83"/>
    </row>
    <row r="94" spans="3:64" x14ac:dyDescent="0.3">
      <c r="C94" s="12"/>
      <c r="D94" s="66"/>
      <c r="E94" s="66"/>
      <c r="F94" s="66"/>
      <c r="G94" s="66"/>
      <c r="H94" s="66"/>
      <c r="I94" s="66"/>
      <c r="J94" s="66"/>
      <c r="K94" s="66"/>
      <c r="L94" s="66"/>
      <c r="M94" s="66"/>
      <c r="N94" s="65"/>
      <c r="O94" s="65" t="str">
        <v>not me</v>
      </c>
      <c r="P94" s="65"/>
      <c r="Q94" s="65"/>
      <c r="R94" s="65"/>
      <c r="S94" s="65" t="str" cm="1">
        <f t="array" ref="S94">_xlfn.XLOOKUP(
    1,
    (TEXT(player_summary!A7:A225,"@")=TEXT(O94,"@"))*
    (player_summary!D7:D225="Soft Support"),
    player_summary!B7:B225
)</f>
        <v>Hoodwink</v>
      </c>
      <c r="T94" s="65"/>
      <c r="U94" s="65"/>
      <c r="V94" s="65"/>
      <c r="W94" s="90"/>
      <c r="X94" s="90"/>
      <c r="Y94" s="90"/>
      <c r="Z94" s="94" cm="1">
        <f t="array" ref="Z94">_xlfn.XLOOKUP(1,(player_summary!$A$2:$A$220=O94&amp;"")*(player_summary!$D$2:$D$220="Soft Support")*(player_summary!$B$2:$B$220=S94),player_summary!$H$2:$H$220)</f>
        <v>362.10344827586209</v>
      </c>
      <c r="AA94" s="94"/>
      <c r="AB94" s="98" cm="1">
        <f t="array" ref="AB94">_xlfn.XLOOKUP(1,(player_summary!$A$2:$A$220=O94&amp;"")*(player_summary!$D$2:$D$220="Soft Support")*(player_summary!$B$2:$B$220=S94),player_summary!$I$2:$I$220)</f>
        <v>507.27586206896552</v>
      </c>
      <c r="AC94" s="98"/>
      <c r="AD94" s="92" cm="1">
        <f t="array" ref="AD94">_xlfn.XLOOKUP(1,(player_summary!$A$2:$A$220=O94&amp;"")*(player_summary!$D$2:$D$220="Soft Support")*(player_summary!$B$2:$B$220=S94),player_summary!$F$2:$F$220)</f>
        <v>0.68965517241379315</v>
      </c>
      <c r="AE94" s="92"/>
      <c r="AF94" s="65"/>
      <c r="AG94" s="66"/>
      <c r="AH94" s="65"/>
      <c r="AI94" s="65" t="str">
        <v>xNova</v>
      </c>
      <c r="AJ94" s="65"/>
      <c r="AK94" s="65"/>
      <c r="AL94" s="65"/>
      <c r="AM94" s="65"/>
      <c r="AN94" s="65" t="str" cm="1">
        <f t="array" ref="AN94">_xlfn.XLOOKUP(
    1,
    (TEXT(player_summary!A7:A225,"@")=TEXT(AI94,"@"))*
    (player_summary!D7:D225="Hard Support"),
    player_summary!B7:B225
)</f>
        <v>Phoenix</v>
      </c>
      <c r="AO94" s="65"/>
      <c r="AP94" s="65"/>
      <c r="AQ94" s="90"/>
      <c r="AR94" s="90"/>
      <c r="AS94" s="90"/>
      <c r="AT94" s="94" cm="1">
        <f t="array" ref="AT94">_xlfn.XLOOKUP(1,(player_summary!$A$2:$A$220=AI94&amp;"")*(player_summary!$D$2:$D$220="Hard Support")*(player_summary!$B$2:$B$220=AN94),player_summary!$H$2:$H$220)</f>
        <v>337.83333333333331</v>
      </c>
      <c r="AU94" s="94"/>
      <c r="AV94" s="98" cm="1">
        <f t="array" ref="AV94">_xlfn.XLOOKUP(1,(player_summary!$A$2:$A$220=AI94&amp;"")*(player_summary!$D$2:$D$220="Hard Support")*(player_summary!$B$2:$B$220=AN94),player_summary!$I$2:$I$220)</f>
        <v>459.44444444444446</v>
      </c>
      <c r="AW94" s="98"/>
      <c r="AX94" s="92" cm="1">
        <f t="array" ref="AX94">_xlfn.XLOOKUP(1,(player_summary!$A$2:$A$220=AI94&amp;"")*(player_summary!$D$2:$D$220="Hard Support")*(player_summary!$B$2:$B$220=AN94),player_summary!$F$2:$F$220)</f>
        <v>0.66666666666666663</v>
      </c>
      <c r="AY94" s="92"/>
      <c r="AZ94" s="65"/>
      <c r="BA94" s="66"/>
      <c r="BB94" s="66"/>
      <c r="BC94" s="66"/>
      <c r="BD94" s="66"/>
      <c r="BE94" s="66"/>
      <c r="BF94" s="66"/>
      <c r="BG94" s="66"/>
      <c r="BH94" s="66"/>
      <c r="BI94" s="66"/>
      <c r="BJ94" s="66"/>
      <c r="BK94" s="82"/>
      <c r="BL94" s="83"/>
    </row>
    <row r="95" spans="3:64" x14ac:dyDescent="0.3">
      <c r="C95" s="12"/>
      <c r="D95" s="66"/>
      <c r="E95" s="66"/>
      <c r="F95" s="66"/>
      <c r="G95" s="66"/>
      <c r="H95" s="66"/>
      <c r="I95" s="66"/>
      <c r="J95" s="66"/>
      <c r="K95" s="66"/>
      <c r="L95" s="66"/>
      <c r="M95" s="66"/>
      <c r="N95" s="65"/>
      <c r="O95" s="65"/>
      <c r="P95" s="65"/>
      <c r="Q95" s="65"/>
      <c r="R95" s="65"/>
      <c r="S95" s="65"/>
      <c r="T95" s="65"/>
      <c r="U95" s="65"/>
      <c r="V95" s="65"/>
      <c r="W95" s="65"/>
      <c r="X95" s="65"/>
      <c r="Y95" s="65"/>
      <c r="Z95" s="65"/>
      <c r="AA95" s="65"/>
      <c r="AB95" s="65"/>
      <c r="AC95" s="65"/>
      <c r="AD95" s="65"/>
      <c r="AE95" s="65"/>
      <c r="AF95" s="65"/>
      <c r="AG95" s="66"/>
      <c r="AH95" s="65"/>
      <c r="AI95" s="65"/>
      <c r="AJ95" s="65"/>
      <c r="AK95" s="65"/>
      <c r="AL95" s="65"/>
      <c r="AM95" s="65"/>
      <c r="AN95" s="65"/>
      <c r="AO95" s="65"/>
      <c r="AP95" s="65"/>
      <c r="AQ95" s="65"/>
      <c r="AR95" s="65"/>
      <c r="AS95" s="65"/>
      <c r="AT95" s="65"/>
      <c r="AU95" s="65"/>
      <c r="AV95" s="65"/>
      <c r="AW95" s="65"/>
      <c r="AX95" s="65"/>
      <c r="AY95" s="65"/>
      <c r="AZ95" s="65"/>
      <c r="BA95" s="66"/>
      <c r="BB95" s="66"/>
      <c r="BC95" s="66"/>
      <c r="BD95" s="66"/>
      <c r="BE95" s="66"/>
      <c r="BF95" s="66"/>
      <c r="BG95" s="66"/>
      <c r="BH95" s="66"/>
      <c r="BI95" s="66"/>
      <c r="BJ95" s="66"/>
      <c r="BK95" s="12"/>
    </row>
    <row r="96" spans="3:64" x14ac:dyDescent="0.3">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row>
    <row r="97" spans="3:63" x14ac:dyDescent="0.3">
      <c r="C97" s="63"/>
      <c r="D97" s="63"/>
      <c r="E97" s="63"/>
      <c r="F97" s="63"/>
      <c r="G97" s="63"/>
      <c r="H97" s="63"/>
      <c r="I97" s="63"/>
      <c r="J97" s="63"/>
      <c r="K97" s="97"/>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row>
    <row r="98" spans="3:63" x14ac:dyDescent="0.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row>
    <row r="99" spans="3:63" x14ac:dyDescent="0.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row>
    <row r="100" spans="3:63" x14ac:dyDescent="0.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c r="AA100" s="63"/>
      <c r="AB100" s="63"/>
      <c r="AC100" s="63"/>
      <c r="AD100" s="63"/>
      <c r="AE100" s="63"/>
      <c r="AF100" s="63"/>
      <c r="AG100" s="63"/>
      <c r="AH100" s="63"/>
      <c r="AI100" s="63"/>
      <c r="AJ100" s="63"/>
      <c r="AK100" s="63"/>
      <c r="AL100" s="63"/>
      <c r="AM100" s="63"/>
      <c r="AN100" s="63"/>
      <c r="AO100" s="63"/>
      <c r="AP100" s="63"/>
      <c r="AQ100" s="63"/>
      <c r="AR100" s="63"/>
      <c r="AS100" s="63"/>
      <c r="AT100" s="63"/>
      <c r="AU100" s="63"/>
      <c r="AV100" s="63"/>
      <c r="AW100" s="63"/>
      <c r="AX100" s="63"/>
      <c r="AY100" s="63"/>
      <c r="AZ100" s="63"/>
      <c r="BA100" s="63"/>
      <c r="BB100" s="63"/>
      <c r="BC100" s="63"/>
      <c r="BD100" s="63"/>
      <c r="BE100" s="63"/>
      <c r="BF100" s="63"/>
      <c r="BG100" s="63"/>
      <c r="BH100" s="63"/>
      <c r="BI100" s="63"/>
      <c r="BJ100" s="63"/>
      <c r="BK100" s="63"/>
    </row>
    <row r="101" spans="3:63" x14ac:dyDescent="0.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c r="AA101" s="63"/>
      <c r="AB101" s="63"/>
      <c r="AC101" s="63"/>
      <c r="AD101" s="63"/>
      <c r="AE101" s="63"/>
      <c r="AF101" s="63"/>
      <c r="AG101" s="63"/>
      <c r="AH101" s="63"/>
      <c r="AI101" s="63"/>
      <c r="AJ101" s="63"/>
      <c r="AK101" s="63"/>
      <c r="AL101" s="63"/>
      <c r="AM101" s="63"/>
      <c r="AN101" s="63"/>
      <c r="AO101" s="63"/>
      <c r="AP101" s="63"/>
      <c r="AQ101" s="63"/>
      <c r="AR101" s="63"/>
      <c r="AS101" s="63"/>
      <c r="AT101" s="63"/>
      <c r="AU101" s="63"/>
      <c r="AV101" s="63"/>
      <c r="AW101" s="63"/>
      <c r="AX101" s="63"/>
      <c r="AY101" s="63"/>
      <c r="AZ101" s="63"/>
      <c r="BA101" s="63"/>
      <c r="BB101" s="63"/>
      <c r="BC101" s="63"/>
      <c r="BD101" s="63"/>
      <c r="BE101" s="63"/>
      <c r="BF101" s="63"/>
      <c r="BG101" s="63"/>
      <c r="BH101" s="63"/>
      <c r="BI101" s="63"/>
      <c r="BJ101" s="63"/>
      <c r="BK101" s="63"/>
    </row>
    <row r="102" spans="3:63" x14ac:dyDescent="0.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63"/>
      <c r="BA102" s="63"/>
      <c r="BB102" s="63"/>
      <c r="BC102" s="63"/>
      <c r="BD102" s="63"/>
      <c r="BE102" s="63"/>
      <c r="BF102" s="63"/>
      <c r="BG102" s="63"/>
      <c r="BH102" s="63"/>
      <c r="BI102" s="63"/>
      <c r="BJ102" s="63"/>
      <c r="BK102" s="63"/>
    </row>
    <row r="103" spans="3:63" x14ac:dyDescent="0.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63"/>
      <c r="BA103" s="63"/>
      <c r="BB103" s="63"/>
      <c r="BC103" s="63"/>
      <c r="BD103" s="63"/>
      <c r="BE103" s="63"/>
      <c r="BF103" s="63"/>
      <c r="BG103" s="63"/>
      <c r="BH103" s="63"/>
      <c r="BI103" s="63"/>
      <c r="BJ103" s="63"/>
      <c r="BK103" s="63"/>
    </row>
    <row r="104" spans="3:63" x14ac:dyDescent="0.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c r="AA104" s="63"/>
      <c r="AB104" s="63"/>
      <c r="AC104" s="63"/>
      <c r="AD104" s="63"/>
      <c r="AE104" s="63"/>
      <c r="AF104" s="63"/>
      <c r="AG104" s="63"/>
      <c r="AH104" s="63"/>
      <c r="AI104" s="63"/>
      <c r="AJ104" s="63"/>
      <c r="AK104" s="63"/>
      <c r="AL104" s="63"/>
      <c r="AM104" s="63"/>
      <c r="AN104" s="63"/>
      <c r="AO104" s="63"/>
      <c r="AP104" s="63"/>
      <c r="AQ104" s="63"/>
      <c r="AR104" s="63"/>
      <c r="AS104" s="63"/>
      <c r="AT104" s="63"/>
      <c r="AU104" s="63"/>
      <c r="AV104" s="63"/>
      <c r="AW104" s="63"/>
      <c r="AX104" s="63"/>
      <c r="AY104" s="63"/>
      <c r="AZ104" s="63"/>
      <c r="BA104" s="63"/>
      <c r="BB104" s="63"/>
      <c r="BC104" s="63"/>
      <c r="BD104" s="63"/>
      <c r="BE104" s="63"/>
      <c r="BF104" s="63"/>
      <c r="BG104" s="63"/>
      <c r="BH104" s="63"/>
      <c r="BI104" s="63"/>
      <c r="BJ104" s="63"/>
      <c r="BK104" s="63"/>
    </row>
    <row r="105" spans="3:63" x14ac:dyDescent="0.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63"/>
      <c r="BA105" s="63"/>
      <c r="BB105" s="63"/>
      <c r="BC105" s="63"/>
      <c r="BD105" s="63"/>
      <c r="BE105" s="63"/>
      <c r="BF105" s="63"/>
      <c r="BG105" s="63"/>
      <c r="BH105" s="63"/>
      <c r="BI105" s="63"/>
      <c r="BJ105" s="63"/>
      <c r="BK105" s="63"/>
    </row>
    <row r="106" spans="3:63" x14ac:dyDescent="0.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row>
    <row r="107" spans="3:63" x14ac:dyDescent="0.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63"/>
      <c r="BA107" s="63"/>
      <c r="BB107" s="63"/>
      <c r="BC107" s="63"/>
      <c r="BD107" s="63"/>
      <c r="BE107" s="63"/>
      <c r="BF107" s="63"/>
      <c r="BG107" s="63"/>
      <c r="BH107" s="63"/>
      <c r="BI107" s="63"/>
      <c r="BJ107" s="63"/>
      <c r="BK107" s="63"/>
    </row>
    <row r="108" spans="3:63" x14ac:dyDescent="0.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3"/>
      <c r="AU108" s="63"/>
      <c r="AV108" s="63"/>
      <c r="AW108" s="63"/>
      <c r="AX108" s="63"/>
      <c r="AY108" s="63"/>
      <c r="AZ108" s="63"/>
      <c r="BA108" s="63"/>
      <c r="BB108" s="63"/>
      <c r="BC108" s="63"/>
      <c r="BD108" s="63"/>
      <c r="BE108" s="63"/>
      <c r="BF108" s="63"/>
      <c r="BG108" s="63"/>
      <c r="BH108" s="63"/>
      <c r="BI108" s="63"/>
      <c r="BJ108" s="63"/>
      <c r="BK108" s="63"/>
    </row>
    <row r="109" spans="3:63" x14ac:dyDescent="0.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63"/>
      <c r="BA109" s="63"/>
      <c r="BB109" s="63"/>
      <c r="BC109" s="63"/>
      <c r="BD109" s="63"/>
      <c r="BE109" s="63"/>
      <c r="BF109" s="63"/>
      <c r="BG109" s="63"/>
      <c r="BH109" s="63"/>
      <c r="BI109" s="63"/>
      <c r="BJ109" s="63"/>
      <c r="BK109" s="63"/>
    </row>
    <row r="110" spans="3:63" x14ac:dyDescent="0.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row>
    <row r="111" spans="3:63" x14ac:dyDescent="0.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3"/>
      <c r="AU111" s="63"/>
      <c r="AV111" s="63"/>
      <c r="AW111" s="63"/>
      <c r="AX111" s="63"/>
      <c r="AY111" s="63"/>
      <c r="AZ111" s="63"/>
      <c r="BA111" s="63"/>
      <c r="BB111" s="63"/>
      <c r="BC111" s="63"/>
      <c r="BD111" s="63"/>
      <c r="BE111" s="63"/>
      <c r="BF111" s="63"/>
      <c r="BG111" s="63"/>
      <c r="BH111" s="63"/>
      <c r="BI111" s="63"/>
      <c r="BJ111" s="63"/>
      <c r="BK111" s="63"/>
    </row>
  </sheetData>
  <mergeCells count="179">
    <mergeCell ref="AB89:AC89"/>
    <mergeCell ref="AB90:AC90"/>
    <mergeCell ref="AB91:AC91"/>
    <mergeCell ref="AB92:AC92"/>
    <mergeCell ref="AB93:AC93"/>
    <mergeCell ref="AB94:AC94"/>
    <mergeCell ref="AV89:AW89"/>
    <mergeCell ref="AV90:AW90"/>
    <mergeCell ref="AV91:AW91"/>
    <mergeCell ref="AV92:AW92"/>
    <mergeCell ref="AV93:AW93"/>
    <mergeCell ref="AV94:AW94"/>
    <mergeCell ref="AX89:AY89"/>
    <mergeCell ref="AX90:AY90"/>
    <mergeCell ref="AX91:AY91"/>
    <mergeCell ref="AX92:AY92"/>
    <mergeCell ref="AX93:AY93"/>
    <mergeCell ref="AX94:AY94"/>
    <mergeCell ref="R79:S79"/>
    <mergeCell ref="R80:S80"/>
    <mergeCell ref="R81:S81"/>
    <mergeCell ref="R82:S82"/>
    <mergeCell ref="R83:S83"/>
    <mergeCell ref="R84:S84"/>
    <mergeCell ref="AL79:AM79"/>
    <mergeCell ref="AL80:AM80"/>
    <mergeCell ref="AL81:AM81"/>
    <mergeCell ref="AL82:AM82"/>
    <mergeCell ref="AL83:AM83"/>
    <mergeCell ref="AL84:AM84"/>
    <mergeCell ref="AN79:AO79"/>
    <mergeCell ref="AN80:AO80"/>
    <mergeCell ref="AN81:AO81"/>
    <mergeCell ref="AN82:AO82"/>
    <mergeCell ref="AN83:AO83"/>
    <mergeCell ref="AN84:AO84"/>
    <mergeCell ref="BH79:BI79"/>
    <mergeCell ref="BH80:BI80"/>
    <mergeCell ref="BH81:BI81"/>
    <mergeCell ref="BH82:BI82"/>
    <mergeCell ref="BH83:BI83"/>
    <mergeCell ref="BH84:BI84"/>
    <mergeCell ref="BF79:BG79"/>
    <mergeCell ref="BF80:BG80"/>
    <mergeCell ref="BF81:BG81"/>
    <mergeCell ref="BF82:BG82"/>
    <mergeCell ref="BF83:BG83"/>
    <mergeCell ref="BF84:BG84"/>
    <mergeCell ref="V47:W47"/>
    <mergeCell ref="V48:W48"/>
    <mergeCell ref="BF47:BG47"/>
    <mergeCell ref="BF48:BG48"/>
    <mergeCell ref="AV47:AW47"/>
    <mergeCell ref="D73:BJ74"/>
    <mergeCell ref="D75:BJ75"/>
    <mergeCell ref="H4:AO6"/>
    <mergeCell ref="C8:AH8"/>
    <mergeCell ref="D17:AF18"/>
    <mergeCell ref="AS11:BH11"/>
    <mergeCell ref="AS12:BH13"/>
    <mergeCell ref="AS14:BH14"/>
    <mergeCell ref="D11:U11"/>
    <mergeCell ref="D12:U13"/>
    <mergeCell ref="D14:U14"/>
    <mergeCell ref="Y11:AO11"/>
    <mergeCell ref="Y12:AO13"/>
    <mergeCell ref="Y14:AO14"/>
    <mergeCell ref="AI17:BH18"/>
    <mergeCell ref="AB42:AL43"/>
    <mergeCell ref="AN42:AX43"/>
    <mergeCell ref="AZ42:BJ43"/>
    <mergeCell ref="D38:BJ39"/>
    <mergeCell ref="AT44:AU44"/>
    <mergeCell ref="AT45:AU45"/>
    <mergeCell ref="AT46:AU46"/>
    <mergeCell ref="AT47:AU47"/>
    <mergeCell ref="AT48:AU48"/>
    <mergeCell ref="D40:BJ40"/>
    <mergeCell ref="J49:K49"/>
    <mergeCell ref="L48:M48"/>
    <mergeCell ref="L49:M49"/>
    <mergeCell ref="D42:N43"/>
    <mergeCell ref="P42:Z43"/>
    <mergeCell ref="J44:K44"/>
    <mergeCell ref="J45:K45"/>
    <mergeCell ref="J46:K46"/>
    <mergeCell ref="J47:K47"/>
    <mergeCell ref="J48:K48"/>
    <mergeCell ref="V49:W49"/>
    <mergeCell ref="L44:M44"/>
    <mergeCell ref="L45:M45"/>
    <mergeCell ref="L46:M46"/>
    <mergeCell ref="L47:M47"/>
    <mergeCell ref="V44:W44"/>
    <mergeCell ref="V45:W45"/>
    <mergeCell ref="V46:W46"/>
    <mergeCell ref="AJ44:AK44"/>
    <mergeCell ref="AJ45:AK45"/>
    <mergeCell ref="AJ46:AK46"/>
    <mergeCell ref="AJ47:AK47"/>
    <mergeCell ref="AJ48:AK48"/>
    <mergeCell ref="AJ49:AK49"/>
    <mergeCell ref="X44:Y44"/>
    <mergeCell ref="X45:Y45"/>
    <mergeCell ref="X46:Y46"/>
    <mergeCell ref="X47:Y47"/>
    <mergeCell ref="X48:Y48"/>
    <mergeCell ref="AH49:AI49"/>
    <mergeCell ref="AH44:AI44"/>
    <mergeCell ref="AH45:AI45"/>
    <mergeCell ref="AH46:AI46"/>
    <mergeCell ref="AH47:AI47"/>
    <mergeCell ref="AH48:AI48"/>
    <mergeCell ref="BH44:BI44"/>
    <mergeCell ref="BH45:BI45"/>
    <mergeCell ref="BH46:BI46"/>
    <mergeCell ref="BH47:BI47"/>
    <mergeCell ref="BH48:BI48"/>
    <mergeCell ref="BH49:BI49"/>
    <mergeCell ref="BF49:BG49"/>
    <mergeCell ref="AV44:AW44"/>
    <mergeCell ref="AV45:AW45"/>
    <mergeCell ref="AV46:AW46"/>
    <mergeCell ref="BF44:BG44"/>
    <mergeCell ref="BF45:BG45"/>
    <mergeCell ref="BF46:BG46"/>
    <mergeCell ref="AV48:AW48"/>
    <mergeCell ref="D77:V78"/>
    <mergeCell ref="X77:AP78"/>
    <mergeCell ref="AR77:BJ78"/>
    <mergeCell ref="N87:AF88"/>
    <mergeCell ref="AH87:AZ88"/>
    <mergeCell ref="AJ79:AK79"/>
    <mergeCell ref="D53:AF54"/>
    <mergeCell ref="AI53:BH54"/>
    <mergeCell ref="AV49:AW49"/>
    <mergeCell ref="X49:Y49"/>
    <mergeCell ref="AT49:AU49"/>
    <mergeCell ref="AJ80:AK80"/>
    <mergeCell ref="AJ81:AK81"/>
    <mergeCell ref="BD79:BE79"/>
    <mergeCell ref="BD80:BE80"/>
    <mergeCell ref="BD81:BE81"/>
    <mergeCell ref="AJ82:AK82"/>
    <mergeCell ref="AJ83:AK83"/>
    <mergeCell ref="AJ84:AK84"/>
    <mergeCell ref="BD82:BE82"/>
    <mergeCell ref="BD83:BE83"/>
    <mergeCell ref="BD84:BE84"/>
    <mergeCell ref="T79:U79"/>
    <mergeCell ref="T80:U80"/>
    <mergeCell ref="Z92:AA92"/>
    <mergeCell ref="Z93:AA93"/>
    <mergeCell ref="Z94:AA94"/>
    <mergeCell ref="AT89:AU89"/>
    <mergeCell ref="AT90:AU90"/>
    <mergeCell ref="AT91:AU91"/>
    <mergeCell ref="AT92:AU92"/>
    <mergeCell ref="AT94:AU94"/>
    <mergeCell ref="AT93:AU93"/>
    <mergeCell ref="AD89:AE89"/>
    <mergeCell ref="AD90:AE90"/>
    <mergeCell ref="AD91:AE91"/>
    <mergeCell ref="AD92:AE92"/>
    <mergeCell ref="AD93:AE93"/>
    <mergeCell ref="AD94:AE94"/>
    <mergeCell ref="P79:Q79"/>
    <mergeCell ref="P80:Q80"/>
    <mergeCell ref="P81:Q81"/>
    <mergeCell ref="P82:Q82"/>
    <mergeCell ref="P83:Q83"/>
    <mergeCell ref="P84:Q84"/>
    <mergeCell ref="Z89:AA89"/>
    <mergeCell ref="Z90:AA90"/>
    <mergeCell ref="Z91:AA91"/>
    <mergeCell ref="T81:U81"/>
    <mergeCell ref="T82:U82"/>
    <mergeCell ref="T83:U83"/>
    <mergeCell ref="T84:U84"/>
  </mergeCells>
  <conditionalFormatting sqref="L44:M49 X44:Y49 AJ44:AK49 AV44:AW49 BH44:BI49">
    <cfRule type="containsText" dxfId="18" priority="4" operator="containsText" text="A">
      <formula>NOT(ISERROR(SEARCH("A",L44)))</formula>
    </cfRule>
    <cfRule type="containsText" dxfId="17" priority="5" operator="containsText" text="S">
      <formula>NOT(ISERROR(SEARCH("S",L44)))</formula>
    </cfRule>
  </conditionalFormatting>
  <conditionalFormatting sqref="L47:M49">
    <cfRule type="cellIs" dxfId="16" priority="6" operator="between">
      <formula>"S"</formula>
      <formula>"D"</formula>
    </cfRule>
  </conditionalFormatting>
  <conditionalFormatting sqref="L79:M84">
    <cfRule type="containsText" dxfId="15" priority="1" operator="containsText" text="A">
      <formula>NOT(ISERROR(SEARCH("A",L79)))</formula>
    </cfRule>
    <cfRule type="containsText" dxfId="14" priority="2" operator="containsText" text="S">
      <formula>NOT(ISERROR(SEARCH("S",L79)))</formula>
    </cfRule>
  </conditionalFormatting>
  <conditionalFormatting sqref="L82:M84">
    <cfRule type="cellIs" dxfId="13" priority="3" operator="between">
      <formula>"S"</formula>
      <formula>"D"</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9204-7559-4D7A-A7AA-B570E1D3C40B}">
  <dimension ref="A1:I220"/>
  <sheetViews>
    <sheetView workbookViewId="0">
      <selection activeCell="L4" sqref="L4"/>
    </sheetView>
  </sheetViews>
  <sheetFormatPr defaultRowHeight="14.4" x14ac:dyDescent="0.3"/>
  <cols>
    <col min="1" max="1" width="25" customWidth="1"/>
    <col min="2" max="2" width="16.44140625" bestFit="1" customWidth="1"/>
    <col min="3" max="3" width="14.109375" customWidth="1"/>
    <col min="4" max="4" width="11.6640625" bestFit="1" customWidth="1"/>
    <col min="5" max="5" width="12.109375" customWidth="1"/>
    <col min="6" max="7" width="10.21875" customWidth="1"/>
    <col min="8" max="8" width="10.6640625" customWidth="1"/>
    <col min="9" max="9" width="10.5546875" customWidth="1"/>
  </cols>
  <sheetData>
    <row r="1" spans="1:9" x14ac:dyDescent="0.3">
      <c r="A1" s="21" t="s">
        <v>438</v>
      </c>
      <c r="B1" s="16" t="s">
        <v>439</v>
      </c>
      <c r="C1" s="16" t="s">
        <v>176</v>
      </c>
      <c r="D1" s="16" t="s">
        <v>440</v>
      </c>
      <c r="E1" s="16" t="s">
        <v>13</v>
      </c>
      <c r="F1" s="16" t="s">
        <v>14</v>
      </c>
      <c r="G1" s="16" t="s">
        <v>15</v>
      </c>
      <c r="H1" s="16" t="s">
        <v>441</v>
      </c>
      <c r="I1" s="22" t="s">
        <v>442</v>
      </c>
    </row>
    <row r="2" spans="1:9" x14ac:dyDescent="0.3">
      <c r="A2" s="60" t="s">
        <v>660</v>
      </c>
      <c r="B2" s="26" t="s">
        <v>145</v>
      </c>
      <c r="C2" s="26">
        <v>27</v>
      </c>
      <c r="D2" s="26" t="s">
        <v>155</v>
      </c>
      <c r="E2" s="26">
        <v>19</v>
      </c>
      <c r="F2" s="54">
        <v>0.70370370370370372</v>
      </c>
      <c r="G2" s="54" t="s">
        <v>19</v>
      </c>
      <c r="H2" s="54">
        <v>758.81481481481478</v>
      </c>
      <c r="I2" s="55">
        <v>846.55555555555554</v>
      </c>
    </row>
    <row r="3" spans="1:9" x14ac:dyDescent="0.3">
      <c r="A3" s="61">
        <v>999</v>
      </c>
      <c r="B3" s="48" t="s">
        <v>146</v>
      </c>
      <c r="C3" s="48">
        <v>21</v>
      </c>
      <c r="D3" s="48" t="s">
        <v>156</v>
      </c>
      <c r="E3" s="48">
        <v>11</v>
      </c>
      <c r="F3" s="56">
        <v>0.52380952380952384</v>
      </c>
      <c r="G3" s="54" t="s">
        <v>19</v>
      </c>
      <c r="H3" s="56">
        <v>305.90476190476193</v>
      </c>
      <c r="I3" s="57">
        <v>427.33333333333331</v>
      </c>
    </row>
    <row r="4" spans="1:9" x14ac:dyDescent="0.3">
      <c r="A4" s="60" t="s">
        <v>443</v>
      </c>
      <c r="B4" s="26" t="s">
        <v>30</v>
      </c>
      <c r="C4" s="26">
        <v>13</v>
      </c>
      <c r="D4" s="26" t="s">
        <v>18</v>
      </c>
      <c r="E4" s="26">
        <v>4</v>
      </c>
      <c r="F4" s="54">
        <v>0.30769230769230771</v>
      </c>
      <c r="G4" s="54" t="s">
        <v>19</v>
      </c>
      <c r="H4" s="54">
        <v>536.38461538461536</v>
      </c>
      <c r="I4" s="55">
        <v>643.15384615384619</v>
      </c>
    </row>
    <row r="5" spans="1:9" x14ac:dyDescent="0.3">
      <c r="A5" s="61" t="s">
        <v>444</v>
      </c>
      <c r="B5" s="48" t="s">
        <v>107</v>
      </c>
      <c r="C5" s="48">
        <v>18</v>
      </c>
      <c r="D5" s="48" t="s">
        <v>155</v>
      </c>
      <c r="E5" s="48">
        <v>12</v>
      </c>
      <c r="F5" s="56">
        <v>0.66666666666666663</v>
      </c>
      <c r="G5" s="54" t="s">
        <v>19</v>
      </c>
      <c r="H5" s="56">
        <v>698.77777777777783</v>
      </c>
      <c r="I5" s="57">
        <v>855</v>
      </c>
    </row>
    <row r="6" spans="1:9" x14ac:dyDescent="0.3">
      <c r="A6" s="60" t="s">
        <v>445</v>
      </c>
      <c r="B6" s="26" t="s">
        <v>24</v>
      </c>
      <c r="C6" s="26">
        <v>21</v>
      </c>
      <c r="D6" s="26" t="s">
        <v>158</v>
      </c>
      <c r="E6" s="26">
        <v>11</v>
      </c>
      <c r="F6" s="54">
        <v>0.52380952380952384</v>
      </c>
      <c r="G6" s="54" t="s">
        <v>19</v>
      </c>
      <c r="H6" s="54">
        <v>521.47619047619048</v>
      </c>
      <c r="I6" s="55">
        <v>671.61904761904759</v>
      </c>
    </row>
    <row r="7" spans="1:9" x14ac:dyDescent="0.3">
      <c r="A7" s="61" t="s">
        <v>446</v>
      </c>
      <c r="B7" s="48" t="s">
        <v>54</v>
      </c>
      <c r="C7" s="48">
        <v>31</v>
      </c>
      <c r="D7" s="48" t="s">
        <v>159</v>
      </c>
      <c r="E7" s="48">
        <v>23</v>
      </c>
      <c r="F7" s="56">
        <v>0.74193548387096775</v>
      </c>
      <c r="G7" s="54" t="s">
        <v>19</v>
      </c>
      <c r="H7" s="56">
        <v>402.90322580645159</v>
      </c>
      <c r="I7" s="57">
        <v>511.38709677419354</v>
      </c>
    </row>
    <row r="8" spans="1:9" x14ac:dyDescent="0.3">
      <c r="A8" s="60" t="s">
        <v>447</v>
      </c>
      <c r="B8" s="26" t="s">
        <v>109</v>
      </c>
      <c r="C8" s="26">
        <v>50</v>
      </c>
      <c r="D8" s="26" t="s">
        <v>157</v>
      </c>
      <c r="E8" s="26">
        <v>24</v>
      </c>
      <c r="F8" s="54">
        <v>0.48</v>
      </c>
      <c r="G8" s="54" t="s">
        <v>19</v>
      </c>
      <c r="H8" s="54">
        <v>354.46</v>
      </c>
      <c r="I8" s="55">
        <v>421.66</v>
      </c>
    </row>
    <row r="9" spans="1:9" x14ac:dyDescent="0.3">
      <c r="A9" s="61" t="s">
        <v>448</v>
      </c>
      <c r="B9" s="48" t="s">
        <v>112</v>
      </c>
      <c r="C9" s="48">
        <v>19</v>
      </c>
      <c r="D9" s="48" t="s">
        <v>158</v>
      </c>
      <c r="E9" s="48">
        <v>7</v>
      </c>
      <c r="F9" s="56">
        <v>0.36842105263157893</v>
      </c>
      <c r="G9" s="54" t="s">
        <v>19</v>
      </c>
      <c r="H9" s="56">
        <v>563.10526315789468</v>
      </c>
      <c r="I9" s="57">
        <v>702.89473684210532</v>
      </c>
    </row>
    <row r="10" spans="1:9" x14ac:dyDescent="0.3">
      <c r="A10" s="60" t="s">
        <v>449</v>
      </c>
      <c r="B10" s="26" t="s">
        <v>77</v>
      </c>
      <c r="C10" s="26">
        <v>117</v>
      </c>
      <c r="D10" s="26" t="s">
        <v>156</v>
      </c>
      <c r="E10" s="26">
        <v>61</v>
      </c>
      <c r="F10" s="54">
        <v>0.5213675213675214</v>
      </c>
      <c r="G10" s="54" t="s">
        <v>19</v>
      </c>
      <c r="H10" s="54">
        <v>309.08547008547009</v>
      </c>
      <c r="I10" s="55">
        <v>461.89743589743591</v>
      </c>
    </row>
    <row r="11" spans="1:9" x14ac:dyDescent="0.3">
      <c r="A11" s="61" t="s">
        <v>450</v>
      </c>
      <c r="B11" s="48" t="s">
        <v>79</v>
      </c>
      <c r="C11" s="48">
        <v>38</v>
      </c>
      <c r="D11" s="48" t="s">
        <v>18</v>
      </c>
      <c r="E11" s="48">
        <v>23</v>
      </c>
      <c r="F11" s="56">
        <v>0.60526315789473684</v>
      </c>
      <c r="G11" s="54" t="s">
        <v>19</v>
      </c>
      <c r="H11" s="56">
        <v>579.5</v>
      </c>
      <c r="I11" s="57">
        <v>799.26315789473688</v>
      </c>
    </row>
    <row r="12" spans="1:9" x14ac:dyDescent="0.3">
      <c r="A12" s="60" t="s">
        <v>451</v>
      </c>
      <c r="B12" s="26" t="s">
        <v>55</v>
      </c>
      <c r="C12" s="26">
        <v>11</v>
      </c>
      <c r="D12" s="26" t="s">
        <v>155</v>
      </c>
      <c r="E12" s="26">
        <v>5</v>
      </c>
      <c r="F12" s="54">
        <v>0.45454545454545453</v>
      </c>
      <c r="G12" s="54" t="s">
        <v>19</v>
      </c>
      <c r="H12" s="54">
        <v>740.63636363636363</v>
      </c>
      <c r="I12" s="55">
        <v>804.90909090909088</v>
      </c>
    </row>
    <row r="13" spans="1:9" x14ac:dyDescent="0.3">
      <c r="A13" s="61" t="s">
        <v>452</v>
      </c>
      <c r="B13" s="48" t="s">
        <v>80</v>
      </c>
      <c r="C13" s="48">
        <v>35</v>
      </c>
      <c r="D13" s="48" t="s">
        <v>157</v>
      </c>
      <c r="E13" s="48">
        <v>15</v>
      </c>
      <c r="F13" s="56">
        <v>0.42857142857142855</v>
      </c>
      <c r="G13" s="54" t="s">
        <v>19</v>
      </c>
      <c r="H13" s="56">
        <v>379.97142857142859</v>
      </c>
      <c r="I13" s="57">
        <v>483.05714285714288</v>
      </c>
    </row>
    <row r="14" spans="1:9" x14ac:dyDescent="0.3">
      <c r="A14" s="60" t="s">
        <v>453</v>
      </c>
      <c r="B14" s="26" t="s">
        <v>138</v>
      </c>
      <c r="C14" s="26">
        <v>3</v>
      </c>
      <c r="D14" s="26" t="s">
        <v>158</v>
      </c>
      <c r="E14" s="26">
        <v>1</v>
      </c>
      <c r="F14" s="54">
        <v>0.33333333333333331</v>
      </c>
      <c r="G14" s="54" t="s">
        <v>26</v>
      </c>
      <c r="H14" s="54">
        <v>511.66666666666669</v>
      </c>
      <c r="I14" s="55">
        <v>599</v>
      </c>
    </row>
    <row r="15" spans="1:9" x14ac:dyDescent="0.3">
      <c r="A15" s="61" t="s">
        <v>454</v>
      </c>
      <c r="B15" s="48" t="s">
        <v>53</v>
      </c>
      <c r="C15" s="48">
        <v>13</v>
      </c>
      <c r="D15" s="48" t="s">
        <v>156</v>
      </c>
      <c r="E15" s="48">
        <v>4</v>
      </c>
      <c r="F15" s="56">
        <v>0.30769230769230771</v>
      </c>
      <c r="G15" s="54" t="s">
        <v>19</v>
      </c>
      <c r="H15" s="56">
        <v>344.23076923076923</v>
      </c>
      <c r="I15" s="57">
        <v>433.61538461538464</v>
      </c>
    </row>
    <row r="16" spans="1:9" x14ac:dyDescent="0.3">
      <c r="A16" s="60" t="s">
        <v>455</v>
      </c>
      <c r="B16" s="26" t="s">
        <v>55</v>
      </c>
      <c r="C16" s="26">
        <v>11</v>
      </c>
      <c r="D16" s="26" t="s">
        <v>155</v>
      </c>
      <c r="E16" s="26">
        <v>5</v>
      </c>
      <c r="F16" s="54">
        <v>0.45454545454545453</v>
      </c>
      <c r="G16" s="54" t="s">
        <v>19</v>
      </c>
      <c r="H16" s="54">
        <v>668</v>
      </c>
      <c r="I16" s="55">
        <v>751.72727272727275</v>
      </c>
    </row>
    <row r="17" spans="1:9" x14ac:dyDescent="0.3">
      <c r="A17" s="61" t="s">
        <v>456</v>
      </c>
      <c r="B17" s="48" t="s">
        <v>30</v>
      </c>
      <c r="C17" s="48">
        <v>44</v>
      </c>
      <c r="D17" s="48" t="s">
        <v>18</v>
      </c>
      <c r="E17" s="48">
        <v>22</v>
      </c>
      <c r="F17" s="56">
        <v>0.5</v>
      </c>
      <c r="G17" s="54" t="s">
        <v>19</v>
      </c>
      <c r="H17" s="56">
        <v>536.52272727272725</v>
      </c>
      <c r="I17" s="57">
        <v>684.93181818181813</v>
      </c>
    </row>
    <row r="18" spans="1:9" x14ac:dyDescent="0.3">
      <c r="A18" s="60" t="s">
        <v>457</v>
      </c>
      <c r="B18" s="26" t="s">
        <v>70</v>
      </c>
      <c r="C18" s="26">
        <v>18</v>
      </c>
      <c r="D18" s="26" t="s">
        <v>155</v>
      </c>
      <c r="E18" s="26">
        <v>12</v>
      </c>
      <c r="F18" s="54">
        <v>0.66666666666666663</v>
      </c>
      <c r="G18" s="54" t="s">
        <v>19</v>
      </c>
      <c r="H18" s="54">
        <v>713.72222222222217</v>
      </c>
      <c r="I18" s="55">
        <v>804.5</v>
      </c>
    </row>
    <row r="19" spans="1:9" x14ac:dyDescent="0.3">
      <c r="A19" s="61" t="s">
        <v>458</v>
      </c>
      <c r="B19" s="48" t="s">
        <v>99</v>
      </c>
      <c r="C19" s="48">
        <v>30</v>
      </c>
      <c r="D19" s="48" t="s">
        <v>18</v>
      </c>
      <c r="E19" s="48">
        <v>18</v>
      </c>
      <c r="F19" s="56">
        <v>0.6</v>
      </c>
      <c r="G19" s="54" t="s">
        <v>19</v>
      </c>
      <c r="H19" s="56">
        <v>636.20000000000005</v>
      </c>
      <c r="I19" s="57">
        <v>850</v>
      </c>
    </row>
    <row r="20" spans="1:9" x14ac:dyDescent="0.3">
      <c r="A20" s="60" t="s">
        <v>459</v>
      </c>
      <c r="B20" s="26" t="s">
        <v>50</v>
      </c>
      <c r="C20" s="26">
        <v>40</v>
      </c>
      <c r="D20" s="26" t="s">
        <v>159</v>
      </c>
      <c r="E20" s="26">
        <v>17</v>
      </c>
      <c r="F20" s="54">
        <v>0.42499999999999999</v>
      </c>
      <c r="G20" s="54" t="s">
        <v>19</v>
      </c>
      <c r="H20" s="54">
        <v>313.45</v>
      </c>
      <c r="I20" s="55">
        <v>430.7</v>
      </c>
    </row>
    <row r="21" spans="1:9" x14ac:dyDescent="0.3">
      <c r="A21" s="61" t="s">
        <v>460</v>
      </c>
      <c r="B21" s="48" t="s">
        <v>53</v>
      </c>
      <c r="C21" s="48">
        <v>14</v>
      </c>
      <c r="D21" s="48" t="s">
        <v>156</v>
      </c>
      <c r="E21" s="48">
        <v>9</v>
      </c>
      <c r="F21" s="56">
        <v>0.6428571428571429</v>
      </c>
      <c r="G21" s="54" t="s">
        <v>19</v>
      </c>
      <c r="H21" s="56">
        <v>312.07142857142856</v>
      </c>
      <c r="I21" s="57">
        <v>425.85714285714283</v>
      </c>
    </row>
    <row r="22" spans="1:9" x14ac:dyDescent="0.3">
      <c r="A22" s="60" t="s">
        <v>461</v>
      </c>
      <c r="B22" s="26" t="s">
        <v>113</v>
      </c>
      <c r="C22" s="26">
        <v>22</v>
      </c>
      <c r="D22" s="26" t="s">
        <v>18</v>
      </c>
      <c r="E22" s="26">
        <v>13</v>
      </c>
      <c r="F22" s="54">
        <v>0.59090909090909094</v>
      </c>
      <c r="G22" s="54" t="s">
        <v>19</v>
      </c>
      <c r="H22" s="54">
        <v>551.13636363636363</v>
      </c>
      <c r="I22" s="55">
        <v>696.68181818181813</v>
      </c>
    </row>
    <row r="23" spans="1:9" x14ac:dyDescent="0.3">
      <c r="A23" s="61" t="s">
        <v>462</v>
      </c>
      <c r="B23" s="48" t="s">
        <v>34</v>
      </c>
      <c r="C23" s="48">
        <v>37</v>
      </c>
      <c r="D23" s="48" t="s">
        <v>157</v>
      </c>
      <c r="E23" s="48">
        <v>20</v>
      </c>
      <c r="F23" s="56">
        <v>0.54054054054054057</v>
      </c>
      <c r="G23" s="54" t="s">
        <v>19</v>
      </c>
      <c r="H23" s="56">
        <v>312.56756756756755</v>
      </c>
      <c r="I23" s="57">
        <v>463.7837837837838</v>
      </c>
    </row>
    <row r="24" spans="1:9" x14ac:dyDescent="0.3">
      <c r="A24" s="60" t="s">
        <v>463</v>
      </c>
      <c r="B24" s="26" t="s">
        <v>93</v>
      </c>
      <c r="C24" s="26">
        <v>23</v>
      </c>
      <c r="D24" s="26" t="s">
        <v>18</v>
      </c>
      <c r="E24" s="26">
        <v>14</v>
      </c>
      <c r="F24" s="54">
        <v>0.60869565217391308</v>
      </c>
      <c r="G24" s="54" t="s">
        <v>19</v>
      </c>
      <c r="H24" s="54">
        <v>540.95652173913038</v>
      </c>
      <c r="I24" s="55">
        <v>692.304347826087</v>
      </c>
    </row>
    <row r="25" spans="1:9" x14ac:dyDescent="0.3">
      <c r="A25" s="61" t="s">
        <v>464</v>
      </c>
      <c r="B25" s="48" t="s">
        <v>45</v>
      </c>
      <c r="C25" s="48">
        <v>16</v>
      </c>
      <c r="D25" s="48" t="s">
        <v>158</v>
      </c>
      <c r="E25" s="48">
        <v>6</v>
      </c>
      <c r="F25" s="56">
        <v>0.375</v>
      </c>
      <c r="G25" s="54" t="s">
        <v>19</v>
      </c>
      <c r="H25" s="56">
        <v>526.25</v>
      </c>
      <c r="I25" s="57">
        <v>680.9375</v>
      </c>
    </row>
    <row r="26" spans="1:9" x14ac:dyDescent="0.3">
      <c r="A26" s="60" t="s">
        <v>465</v>
      </c>
      <c r="B26" s="26" t="s">
        <v>38</v>
      </c>
      <c r="C26" s="26">
        <v>18</v>
      </c>
      <c r="D26" s="26" t="s">
        <v>18</v>
      </c>
      <c r="E26" s="26">
        <v>10</v>
      </c>
      <c r="F26" s="54">
        <v>0.55555555555555558</v>
      </c>
      <c r="G26" s="54" t="s">
        <v>19</v>
      </c>
      <c r="H26" s="54">
        <v>548.27777777777783</v>
      </c>
      <c r="I26" s="55">
        <v>689.5</v>
      </c>
    </row>
    <row r="27" spans="1:9" x14ac:dyDescent="0.3">
      <c r="A27" s="61" t="s">
        <v>466</v>
      </c>
      <c r="B27" s="48" t="s">
        <v>87</v>
      </c>
      <c r="C27" s="48">
        <v>37</v>
      </c>
      <c r="D27" s="48" t="s">
        <v>159</v>
      </c>
      <c r="E27" s="48">
        <v>23</v>
      </c>
      <c r="F27" s="56">
        <v>0.6216216216216216</v>
      </c>
      <c r="G27" s="54" t="s">
        <v>19</v>
      </c>
      <c r="H27" s="56">
        <v>334.24324324324323</v>
      </c>
      <c r="I27" s="57">
        <v>492.24324324324323</v>
      </c>
    </row>
    <row r="28" spans="1:9" x14ac:dyDescent="0.3">
      <c r="A28" s="60" t="s">
        <v>467</v>
      </c>
      <c r="B28" s="26" t="s">
        <v>61</v>
      </c>
      <c r="C28" s="26">
        <v>117</v>
      </c>
      <c r="D28" s="26" t="s">
        <v>157</v>
      </c>
      <c r="E28" s="26">
        <v>61</v>
      </c>
      <c r="F28" s="54">
        <v>0.5213675213675214</v>
      </c>
      <c r="G28" s="54" t="s">
        <v>19</v>
      </c>
      <c r="H28" s="54">
        <v>286.82905982905982</v>
      </c>
      <c r="I28" s="55">
        <v>428.43589743589746</v>
      </c>
    </row>
    <row r="29" spans="1:9" x14ac:dyDescent="0.3">
      <c r="A29" s="61" t="s">
        <v>468</v>
      </c>
      <c r="B29" s="48" t="s">
        <v>52</v>
      </c>
      <c r="C29" s="48">
        <v>14</v>
      </c>
      <c r="D29" s="48" t="s">
        <v>159</v>
      </c>
      <c r="E29" s="48">
        <v>6</v>
      </c>
      <c r="F29" s="56">
        <v>0.42857142857142855</v>
      </c>
      <c r="G29" s="54" t="s">
        <v>19</v>
      </c>
      <c r="H29" s="56">
        <v>337.28571428571428</v>
      </c>
      <c r="I29" s="57">
        <v>482.64285714285717</v>
      </c>
    </row>
    <row r="30" spans="1:9" x14ac:dyDescent="0.3">
      <c r="A30" s="60" t="s">
        <v>469</v>
      </c>
      <c r="B30" s="26" t="s">
        <v>79</v>
      </c>
      <c r="C30" s="26">
        <v>35</v>
      </c>
      <c r="D30" s="26" t="s">
        <v>18</v>
      </c>
      <c r="E30" s="26">
        <v>15</v>
      </c>
      <c r="F30" s="54">
        <v>0.42857142857142855</v>
      </c>
      <c r="G30" s="54" t="s">
        <v>19</v>
      </c>
      <c r="H30" s="54">
        <v>567.08571428571429</v>
      </c>
      <c r="I30" s="55">
        <v>735.6</v>
      </c>
    </row>
    <row r="31" spans="1:9" x14ac:dyDescent="0.3">
      <c r="A31" s="61" t="s">
        <v>470</v>
      </c>
      <c r="B31" s="48" t="s">
        <v>142</v>
      </c>
      <c r="C31" s="48">
        <v>39</v>
      </c>
      <c r="D31" s="48" t="s">
        <v>158</v>
      </c>
      <c r="E31" s="48">
        <v>16</v>
      </c>
      <c r="F31" s="56">
        <v>0.41025641025641024</v>
      </c>
      <c r="G31" s="54" t="s">
        <v>19</v>
      </c>
      <c r="H31" s="56">
        <v>560.58974358974353</v>
      </c>
      <c r="I31" s="57">
        <v>719.28205128205127</v>
      </c>
    </row>
    <row r="32" spans="1:9" x14ac:dyDescent="0.3">
      <c r="A32" s="60" t="s">
        <v>471</v>
      </c>
      <c r="B32" s="26" t="s">
        <v>99</v>
      </c>
      <c r="C32" s="26">
        <v>39</v>
      </c>
      <c r="D32" s="26" t="s">
        <v>18</v>
      </c>
      <c r="E32" s="26">
        <v>16</v>
      </c>
      <c r="F32" s="54">
        <v>0.41025641025641024</v>
      </c>
      <c r="G32" s="54" t="s">
        <v>19</v>
      </c>
      <c r="H32" s="54">
        <v>478.58974358974359</v>
      </c>
      <c r="I32" s="55">
        <v>626.23076923076928</v>
      </c>
    </row>
    <row r="33" spans="1:9" x14ac:dyDescent="0.3">
      <c r="A33" s="61" t="s">
        <v>472</v>
      </c>
      <c r="B33" s="48" t="s">
        <v>73</v>
      </c>
      <c r="C33" s="48">
        <v>19</v>
      </c>
      <c r="D33" s="48" t="s">
        <v>158</v>
      </c>
      <c r="E33" s="48">
        <v>12</v>
      </c>
      <c r="F33" s="56">
        <v>0.63157894736842102</v>
      </c>
      <c r="G33" s="54" t="s">
        <v>19</v>
      </c>
      <c r="H33" s="56">
        <v>546.42105263157896</v>
      </c>
      <c r="I33" s="57">
        <v>748.84210526315792</v>
      </c>
    </row>
    <row r="34" spans="1:9" x14ac:dyDescent="0.3">
      <c r="A34" s="60" t="s">
        <v>473</v>
      </c>
      <c r="B34" s="26" t="s">
        <v>87</v>
      </c>
      <c r="C34" s="26">
        <v>10</v>
      </c>
      <c r="D34" s="26" t="s">
        <v>157</v>
      </c>
      <c r="E34" s="26">
        <v>7</v>
      </c>
      <c r="F34" s="54">
        <v>0.7</v>
      </c>
      <c r="G34" s="54" t="s">
        <v>19</v>
      </c>
      <c r="H34" s="54">
        <v>381.8</v>
      </c>
      <c r="I34" s="55">
        <v>515.70000000000005</v>
      </c>
    </row>
    <row r="35" spans="1:9" x14ac:dyDescent="0.3">
      <c r="A35" s="61" t="s">
        <v>474</v>
      </c>
      <c r="B35" s="48" t="s">
        <v>84</v>
      </c>
      <c r="C35" s="48">
        <v>15</v>
      </c>
      <c r="D35" s="48" t="s">
        <v>158</v>
      </c>
      <c r="E35" s="48">
        <v>8</v>
      </c>
      <c r="F35" s="56">
        <v>0.53333333333333333</v>
      </c>
      <c r="G35" s="54" t="s">
        <v>19</v>
      </c>
      <c r="H35" s="56">
        <v>600.73333333333335</v>
      </c>
      <c r="I35" s="57">
        <v>750.86666666666667</v>
      </c>
    </row>
    <row r="36" spans="1:9" x14ac:dyDescent="0.3">
      <c r="A36" s="60" t="s">
        <v>475</v>
      </c>
      <c r="B36" s="26" t="s">
        <v>50</v>
      </c>
      <c r="C36" s="26">
        <v>21</v>
      </c>
      <c r="D36" s="26" t="s">
        <v>157</v>
      </c>
      <c r="E36" s="26">
        <v>13</v>
      </c>
      <c r="F36" s="54">
        <v>0.61904761904761907</v>
      </c>
      <c r="G36" s="54" t="s">
        <v>19</v>
      </c>
      <c r="H36" s="54">
        <v>335.8095238095238</v>
      </c>
      <c r="I36" s="55">
        <v>467</v>
      </c>
    </row>
    <row r="37" spans="1:9" x14ac:dyDescent="0.3">
      <c r="A37" s="61" t="s">
        <v>476</v>
      </c>
      <c r="B37" s="48" t="s">
        <v>50</v>
      </c>
      <c r="C37" s="48">
        <v>21</v>
      </c>
      <c r="D37" s="48" t="s">
        <v>156</v>
      </c>
      <c r="E37" s="48">
        <v>13</v>
      </c>
      <c r="F37" s="56">
        <v>0.61904761904761907</v>
      </c>
      <c r="G37" s="54" t="s">
        <v>19</v>
      </c>
      <c r="H37" s="56">
        <v>361.04761904761904</v>
      </c>
      <c r="I37" s="57">
        <v>563.76190476190482</v>
      </c>
    </row>
    <row r="38" spans="1:9" x14ac:dyDescent="0.3">
      <c r="A38" s="60" t="s">
        <v>477</v>
      </c>
      <c r="B38" s="26" t="s">
        <v>22</v>
      </c>
      <c r="C38" s="26">
        <v>117</v>
      </c>
      <c r="D38" s="26" t="s">
        <v>18</v>
      </c>
      <c r="E38" s="26">
        <v>61</v>
      </c>
      <c r="F38" s="54">
        <v>0.5213675213675214</v>
      </c>
      <c r="G38" s="54" t="s">
        <v>19</v>
      </c>
      <c r="H38" s="54">
        <v>588.56410256410254</v>
      </c>
      <c r="I38" s="55">
        <v>803.51282051282055</v>
      </c>
    </row>
    <row r="39" spans="1:9" x14ac:dyDescent="0.3">
      <c r="A39" s="61" t="s">
        <v>478</v>
      </c>
      <c r="B39" s="48" t="s">
        <v>20</v>
      </c>
      <c r="C39" s="48">
        <v>35</v>
      </c>
      <c r="D39" s="48" t="s">
        <v>155</v>
      </c>
      <c r="E39" s="48">
        <v>15</v>
      </c>
      <c r="F39" s="56">
        <v>0.42857142857142855</v>
      </c>
      <c r="G39" s="54" t="s">
        <v>19</v>
      </c>
      <c r="H39" s="56">
        <v>693.71428571428567</v>
      </c>
      <c r="I39" s="57">
        <v>810.34285714285716</v>
      </c>
    </row>
    <row r="40" spans="1:9" x14ac:dyDescent="0.3">
      <c r="A40" s="60" t="s">
        <v>479</v>
      </c>
      <c r="B40" s="26" t="s">
        <v>24</v>
      </c>
      <c r="C40" s="26">
        <v>27</v>
      </c>
      <c r="D40" s="26" t="s">
        <v>155</v>
      </c>
      <c r="E40" s="26">
        <v>8</v>
      </c>
      <c r="F40" s="54">
        <v>0.29629629629629628</v>
      </c>
      <c r="G40" s="54" t="s">
        <v>19</v>
      </c>
      <c r="H40" s="54">
        <v>638.92592592592598</v>
      </c>
      <c r="I40" s="55">
        <v>721.59259259259261</v>
      </c>
    </row>
    <row r="41" spans="1:9" x14ac:dyDescent="0.3">
      <c r="A41" s="61" t="s">
        <v>480</v>
      </c>
      <c r="B41" s="48" t="s">
        <v>138</v>
      </c>
      <c r="C41" s="48">
        <v>13</v>
      </c>
      <c r="D41" s="48" t="s">
        <v>158</v>
      </c>
      <c r="E41" s="48">
        <v>4</v>
      </c>
      <c r="F41" s="56">
        <v>0.30769230769230771</v>
      </c>
      <c r="G41" s="54" t="s">
        <v>19</v>
      </c>
      <c r="H41" s="56">
        <v>520.15384615384619</v>
      </c>
      <c r="I41" s="57">
        <v>678.15384615384619</v>
      </c>
    </row>
    <row r="42" spans="1:9" x14ac:dyDescent="0.3">
      <c r="A42" s="60" t="s">
        <v>481</v>
      </c>
      <c r="B42" s="26" t="s">
        <v>87</v>
      </c>
      <c r="C42" s="26">
        <v>21</v>
      </c>
      <c r="D42" s="26" t="s">
        <v>159</v>
      </c>
      <c r="E42" s="26">
        <v>15</v>
      </c>
      <c r="F42" s="54">
        <v>0.7142857142857143</v>
      </c>
      <c r="G42" s="54" t="s">
        <v>19</v>
      </c>
      <c r="H42" s="54">
        <v>397.04761904761904</v>
      </c>
      <c r="I42" s="55">
        <v>562.09523809523807</v>
      </c>
    </row>
    <row r="43" spans="1:9" x14ac:dyDescent="0.3">
      <c r="A43" s="61" t="s">
        <v>482</v>
      </c>
      <c r="B43" s="48" t="s">
        <v>70</v>
      </c>
      <c r="C43" s="48">
        <v>37</v>
      </c>
      <c r="D43" s="48" t="s">
        <v>155</v>
      </c>
      <c r="E43" s="48">
        <v>20</v>
      </c>
      <c r="F43" s="56">
        <v>0.54054054054054057</v>
      </c>
      <c r="G43" s="54" t="s">
        <v>19</v>
      </c>
      <c r="H43" s="56">
        <v>649.67567567567562</v>
      </c>
      <c r="I43" s="57">
        <v>769.05405405405406</v>
      </c>
    </row>
    <row r="44" spans="1:9" x14ac:dyDescent="0.3">
      <c r="A44" s="60" t="s">
        <v>483</v>
      </c>
      <c r="B44" s="26" t="s">
        <v>56</v>
      </c>
      <c r="C44" s="26">
        <v>68</v>
      </c>
      <c r="D44" s="26" t="s">
        <v>158</v>
      </c>
      <c r="E44" s="26">
        <v>43</v>
      </c>
      <c r="F44" s="54">
        <v>0.63235294117647056</v>
      </c>
      <c r="G44" s="54" t="s">
        <v>19</v>
      </c>
      <c r="H44" s="54">
        <v>667.45588235294122</v>
      </c>
      <c r="I44" s="55">
        <v>872.55882352941171</v>
      </c>
    </row>
    <row r="45" spans="1:9" x14ac:dyDescent="0.3">
      <c r="A45" s="61" t="s">
        <v>484</v>
      </c>
      <c r="B45" s="48" t="s">
        <v>105</v>
      </c>
      <c r="C45" s="48">
        <v>47</v>
      </c>
      <c r="D45" s="48" t="s">
        <v>18</v>
      </c>
      <c r="E45" s="48">
        <v>32</v>
      </c>
      <c r="F45" s="56">
        <v>0.68085106382978722</v>
      </c>
      <c r="G45" s="54" t="s">
        <v>19</v>
      </c>
      <c r="H45" s="56">
        <v>556.70212765957444</v>
      </c>
      <c r="I45" s="57">
        <v>717.936170212766</v>
      </c>
    </row>
    <row r="46" spans="1:9" x14ac:dyDescent="0.3">
      <c r="A46" s="60" t="s">
        <v>485</v>
      </c>
      <c r="B46" s="26" t="s">
        <v>89</v>
      </c>
      <c r="C46" s="26">
        <v>21</v>
      </c>
      <c r="D46" s="26" t="s">
        <v>156</v>
      </c>
      <c r="E46" s="26">
        <v>10</v>
      </c>
      <c r="F46" s="54">
        <v>0.47619047619047616</v>
      </c>
      <c r="G46" s="54" t="s">
        <v>19</v>
      </c>
      <c r="H46" s="54">
        <v>299.23809523809524</v>
      </c>
      <c r="I46" s="55">
        <v>406.66666666666669</v>
      </c>
    </row>
    <row r="47" spans="1:9" x14ac:dyDescent="0.3">
      <c r="A47" s="61" t="s">
        <v>486</v>
      </c>
      <c r="B47" s="48" t="s">
        <v>82</v>
      </c>
      <c r="C47" s="48">
        <v>15</v>
      </c>
      <c r="D47" s="48" t="s">
        <v>155</v>
      </c>
      <c r="E47" s="48">
        <v>8</v>
      </c>
      <c r="F47" s="56">
        <v>0.53333333333333333</v>
      </c>
      <c r="G47" s="54" t="s">
        <v>19</v>
      </c>
      <c r="H47" s="56">
        <v>691</v>
      </c>
      <c r="I47" s="57">
        <v>840.4666666666667</v>
      </c>
    </row>
    <row r="48" spans="1:9" x14ac:dyDescent="0.3">
      <c r="A48" s="60" t="s">
        <v>487</v>
      </c>
      <c r="B48" s="26" t="s">
        <v>87</v>
      </c>
      <c r="C48" s="26">
        <v>11</v>
      </c>
      <c r="D48" s="26" t="s">
        <v>157</v>
      </c>
      <c r="E48" s="26">
        <v>5</v>
      </c>
      <c r="F48" s="54">
        <v>0.45454545454545453</v>
      </c>
      <c r="G48" s="54" t="s">
        <v>19</v>
      </c>
      <c r="H48" s="54">
        <v>333.36363636363637</v>
      </c>
      <c r="I48" s="55">
        <v>466.36363636363637</v>
      </c>
    </row>
    <row r="49" spans="1:9" x14ac:dyDescent="0.3">
      <c r="A49" s="61" t="s">
        <v>488</v>
      </c>
      <c r="B49" s="48" t="s">
        <v>80</v>
      </c>
      <c r="C49" s="48">
        <v>31</v>
      </c>
      <c r="D49" s="48" t="s">
        <v>156</v>
      </c>
      <c r="E49" s="48">
        <v>23</v>
      </c>
      <c r="F49" s="56">
        <v>0.74193548387096775</v>
      </c>
      <c r="G49" s="54" t="s">
        <v>19</v>
      </c>
      <c r="H49" s="56">
        <v>359.77419354838707</v>
      </c>
      <c r="I49" s="57">
        <v>456.32258064516128</v>
      </c>
    </row>
    <row r="50" spans="1:9" x14ac:dyDescent="0.3">
      <c r="A50" s="60" t="s">
        <v>489</v>
      </c>
      <c r="B50" s="26" t="s">
        <v>38</v>
      </c>
      <c r="C50" s="26">
        <v>24</v>
      </c>
      <c r="D50" s="26" t="s">
        <v>18</v>
      </c>
      <c r="E50" s="26">
        <v>9</v>
      </c>
      <c r="F50" s="54">
        <v>0.375</v>
      </c>
      <c r="G50" s="54" t="s">
        <v>19</v>
      </c>
      <c r="H50" s="54">
        <v>571.125</v>
      </c>
      <c r="I50" s="55">
        <v>743.20833333333337</v>
      </c>
    </row>
    <row r="51" spans="1:9" x14ac:dyDescent="0.3">
      <c r="A51" s="61" t="s">
        <v>490</v>
      </c>
      <c r="B51" s="48" t="s">
        <v>88</v>
      </c>
      <c r="C51" s="48">
        <v>15</v>
      </c>
      <c r="D51" s="48" t="s">
        <v>158</v>
      </c>
      <c r="E51" s="48">
        <v>10</v>
      </c>
      <c r="F51" s="56">
        <v>0.66666666666666663</v>
      </c>
      <c r="G51" s="54" t="s">
        <v>19</v>
      </c>
      <c r="H51" s="56">
        <v>549.33333333333337</v>
      </c>
      <c r="I51" s="57">
        <v>693.26666666666665</v>
      </c>
    </row>
    <row r="52" spans="1:9" x14ac:dyDescent="0.3">
      <c r="A52" s="60" t="s">
        <v>491</v>
      </c>
      <c r="B52" s="26" t="s">
        <v>50</v>
      </c>
      <c r="C52" s="26">
        <v>38</v>
      </c>
      <c r="D52" s="26" t="s">
        <v>157</v>
      </c>
      <c r="E52" s="26">
        <v>23</v>
      </c>
      <c r="F52" s="54">
        <v>0.60526315789473684</v>
      </c>
      <c r="G52" s="54" t="s">
        <v>19</v>
      </c>
      <c r="H52" s="54">
        <v>369.55263157894734</v>
      </c>
      <c r="I52" s="55">
        <v>552.31578947368416</v>
      </c>
    </row>
    <row r="53" spans="1:9" x14ac:dyDescent="0.3">
      <c r="A53" s="61" t="s">
        <v>492</v>
      </c>
      <c r="B53" s="48" t="s">
        <v>46</v>
      </c>
      <c r="C53" s="48">
        <v>68</v>
      </c>
      <c r="D53" s="48" t="s">
        <v>157</v>
      </c>
      <c r="E53" s="48">
        <v>43</v>
      </c>
      <c r="F53" s="56">
        <v>0.63235294117647056</v>
      </c>
      <c r="G53" s="54" t="s">
        <v>19</v>
      </c>
      <c r="H53" s="56">
        <v>367.04411764705884</v>
      </c>
      <c r="I53" s="57">
        <v>498.73529411764707</v>
      </c>
    </row>
    <row r="54" spans="1:9" x14ac:dyDescent="0.3">
      <c r="A54" s="60" t="s">
        <v>493</v>
      </c>
      <c r="B54" s="26" t="s">
        <v>142</v>
      </c>
      <c r="C54" s="26">
        <v>26</v>
      </c>
      <c r="D54" s="26" t="s">
        <v>158</v>
      </c>
      <c r="E54" s="26">
        <v>17</v>
      </c>
      <c r="F54" s="54">
        <v>0.65384615384615385</v>
      </c>
      <c r="G54" s="54" t="s">
        <v>19</v>
      </c>
      <c r="H54" s="54">
        <v>607.23076923076928</v>
      </c>
      <c r="I54" s="55">
        <v>747.30769230769226</v>
      </c>
    </row>
    <row r="55" spans="1:9" x14ac:dyDescent="0.3">
      <c r="A55" s="61" t="s">
        <v>494</v>
      </c>
      <c r="B55" s="48" t="s">
        <v>87</v>
      </c>
      <c r="C55" s="48">
        <v>22</v>
      </c>
      <c r="D55" s="48" t="s">
        <v>156</v>
      </c>
      <c r="E55" s="48">
        <v>14</v>
      </c>
      <c r="F55" s="56">
        <v>0.63636363636363635</v>
      </c>
      <c r="G55" s="54" t="s">
        <v>19</v>
      </c>
      <c r="H55" s="56">
        <v>312.04545454545456</v>
      </c>
      <c r="I55" s="57">
        <v>454.13636363636363</v>
      </c>
    </row>
    <row r="56" spans="1:9" x14ac:dyDescent="0.3">
      <c r="A56" s="60" t="s">
        <v>495</v>
      </c>
      <c r="B56" s="26" t="s">
        <v>138</v>
      </c>
      <c r="C56" s="26">
        <v>49</v>
      </c>
      <c r="D56" s="26" t="s">
        <v>158</v>
      </c>
      <c r="E56" s="26">
        <v>25</v>
      </c>
      <c r="F56" s="54">
        <v>0.51020408163265307</v>
      </c>
      <c r="G56" s="54" t="s">
        <v>19</v>
      </c>
      <c r="H56" s="54">
        <v>589.69387755102036</v>
      </c>
      <c r="I56" s="55">
        <v>743.67346938775506</v>
      </c>
    </row>
    <row r="57" spans="1:9" x14ac:dyDescent="0.3">
      <c r="A57" s="61" t="s">
        <v>496</v>
      </c>
      <c r="B57" s="48" t="s">
        <v>79</v>
      </c>
      <c r="C57" s="48">
        <v>12</v>
      </c>
      <c r="D57" s="48" t="s">
        <v>158</v>
      </c>
      <c r="E57" s="48">
        <v>5</v>
      </c>
      <c r="F57" s="56">
        <v>0.41666666666666669</v>
      </c>
      <c r="G57" s="54" t="s">
        <v>19</v>
      </c>
      <c r="H57" s="56">
        <v>507.08333333333331</v>
      </c>
      <c r="I57" s="57">
        <v>615.58333333333337</v>
      </c>
    </row>
    <row r="58" spans="1:9" x14ac:dyDescent="0.3">
      <c r="A58" s="60" t="s">
        <v>497</v>
      </c>
      <c r="B58" s="26" t="s">
        <v>79</v>
      </c>
      <c r="C58" s="26">
        <v>7</v>
      </c>
      <c r="D58" s="26" t="s">
        <v>18</v>
      </c>
      <c r="E58" s="26">
        <v>5</v>
      </c>
      <c r="F58" s="54">
        <v>0.7142857142857143</v>
      </c>
      <c r="G58" s="54" t="s">
        <v>26</v>
      </c>
      <c r="H58" s="54">
        <v>557.28571428571433</v>
      </c>
      <c r="I58" s="55">
        <v>686.71428571428567</v>
      </c>
    </row>
    <row r="59" spans="1:9" x14ac:dyDescent="0.3">
      <c r="A59" s="61" t="s">
        <v>498</v>
      </c>
      <c r="B59" s="48" t="s">
        <v>93</v>
      </c>
      <c r="C59" s="48">
        <v>37</v>
      </c>
      <c r="D59" s="48" t="s">
        <v>18</v>
      </c>
      <c r="E59" s="48">
        <v>23</v>
      </c>
      <c r="F59" s="56">
        <v>0.6216216216216216</v>
      </c>
      <c r="G59" s="54" t="s">
        <v>19</v>
      </c>
      <c r="H59" s="56">
        <v>576.72972972972968</v>
      </c>
      <c r="I59" s="57">
        <v>769.29729729729729</v>
      </c>
    </row>
    <row r="60" spans="1:9" x14ac:dyDescent="0.3">
      <c r="A60" s="60" t="s">
        <v>499</v>
      </c>
      <c r="B60" s="26" t="s">
        <v>30</v>
      </c>
      <c r="C60" s="26">
        <v>21</v>
      </c>
      <c r="D60" s="26" t="s">
        <v>18</v>
      </c>
      <c r="E60" s="26">
        <v>15</v>
      </c>
      <c r="F60" s="54">
        <v>0.7142857142857143</v>
      </c>
      <c r="G60" s="54" t="s">
        <v>19</v>
      </c>
      <c r="H60" s="54">
        <v>568.28571428571433</v>
      </c>
      <c r="I60" s="55">
        <v>760.42857142857144</v>
      </c>
    </row>
    <row r="61" spans="1:9" x14ac:dyDescent="0.3">
      <c r="A61" s="61" t="s">
        <v>500</v>
      </c>
      <c r="B61" s="48" t="s">
        <v>87</v>
      </c>
      <c r="C61" s="48">
        <v>33</v>
      </c>
      <c r="D61" s="48" t="s">
        <v>157</v>
      </c>
      <c r="E61" s="48">
        <v>23</v>
      </c>
      <c r="F61" s="56">
        <v>0.69696969696969702</v>
      </c>
      <c r="G61" s="54" t="s">
        <v>19</v>
      </c>
      <c r="H61" s="56">
        <v>348.21212121212119</v>
      </c>
      <c r="I61" s="57">
        <v>519.06060606060601</v>
      </c>
    </row>
    <row r="62" spans="1:9" x14ac:dyDescent="0.3">
      <c r="A62" s="60" t="s">
        <v>501</v>
      </c>
      <c r="B62" s="26" t="s">
        <v>53</v>
      </c>
      <c r="C62" s="26">
        <v>27</v>
      </c>
      <c r="D62" s="26" t="s">
        <v>156</v>
      </c>
      <c r="E62" s="26">
        <v>12</v>
      </c>
      <c r="F62" s="54">
        <v>0.44444444444444442</v>
      </c>
      <c r="G62" s="54" t="s">
        <v>19</v>
      </c>
      <c r="H62" s="54">
        <v>344.33333333333331</v>
      </c>
      <c r="I62" s="55">
        <v>429.7037037037037</v>
      </c>
    </row>
    <row r="63" spans="1:9" x14ac:dyDescent="0.3">
      <c r="A63" s="61" t="s">
        <v>502</v>
      </c>
      <c r="B63" s="48" t="s">
        <v>113</v>
      </c>
      <c r="C63" s="48">
        <v>14</v>
      </c>
      <c r="D63" s="48" t="s">
        <v>155</v>
      </c>
      <c r="E63" s="48">
        <v>6</v>
      </c>
      <c r="F63" s="56">
        <v>0.42857142857142855</v>
      </c>
      <c r="G63" s="54" t="s">
        <v>19</v>
      </c>
      <c r="H63" s="56">
        <v>598.85714285714289</v>
      </c>
      <c r="I63" s="57">
        <v>667.71428571428567</v>
      </c>
    </row>
    <row r="64" spans="1:9" x14ac:dyDescent="0.3">
      <c r="A64" s="60" t="s">
        <v>503</v>
      </c>
      <c r="B64" s="26" t="s">
        <v>50</v>
      </c>
      <c r="C64" s="26">
        <v>18</v>
      </c>
      <c r="D64" s="26" t="s">
        <v>157</v>
      </c>
      <c r="E64" s="26">
        <v>12</v>
      </c>
      <c r="F64" s="54">
        <v>0.66666666666666663</v>
      </c>
      <c r="G64" s="54" t="s">
        <v>19</v>
      </c>
      <c r="H64" s="54">
        <v>350.11111111111109</v>
      </c>
      <c r="I64" s="55">
        <v>489</v>
      </c>
    </row>
    <row r="65" spans="1:9" x14ac:dyDescent="0.3">
      <c r="A65" s="61" t="s">
        <v>504</v>
      </c>
      <c r="B65" s="48" t="s">
        <v>138</v>
      </c>
      <c r="C65" s="48">
        <v>16</v>
      </c>
      <c r="D65" s="48" t="s">
        <v>158</v>
      </c>
      <c r="E65" s="48">
        <v>6</v>
      </c>
      <c r="F65" s="56">
        <v>0.375</v>
      </c>
      <c r="G65" s="54" t="s">
        <v>19</v>
      </c>
      <c r="H65" s="56">
        <v>488.75</v>
      </c>
      <c r="I65" s="57">
        <v>573.1875</v>
      </c>
    </row>
    <row r="66" spans="1:9" x14ac:dyDescent="0.3">
      <c r="A66" s="60" t="s">
        <v>505</v>
      </c>
      <c r="B66" s="26" t="s">
        <v>80</v>
      </c>
      <c r="C66" s="26">
        <v>49</v>
      </c>
      <c r="D66" s="26" t="s">
        <v>157</v>
      </c>
      <c r="E66" s="26">
        <v>34</v>
      </c>
      <c r="F66" s="54">
        <v>0.69387755102040816</v>
      </c>
      <c r="G66" s="54" t="s">
        <v>19</v>
      </c>
      <c r="H66" s="54">
        <v>360.24489795918367</v>
      </c>
      <c r="I66" s="55">
        <v>488.0204081632653</v>
      </c>
    </row>
    <row r="67" spans="1:9" x14ac:dyDescent="0.3">
      <c r="A67" s="61" t="s">
        <v>506</v>
      </c>
      <c r="B67" s="48" t="s">
        <v>71</v>
      </c>
      <c r="C67" s="48">
        <v>37</v>
      </c>
      <c r="D67" s="48" t="s">
        <v>155</v>
      </c>
      <c r="E67" s="48">
        <v>23</v>
      </c>
      <c r="F67" s="56">
        <v>0.6216216216216216</v>
      </c>
      <c r="G67" s="54" t="s">
        <v>19</v>
      </c>
      <c r="H67" s="56">
        <v>750.59459459459458</v>
      </c>
      <c r="I67" s="57">
        <v>847.64864864864865</v>
      </c>
    </row>
    <row r="68" spans="1:9" x14ac:dyDescent="0.3">
      <c r="A68" s="60" t="s">
        <v>507</v>
      </c>
      <c r="B68" s="26" t="s">
        <v>87</v>
      </c>
      <c r="C68" s="26">
        <v>16</v>
      </c>
      <c r="D68" s="26" t="s">
        <v>156</v>
      </c>
      <c r="E68" s="26">
        <v>6</v>
      </c>
      <c r="F68" s="54">
        <v>0.375</v>
      </c>
      <c r="G68" s="54" t="s">
        <v>19</v>
      </c>
      <c r="H68" s="54">
        <v>308.5</v>
      </c>
      <c r="I68" s="55">
        <v>412.5</v>
      </c>
    </row>
    <row r="69" spans="1:9" x14ac:dyDescent="0.3">
      <c r="A69" s="61" t="s">
        <v>508</v>
      </c>
      <c r="B69" s="48" t="s">
        <v>70</v>
      </c>
      <c r="C69" s="48">
        <v>21</v>
      </c>
      <c r="D69" s="48" t="s">
        <v>155</v>
      </c>
      <c r="E69" s="48">
        <v>10</v>
      </c>
      <c r="F69" s="56">
        <v>0.47619047619047616</v>
      </c>
      <c r="G69" s="54" t="s">
        <v>19</v>
      </c>
      <c r="H69" s="56">
        <v>732.76190476190482</v>
      </c>
      <c r="I69" s="57">
        <v>823.23809523809518</v>
      </c>
    </row>
    <row r="70" spans="1:9" x14ac:dyDescent="0.3">
      <c r="A70" s="60" t="s">
        <v>509</v>
      </c>
      <c r="B70" s="26" t="s">
        <v>79</v>
      </c>
      <c r="C70" s="26">
        <v>34</v>
      </c>
      <c r="D70" s="26" t="s">
        <v>158</v>
      </c>
      <c r="E70" s="26">
        <v>27</v>
      </c>
      <c r="F70" s="54">
        <v>0.79411764705882348</v>
      </c>
      <c r="G70" s="54" t="s">
        <v>19</v>
      </c>
      <c r="H70" s="54">
        <v>643.44117647058829</v>
      </c>
      <c r="I70" s="55">
        <v>851.08823529411768</v>
      </c>
    </row>
    <row r="71" spans="1:9" x14ac:dyDescent="0.3">
      <c r="A71" s="61" t="s">
        <v>510</v>
      </c>
      <c r="B71" s="48" t="s">
        <v>142</v>
      </c>
      <c r="C71" s="48">
        <v>24</v>
      </c>
      <c r="D71" s="48" t="s">
        <v>158</v>
      </c>
      <c r="E71" s="48">
        <v>9</v>
      </c>
      <c r="F71" s="56">
        <v>0.375</v>
      </c>
      <c r="G71" s="54" t="s">
        <v>19</v>
      </c>
      <c r="H71" s="56">
        <v>563.66666666666663</v>
      </c>
      <c r="I71" s="57">
        <v>692.95833333333337</v>
      </c>
    </row>
    <row r="72" spans="1:9" x14ac:dyDescent="0.3">
      <c r="A72" s="60" t="s">
        <v>511</v>
      </c>
      <c r="B72" s="26" t="s">
        <v>109</v>
      </c>
      <c r="C72" s="26">
        <v>21</v>
      </c>
      <c r="D72" s="26" t="s">
        <v>159</v>
      </c>
      <c r="E72" s="26">
        <v>11</v>
      </c>
      <c r="F72" s="54">
        <v>0.52380952380952384</v>
      </c>
      <c r="G72" s="54" t="s">
        <v>19</v>
      </c>
      <c r="H72" s="54">
        <v>373.71428571428572</v>
      </c>
      <c r="I72" s="55">
        <v>458.95238095238096</v>
      </c>
    </row>
    <row r="73" spans="1:9" x14ac:dyDescent="0.3">
      <c r="A73" s="61" t="s">
        <v>512</v>
      </c>
      <c r="B73" s="48" t="s">
        <v>132</v>
      </c>
      <c r="C73" s="48">
        <v>117</v>
      </c>
      <c r="D73" s="48" t="s">
        <v>155</v>
      </c>
      <c r="E73" s="48">
        <v>61</v>
      </c>
      <c r="F73" s="56">
        <v>0.5213675213675214</v>
      </c>
      <c r="G73" s="54" t="s">
        <v>19</v>
      </c>
      <c r="H73" s="56">
        <v>635.81196581196582</v>
      </c>
      <c r="I73" s="57">
        <v>793.85470085470081</v>
      </c>
    </row>
    <row r="74" spans="1:9" x14ac:dyDescent="0.3">
      <c r="A74" s="60" t="s">
        <v>513</v>
      </c>
      <c r="B74" s="26" t="s">
        <v>87</v>
      </c>
      <c r="C74" s="26">
        <v>27</v>
      </c>
      <c r="D74" s="26" t="s">
        <v>156</v>
      </c>
      <c r="E74" s="26">
        <v>12</v>
      </c>
      <c r="F74" s="54">
        <v>0.44444444444444442</v>
      </c>
      <c r="G74" s="54" t="s">
        <v>19</v>
      </c>
      <c r="H74" s="54">
        <v>322.2962962962963</v>
      </c>
      <c r="I74" s="55">
        <v>439.22222222222223</v>
      </c>
    </row>
    <row r="75" spans="1:9" x14ac:dyDescent="0.3">
      <c r="A75" s="61" t="s">
        <v>514</v>
      </c>
      <c r="B75" s="48" t="s">
        <v>99</v>
      </c>
      <c r="C75" s="48">
        <v>12</v>
      </c>
      <c r="D75" s="48" t="s">
        <v>18</v>
      </c>
      <c r="E75" s="48">
        <v>5</v>
      </c>
      <c r="F75" s="56">
        <v>0.41666666666666669</v>
      </c>
      <c r="G75" s="54" t="s">
        <v>19</v>
      </c>
      <c r="H75" s="56">
        <v>502.5</v>
      </c>
      <c r="I75" s="57">
        <v>605</v>
      </c>
    </row>
    <row r="76" spans="1:9" x14ac:dyDescent="0.3">
      <c r="A76" s="60" t="s">
        <v>515</v>
      </c>
      <c r="B76" s="26" t="s">
        <v>40</v>
      </c>
      <c r="C76" s="26">
        <v>16</v>
      </c>
      <c r="D76" s="26" t="s">
        <v>157</v>
      </c>
      <c r="E76" s="26">
        <v>6</v>
      </c>
      <c r="F76" s="54">
        <v>0.375</v>
      </c>
      <c r="G76" s="54" t="s">
        <v>19</v>
      </c>
      <c r="H76" s="54">
        <v>292.8125</v>
      </c>
      <c r="I76" s="55">
        <v>364.6875</v>
      </c>
    </row>
    <row r="77" spans="1:9" x14ac:dyDescent="0.3">
      <c r="A77" s="61" t="s">
        <v>516</v>
      </c>
      <c r="B77" s="48" t="s">
        <v>50</v>
      </c>
      <c r="C77" s="48">
        <v>35</v>
      </c>
      <c r="D77" s="48" t="s">
        <v>157</v>
      </c>
      <c r="E77" s="48">
        <v>21</v>
      </c>
      <c r="F77" s="56">
        <v>0.6</v>
      </c>
      <c r="G77" s="54" t="s">
        <v>19</v>
      </c>
      <c r="H77" s="56">
        <v>341.62857142857143</v>
      </c>
      <c r="I77" s="57">
        <v>483.51428571428573</v>
      </c>
    </row>
    <row r="78" spans="1:9" x14ac:dyDescent="0.3">
      <c r="A78" s="60" t="s">
        <v>517</v>
      </c>
      <c r="B78" s="26" t="s">
        <v>88</v>
      </c>
      <c r="C78" s="26">
        <v>21</v>
      </c>
      <c r="D78" s="26" t="s">
        <v>158</v>
      </c>
      <c r="E78" s="26">
        <v>15</v>
      </c>
      <c r="F78" s="54">
        <v>0.7142857142857143</v>
      </c>
      <c r="G78" s="54" t="s">
        <v>19</v>
      </c>
      <c r="H78" s="54">
        <v>580.61904761904759</v>
      </c>
      <c r="I78" s="55">
        <v>738.33333333333337</v>
      </c>
    </row>
    <row r="79" spans="1:9" x14ac:dyDescent="0.3">
      <c r="A79" s="61" t="s">
        <v>518</v>
      </c>
      <c r="B79" s="48" t="s">
        <v>93</v>
      </c>
      <c r="C79" s="48">
        <v>18</v>
      </c>
      <c r="D79" s="48" t="s">
        <v>18</v>
      </c>
      <c r="E79" s="48">
        <v>12</v>
      </c>
      <c r="F79" s="56">
        <v>0.66666666666666663</v>
      </c>
      <c r="G79" s="54" t="s">
        <v>19</v>
      </c>
      <c r="H79" s="56">
        <v>539.55555555555554</v>
      </c>
      <c r="I79" s="57">
        <v>745.77777777777783</v>
      </c>
    </row>
    <row r="80" spans="1:9" x14ac:dyDescent="0.3">
      <c r="A80" s="60" t="s">
        <v>519</v>
      </c>
      <c r="B80" s="26" t="s">
        <v>55</v>
      </c>
      <c r="C80" s="26">
        <v>26</v>
      </c>
      <c r="D80" s="26" t="s">
        <v>155</v>
      </c>
      <c r="E80" s="26">
        <v>17</v>
      </c>
      <c r="F80" s="54">
        <v>0.65384615384615385</v>
      </c>
      <c r="G80" s="54" t="s">
        <v>19</v>
      </c>
      <c r="H80" s="54">
        <v>782.23076923076928</v>
      </c>
      <c r="I80" s="55">
        <v>901.88461538461536</v>
      </c>
    </row>
    <row r="81" spans="1:9" x14ac:dyDescent="0.3">
      <c r="A81" s="61" t="s">
        <v>520</v>
      </c>
      <c r="B81" s="48" t="s">
        <v>146</v>
      </c>
      <c r="C81" s="48">
        <v>27</v>
      </c>
      <c r="D81" s="48" t="s">
        <v>156</v>
      </c>
      <c r="E81" s="48">
        <v>8</v>
      </c>
      <c r="F81" s="56">
        <v>0.29629629629629628</v>
      </c>
      <c r="G81" s="54" t="s">
        <v>19</v>
      </c>
      <c r="H81" s="56">
        <v>304.59259259259261</v>
      </c>
      <c r="I81" s="57">
        <v>387.96296296296299</v>
      </c>
    </row>
    <row r="82" spans="1:9" x14ac:dyDescent="0.3">
      <c r="A82" s="60" t="s">
        <v>521</v>
      </c>
      <c r="B82" s="26" t="s">
        <v>80</v>
      </c>
      <c r="C82" s="26">
        <v>18</v>
      </c>
      <c r="D82" s="26" t="s">
        <v>157</v>
      </c>
      <c r="E82" s="26">
        <v>12</v>
      </c>
      <c r="F82" s="54">
        <v>0.66666666666666663</v>
      </c>
      <c r="G82" s="54" t="s">
        <v>19</v>
      </c>
      <c r="H82" s="54">
        <v>370.05555555555554</v>
      </c>
      <c r="I82" s="55">
        <v>502.38888888888891</v>
      </c>
    </row>
    <row r="83" spans="1:9" x14ac:dyDescent="0.3">
      <c r="A83" s="61" t="s">
        <v>522</v>
      </c>
      <c r="B83" s="48" t="s">
        <v>146</v>
      </c>
      <c r="C83" s="48">
        <v>26</v>
      </c>
      <c r="D83" s="48" t="s">
        <v>159</v>
      </c>
      <c r="E83" s="48">
        <v>17</v>
      </c>
      <c r="F83" s="56">
        <v>0.65384615384615385</v>
      </c>
      <c r="G83" s="54" t="s">
        <v>19</v>
      </c>
      <c r="H83" s="56">
        <v>329.03846153846155</v>
      </c>
      <c r="I83" s="57">
        <v>469.96153846153845</v>
      </c>
    </row>
    <row r="84" spans="1:9" x14ac:dyDescent="0.3">
      <c r="A84" s="60" t="s">
        <v>523</v>
      </c>
      <c r="B84" s="26" t="s">
        <v>93</v>
      </c>
      <c r="C84" s="26">
        <v>14</v>
      </c>
      <c r="D84" s="26" t="s">
        <v>18</v>
      </c>
      <c r="E84" s="26">
        <v>6</v>
      </c>
      <c r="F84" s="54">
        <v>0.42857142857142855</v>
      </c>
      <c r="G84" s="54" t="s">
        <v>19</v>
      </c>
      <c r="H84" s="54">
        <v>550.07142857142856</v>
      </c>
      <c r="I84" s="55">
        <v>721.85714285714289</v>
      </c>
    </row>
    <row r="85" spans="1:9" x14ac:dyDescent="0.3">
      <c r="A85" s="61" t="s">
        <v>524</v>
      </c>
      <c r="B85" s="48" t="s">
        <v>113</v>
      </c>
      <c r="C85" s="48">
        <v>7</v>
      </c>
      <c r="D85" s="48" t="s">
        <v>155</v>
      </c>
      <c r="E85" s="48">
        <v>1</v>
      </c>
      <c r="F85" s="56">
        <v>0.14285714285714285</v>
      </c>
      <c r="G85" s="54" t="s">
        <v>26</v>
      </c>
      <c r="H85" s="56">
        <v>708.57142857142856</v>
      </c>
      <c r="I85" s="57">
        <v>763.85714285714289</v>
      </c>
    </row>
    <row r="86" spans="1:9" x14ac:dyDescent="0.3">
      <c r="A86" s="60" t="s">
        <v>525</v>
      </c>
      <c r="B86" s="26" t="s">
        <v>20</v>
      </c>
      <c r="C86" s="26">
        <v>24</v>
      </c>
      <c r="D86" s="26" t="s">
        <v>155</v>
      </c>
      <c r="E86" s="26">
        <v>6</v>
      </c>
      <c r="F86" s="54">
        <v>0.25</v>
      </c>
      <c r="G86" s="54" t="s">
        <v>19</v>
      </c>
      <c r="H86" s="54">
        <v>615.875</v>
      </c>
      <c r="I86" s="55">
        <v>695.125</v>
      </c>
    </row>
    <row r="87" spans="1:9" x14ac:dyDescent="0.3">
      <c r="A87" s="61" t="s">
        <v>526</v>
      </c>
      <c r="B87" s="48" t="s">
        <v>38</v>
      </c>
      <c r="C87" s="48">
        <v>13</v>
      </c>
      <c r="D87" s="48" t="s">
        <v>155</v>
      </c>
      <c r="E87" s="48">
        <v>4</v>
      </c>
      <c r="F87" s="56">
        <v>0.30769230769230771</v>
      </c>
      <c r="G87" s="54" t="s">
        <v>19</v>
      </c>
      <c r="H87" s="56">
        <v>590</v>
      </c>
      <c r="I87" s="57">
        <v>725</v>
      </c>
    </row>
    <row r="88" spans="1:9" x14ac:dyDescent="0.3">
      <c r="A88" s="60" t="s">
        <v>527</v>
      </c>
      <c r="B88" s="26" t="s">
        <v>147</v>
      </c>
      <c r="C88" s="26">
        <v>28</v>
      </c>
      <c r="D88" s="26" t="s">
        <v>157</v>
      </c>
      <c r="E88" s="26">
        <v>17</v>
      </c>
      <c r="F88" s="54">
        <v>0.6071428571428571</v>
      </c>
      <c r="G88" s="54" t="s">
        <v>19</v>
      </c>
      <c r="H88" s="54">
        <v>370.75</v>
      </c>
      <c r="I88" s="55">
        <v>513.46428571428567</v>
      </c>
    </row>
    <row r="89" spans="1:9" x14ac:dyDescent="0.3">
      <c r="A89" s="61" t="s">
        <v>528</v>
      </c>
      <c r="B89" s="48" t="s">
        <v>46</v>
      </c>
      <c r="C89" s="48">
        <v>3</v>
      </c>
      <c r="D89" s="48" t="s">
        <v>157</v>
      </c>
      <c r="E89" s="48">
        <v>2</v>
      </c>
      <c r="F89" s="56">
        <v>0.66666666666666663</v>
      </c>
      <c r="G89" s="54" t="s">
        <v>26</v>
      </c>
      <c r="H89" s="56">
        <v>366.33333333333331</v>
      </c>
      <c r="I89" s="57">
        <v>503.33333333333331</v>
      </c>
    </row>
    <row r="90" spans="1:9" x14ac:dyDescent="0.3">
      <c r="A90" s="60" t="s">
        <v>529</v>
      </c>
      <c r="B90" s="26" t="s">
        <v>130</v>
      </c>
      <c r="C90" s="26">
        <v>34</v>
      </c>
      <c r="D90" s="26" t="s">
        <v>156</v>
      </c>
      <c r="E90" s="26">
        <v>27</v>
      </c>
      <c r="F90" s="54">
        <v>0.79411764705882348</v>
      </c>
      <c r="G90" s="54" t="s">
        <v>19</v>
      </c>
      <c r="H90" s="54">
        <v>362.85294117647061</v>
      </c>
      <c r="I90" s="55">
        <v>510.61764705882354</v>
      </c>
    </row>
    <row r="91" spans="1:9" x14ac:dyDescent="0.3">
      <c r="A91" s="61" t="s">
        <v>530</v>
      </c>
      <c r="B91" s="48" t="s">
        <v>79</v>
      </c>
      <c r="C91" s="48">
        <v>54</v>
      </c>
      <c r="D91" s="48" t="s">
        <v>158</v>
      </c>
      <c r="E91" s="48">
        <v>26</v>
      </c>
      <c r="F91" s="56">
        <v>0.48148148148148145</v>
      </c>
      <c r="G91" s="54" t="s">
        <v>19</v>
      </c>
      <c r="H91" s="56">
        <v>586.16666666666663</v>
      </c>
      <c r="I91" s="57">
        <v>769.37037037037032</v>
      </c>
    </row>
    <row r="92" spans="1:9" x14ac:dyDescent="0.3">
      <c r="A92" s="60" t="s">
        <v>531</v>
      </c>
      <c r="B92" s="26" t="s">
        <v>146</v>
      </c>
      <c r="C92" s="26">
        <v>11</v>
      </c>
      <c r="D92" s="26" t="s">
        <v>159</v>
      </c>
      <c r="E92" s="26">
        <v>4</v>
      </c>
      <c r="F92" s="54">
        <v>0.36363636363636365</v>
      </c>
      <c r="G92" s="54" t="s">
        <v>19</v>
      </c>
      <c r="H92" s="54">
        <v>297.63636363636363</v>
      </c>
      <c r="I92" s="55">
        <v>456.81818181818181</v>
      </c>
    </row>
    <row r="93" spans="1:9" x14ac:dyDescent="0.3">
      <c r="A93" s="61" t="s">
        <v>532</v>
      </c>
      <c r="B93" s="48" t="s">
        <v>80</v>
      </c>
      <c r="C93" s="48">
        <v>49</v>
      </c>
      <c r="D93" s="48" t="s">
        <v>157</v>
      </c>
      <c r="E93" s="48">
        <v>25</v>
      </c>
      <c r="F93" s="56">
        <v>0.51020408163265307</v>
      </c>
      <c r="G93" s="54" t="s">
        <v>19</v>
      </c>
      <c r="H93" s="56">
        <v>326.10204081632651</v>
      </c>
      <c r="I93" s="57">
        <v>444.42857142857144</v>
      </c>
    </row>
    <row r="94" spans="1:9" x14ac:dyDescent="0.3">
      <c r="A94" s="60" t="s">
        <v>533</v>
      </c>
      <c r="B94" s="26" t="s">
        <v>80</v>
      </c>
      <c r="C94" s="26">
        <v>33</v>
      </c>
      <c r="D94" s="26" t="s">
        <v>157</v>
      </c>
      <c r="E94" s="26">
        <v>16</v>
      </c>
      <c r="F94" s="54">
        <v>0.48484848484848486</v>
      </c>
      <c r="G94" s="54" t="s">
        <v>19</v>
      </c>
      <c r="H94" s="54">
        <v>337.30303030303031</v>
      </c>
      <c r="I94" s="55">
        <v>460.15151515151513</v>
      </c>
    </row>
    <row r="95" spans="1:9" x14ac:dyDescent="0.3">
      <c r="A95" s="61" t="s">
        <v>534</v>
      </c>
      <c r="B95" s="48" t="s">
        <v>87</v>
      </c>
      <c r="C95" s="48">
        <v>18</v>
      </c>
      <c r="D95" s="48" t="s">
        <v>156</v>
      </c>
      <c r="E95" s="48">
        <v>12</v>
      </c>
      <c r="F95" s="56">
        <v>0.66666666666666663</v>
      </c>
      <c r="G95" s="54" t="s">
        <v>19</v>
      </c>
      <c r="H95" s="56">
        <v>381.11111111111109</v>
      </c>
      <c r="I95" s="57">
        <v>511.05555555555554</v>
      </c>
    </row>
    <row r="96" spans="1:9" x14ac:dyDescent="0.3">
      <c r="A96" s="60" t="s">
        <v>535</v>
      </c>
      <c r="B96" s="26" t="s">
        <v>70</v>
      </c>
      <c r="C96" s="26">
        <v>34</v>
      </c>
      <c r="D96" s="26" t="s">
        <v>155</v>
      </c>
      <c r="E96" s="26">
        <v>27</v>
      </c>
      <c r="F96" s="54">
        <v>0.79411764705882348</v>
      </c>
      <c r="G96" s="54" t="s">
        <v>19</v>
      </c>
      <c r="H96" s="54">
        <v>751.47058823529414</v>
      </c>
      <c r="I96" s="55">
        <v>875.5</v>
      </c>
    </row>
    <row r="97" spans="1:9" x14ac:dyDescent="0.3">
      <c r="A97" s="61" t="s">
        <v>536</v>
      </c>
      <c r="B97" s="48" t="s">
        <v>55</v>
      </c>
      <c r="C97" s="48">
        <v>3</v>
      </c>
      <c r="D97" s="48" t="s">
        <v>158</v>
      </c>
      <c r="E97" s="48">
        <v>2</v>
      </c>
      <c r="F97" s="56">
        <v>0.66666666666666663</v>
      </c>
      <c r="G97" s="54" t="s">
        <v>26</v>
      </c>
      <c r="H97" s="56">
        <v>540</v>
      </c>
      <c r="I97" s="57">
        <v>659.33333333333337</v>
      </c>
    </row>
    <row r="98" spans="1:9" x14ac:dyDescent="0.3">
      <c r="A98" s="60" t="s">
        <v>537</v>
      </c>
      <c r="B98" s="26" t="s">
        <v>105</v>
      </c>
      <c r="C98" s="26">
        <v>24</v>
      </c>
      <c r="D98" s="26" t="s">
        <v>18</v>
      </c>
      <c r="E98" s="26">
        <v>10</v>
      </c>
      <c r="F98" s="54">
        <v>0.41666666666666669</v>
      </c>
      <c r="G98" s="54" t="s">
        <v>19</v>
      </c>
      <c r="H98" s="54">
        <v>555.91666666666663</v>
      </c>
      <c r="I98" s="55">
        <v>701.91666666666663</v>
      </c>
    </row>
    <row r="99" spans="1:9" x14ac:dyDescent="0.3">
      <c r="A99" s="61" t="s">
        <v>538</v>
      </c>
      <c r="B99" s="48" t="s">
        <v>53</v>
      </c>
      <c r="C99" s="48">
        <v>15</v>
      </c>
      <c r="D99" s="48" t="s">
        <v>157</v>
      </c>
      <c r="E99" s="48">
        <v>8</v>
      </c>
      <c r="F99" s="56">
        <v>0.53333333333333333</v>
      </c>
      <c r="G99" s="54" t="s">
        <v>19</v>
      </c>
      <c r="H99" s="56">
        <v>357.13333333333333</v>
      </c>
      <c r="I99" s="57">
        <v>502.2</v>
      </c>
    </row>
    <row r="100" spans="1:9" x14ac:dyDescent="0.3">
      <c r="A100" s="60" t="s">
        <v>539</v>
      </c>
      <c r="B100" s="26" t="s">
        <v>30</v>
      </c>
      <c r="C100" s="26">
        <v>16</v>
      </c>
      <c r="D100" s="26" t="s">
        <v>18</v>
      </c>
      <c r="E100" s="26">
        <v>6</v>
      </c>
      <c r="F100" s="54">
        <v>0.375</v>
      </c>
      <c r="G100" s="54" t="s">
        <v>19</v>
      </c>
      <c r="H100" s="54">
        <v>545.4375</v>
      </c>
      <c r="I100" s="55">
        <v>636.8125</v>
      </c>
    </row>
    <row r="101" spans="1:9" x14ac:dyDescent="0.3">
      <c r="A101" s="61" t="s">
        <v>540</v>
      </c>
      <c r="B101" s="48" t="s">
        <v>80</v>
      </c>
      <c r="C101" s="48">
        <v>11</v>
      </c>
      <c r="D101" s="48" t="s">
        <v>156</v>
      </c>
      <c r="E101" s="48">
        <v>5</v>
      </c>
      <c r="F101" s="56">
        <v>0.45454545454545453</v>
      </c>
      <c r="G101" s="54" t="s">
        <v>19</v>
      </c>
      <c r="H101" s="56">
        <v>349.81818181818181</v>
      </c>
      <c r="I101" s="57">
        <v>452.90909090909093</v>
      </c>
    </row>
    <row r="102" spans="1:9" x14ac:dyDescent="0.3">
      <c r="A102" s="60" t="s">
        <v>541</v>
      </c>
      <c r="B102" s="26" t="s">
        <v>29</v>
      </c>
      <c r="C102" s="26">
        <v>33</v>
      </c>
      <c r="D102" s="26" t="s">
        <v>18</v>
      </c>
      <c r="E102" s="26">
        <v>23</v>
      </c>
      <c r="F102" s="54">
        <v>0.69696969696969702</v>
      </c>
      <c r="G102" s="54" t="s">
        <v>19</v>
      </c>
      <c r="H102" s="54">
        <v>575.42424242424238</v>
      </c>
      <c r="I102" s="55">
        <v>739.36363636363637</v>
      </c>
    </row>
    <row r="103" spans="1:9" x14ac:dyDescent="0.3">
      <c r="A103" s="61" t="s">
        <v>542</v>
      </c>
      <c r="B103" s="48" t="s">
        <v>87</v>
      </c>
      <c r="C103" s="48">
        <v>24</v>
      </c>
      <c r="D103" s="48" t="s">
        <v>158</v>
      </c>
      <c r="E103" s="48">
        <v>6</v>
      </c>
      <c r="F103" s="56">
        <v>0.25</v>
      </c>
      <c r="G103" s="54" t="s">
        <v>19</v>
      </c>
      <c r="H103" s="56">
        <v>525.54166666666663</v>
      </c>
      <c r="I103" s="57">
        <v>670.75</v>
      </c>
    </row>
    <row r="104" spans="1:9" x14ac:dyDescent="0.3">
      <c r="A104" s="60" t="s">
        <v>543</v>
      </c>
      <c r="B104" s="26" t="s">
        <v>24</v>
      </c>
      <c r="C104" s="26">
        <v>23</v>
      </c>
      <c r="D104" s="26" t="s">
        <v>158</v>
      </c>
      <c r="E104" s="26">
        <v>9</v>
      </c>
      <c r="F104" s="54">
        <v>0.39130434782608697</v>
      </c>
      <c r="G104" s="54" t="s">
        <v>19</v>
      </c>
      <c r="H104" s="54">
        <v>582.3478260869565</v>
      </c>
      <c r="I104" s="55">
        <v>758.3478260869565</v>
      </c>
    </row>
    <row r="105" spans="1:9" x14ac:dyDescent="0.3">
      <c r="A105" s="61" t="s">
        <v>544</v>
      </c>
      <c r="B105" s="48" t="s">
        <v>88</v>
      </c>
      <c r="C105" s="48">
        <v>22</v>
      </c>
      <c r="D105" s="48" t="s">
        <v>158</v>
      </c>
      <c r="E105" s="48">
        <v>14</v>
      </c>
      <c r="F105" s="56">
        <v>0.63636363636363635</v>
      </c>
      <c r="G105" s="54" t="s">
        <v>19</v>
      </c>
      <c r="H105" s="56">
        <v>579.40909090909088</v>
      </c>
      <c r="I105" s="57">
        <v>755.77272727272725</v>
      </c>
    </row>
    <row r="106" spans="1:9" x14ac:dyDescent="0.3">
      <c r="A106" s="60" t="s">
        <v>545</v>
      </c>
      <c r="B106" s="26" t="s">
        <v>45</v>
      </c>
      <c r="C106" s="26">
        <v>26</v>
      </c>
      <c r="D106" s="26" t="s">
        <v>158</v>
      </c>
      <c r="E106" s="26">
        <v>11</v>
      </c>
      <c r="F106" s="54">
        <v>0.42307692307692307</v>
      </c>
      <c r="G106" s="54" t="s">
        <v>19</v>
      </c>
      <c r="H106" s="54">
        <v>632.07692307692309</v>
      </c>
      <c r="I106" s="55">
        <v>840.11538461538464</v>
      </c>
    </row>
    <row r="107" spans="1:9" x14ac:dyDescent="0.3">
      <c r="A107" s="61" t="s">
        <v>546</v>
      </c>
      <c r="B107" s="48" t="s">
        <v>132</v>
      </c>
      <c r="C107" s="48">
        <v>11</v>
      </c>
      <c r="D107" s="48" t="s">
        <v>155</v>
      </c>
      <c r="E107" s="48">
        <v>4</v>
      </c>
      <c r="F107" s="56">
        <v>0.36363636363636365</v>
      </c>
      <c r="G107" s="54" t="s">
        <v>19</v>
      </c>
      <c r="H107" s="56">
        <v>710.63636363636363</v>
      </c>
      <c r="I107" s="57">
        <v>793.90909090909088</v>
      </c>
    </row>
    <row r="108" spans="1:9" x14ac:dyDescent="0.3">
      <c r="A108" s="60" t="s">
        <v>547</v>
      </c>
      <c r="B108" s="26" t="s">
        <v>124</v>
      </c>
      <c r="C108" s="26">
        <v>40</v>
      </c>
      <c r="D108" s="26" t="s">
        <v>156</v>
      </c>
      <c r="E108" s="26">
        <v>20</v>
      </c>
      <c r="F108" s="54">
        <v>0.5</v>
      </c>
      <c r="G108" s="54" t="s">
        <v>19</v>
      </c>
      <c r="H108" s="54">
        <v>324.67500000000001</v>
      </c>
      <c r="I108" s="55">
        <v>456.5</v>
      </c>
    </row>
    <row r="109" spans="1:9" x14ac:dyDescent="0.3">
      <c r="A109" s="61" t="s">
        <v>548</v>
      </c>
      <c r="B109" s="48" t="s">
        <v>102</v>
      </c>
      <c r="C109" s="48">
        <v>38</v>
      </c>
      <c r="D109" s="48" t="s">
        <v>155</v>
      </c>
      <c r="E109" s="48">
        <v>23</v>
      </c>
      <c r="F109" s="56">
        <v>0.60526315789473684</v>
      </c>
      <c r="G109" s="54" t="s">
        <v>19</v>
      </c>
      <c r="H109" s="56">
        <v>714.92105263157896</v>
      </c>
      <c r="I109" s="57">
        <v>846.02631578947364</v>
      </c>
    </row>
    <row r="110" spans="1:9" x14ac:dyDescent="0.3">
      <c r="A110" s="60" t="s">
        <v>549</v>
      </c>
      <c r="B110" s="26" t="s">
        <v>79</v>
      </c>
      <c r="C110" s="26">
        <v>18</v>
      </c>
      <c r="D110" s="26" t="s">
        <v>158</v>
      </c>
      <c r="E110" s="26">
        <v>12</v>
      </c>
      <c r="F110" s="54">
        <v>0.66666666666666663</v>
      </c>
      <c r="G110" s="54" t="s">
        <v>19</v>
      </c>
      <c r="H110" s="54">
        <v>646.83333333333337</v>
      </c>
      <c r="I110" s="55">
        <v>853.94444444444446</v>
      </c>
    </row>
    <row r="111" spans="1:9" x14ac:dyDescent="0.3">
      <c r="A111" s="61" t="s">
        <v>550</v>
      </c>
      <c r="B111" s="48" t="s">
        <v>99</v>
      </c>
      <c r="C111" s="48">
        <v>11</v>
      </c>
      <c r="D111" s="48" t="s">
        <v>18</v>
      </c>
      <c r="E111" s="48">
        <v>4</v>
      </c>
      <c r="F111" s="56">
        <v>0.36363636363636365</v>
      </c>
      <c r="G111" s="54" t="s">
        <v>19</v>
      </c>
      <c r="H111" s="56">
        <v>541.72727272727275</v>
      </c>
      <c r="I111" s="57">
        <v>725.5454545454545</v>
      </c>
    </row>
    <row r="112" spans="1:9" x14ac:dyDescent="0.3">
      <c r="A112" s="60" t="s">
        <v>551</v>
      </c>
      <c r="B112" s="26" t="s">
        <v>88</v>
      </c>
      <c r="C112" s="26">
        <v>23</v>
      </c>
      <c r="D112" s="26" t="s">
        <v>158</v>
      </c>
      <c r="E112" s="26">
        <v>15</v>
      </c>
      <c r="F112" s="54">
        <v>0.65217391304347827</v>
      </c>
      <c r="G112" s="54" t="s">
        <v>19</v>
      </c>
      <c r="H112" s="54">
        <v>603.60869565217388</v>
      </c>
      <c r="I112" s="55">
        <v>814.52173913043475</v>
      </c>
    </row>
    <row r="113" spans="1:9" x14ac:dyDescent="0.3">
      <c r="A113" s="61" t="s">
        <v>552</v>
      </c>
      <c r="B113" s="48" t="s">
        <v>54</v>
      </c>
      <c r="C113" s="48">
        <v>61</v>
      </c>
      <c r="D113" s="48" t="s">
        <v>158</v>
      </c>
      <c r="E113" s="48">
        <v>34</v>
      </c>
      <c r="F113" s="56">
        <v>0.55737704918032782</v>
      </c>
      <c r="G113" s="54" t="s">
        <v>19</v>
      </c>
      <c r="H113" s="56">
        <v>581.88524590163934</v>
      </c>
      <c r="I113" s="57">
        <v>757.39344262295083</v>
      </c>
    </row>
    <row r="114" spans="1:9" x14ac:dyDescent="0.3">
      <c r="A114" s="60" t="s">
        <v>553</v>
      </c>
      <c r="B114" s="26" t="s">
        <v>38</v>
      </c>
      <c r="C114" s="26">
        <v>34</v>
      </c>
      <c r="D114" s="26" t="s">
        <v>18</v>
      </c>
      <c r="E114" s="26">
        <v>27</v>
      </c>
      <c r="F114" s="54">
        <v>0.79411764705882348</v>
      </c>
      <c r="G114" s="54" t="s">
        <v>19</v>
      </c>
      <c r="H114" s="54">
        <v>624.61764705882354</v>
      </c>
      <c r="I114" s="55">
        <v>817.05882352941171</v>
      </c>
    </row>
    <row r="115" spans="1:9" x14ac:dyDescent="0.3">
      <c r="A115" s="61" t="s">
        <v>554</v>
      </c>
      <c r="B115" s="48" t="s">
        <v>138</v>
      </c>
      <c r="C115" s="48">
        <v>28</v>
      </c>
      <c r="D115" s="48" t="s">
        <v>158</v>
      </c>
      <c r="E115" s="48">
        <v>17</v>
      </c>
      <c r="F115" s="56">
        <v>0.6071428571428571</v>
      </c>
      <c r="G115" s="54" t="s">
        <v>19</v>
      </c>
      <c r="H115" s="56">
        <v>606.78571428571433</v>
      </c>
      <c r="I115" s="57">
        <v>803.75</v>
      </c>
    </row>
    <row r="116" spans="1:9" x14ac:dyDescent="0.3">
      <c r="A116" s="60" t="s">
        <v>555</v>
      </c>
      <c r="B116" s="26" t="s">
        <v>50</v>
      </c>
      <c r="C116" s="26">
        <v>28</v>
      </c>
      <c r="D116" s="26" t="s">
        <v>156</v>
      </c>
      <c r="E116" s="26">
        <v>17</v>
      </c>
      <c r="F116" s="54">
        <v>0.6071428571428571</v>
      </c>
      <c r="G116" s="54" t="s">
        <v>19</v>
      </c>
      <c r="H116" s="54">
        <v>340.64285714285717</v>
      </c>
      <c r="I116" s="55">
        <v>529.28571428571433</v>
      </c>
    </row>
    <row r="117" spans="1:9" x14ac:dyDescent="0.3">
      <c r="A117" s="61" t="s">
        <v>556</v>
      </c>
      <c r="B117" s="48" t="s">
        <v>139</v>
      </c>
      <c r="C117" s="48">
        <v>24</v>
      </c>
      <c r="D117" s="48" t="s">
        <v>157</v>
      </c>
      <c r="E117" s="48">
        <v>6</v>
      </c>
      <c r="F117" s="56">
        <v>0.25</v>
      </c>
      <c r="G117" s="54" t="s">
        <v>19</v>
      </c>
      <c r="H117" s="56">
        <v>297.33333333333331</v>
      </c>
      <c r="I117" s="57">
        <v>380.33333333333331</v>
      </c>
    </row>
    <row r="118" spans="1:9" x14ac:dyDescent="0.3">
      <c r="A118" s="60" t="s">
        <v>557</v>
      </c>
      <c r="B118" s="26" t="s">
        <v>46</v>
      </c>
      <c r="C118" s="26">
        <v>37</v>
      </c>
      <c r="D118" s="26" t="s">
        <v>156</v>
      </c>
      <c r="E118" s="26">
        <v>17</v>
      </c>
      <c r="F118" s="54">
        <v>0.45945945945945948</v>
      </c>
      <c r="G118" s="54" t="s">
        <v>19</v>
      </c>
      <c r="H118" s="54">
        <v>339.13513513513516</v>
      </c>
      <c r="I118" s="55">
        <v>480.29729729729729</v>
      </c>
    </row>
    <row r="119" spans="1:9" x14ac:dyDescent="0.3">
      <c r="A119" s="61" t="s">
        <v>558</v>
      </c>
      <c r="B119" s="48" t="s">
        <v>50</v>
      </c>
      <c r="C119" s="48">
        <v>35</v>
      </c>
      <c r="D119" s="48" t="s">
        <v>159</v>
      </c>
      <c r="E119" s="48">
        <v>18</v>
      </c>
      <c r="F119" s="56">
        <v>0.51428571428571423</v>
      </c>
      <c r="G119" s="54" t="s">
        <v>19</v>
      </c>
      <c r="H119" s="56">
        <v>346.02857142857141</v>
      </c>
      <c r="I119" s="57">
        <v>499.05714285714288</v>
      </c>
    </row>
    <row r="120" spans="1:9" x14ac:dyDescent="0.3">
      <c r="A120" s="60" t="s">
        <v>559</v>
      </c>
      <c r="B120" s="26" t="s">
        <v>146</v>
      </c>
      <c r="C120" s="26">
        <v>7</v>
      </c>
      <c r="D120" s="26" t="s">
        <v>156</v>
      </c>
      <c r="E120" s="26">
        <v>4</v>
      </c>
      <c r="F120" s="54">
        <v>0.5714285714285714</v>
      </c>
      <c r="G120" s="54" t="s">
        <v>26</v>
      </c>
      <c r="H120" s="54">
        <v>311.71428571428572</v>
      </c>
      <c r="I120" s="55">
        <v>475.14285714285717</v>
      </c>
    </row>
    <row r="121" spans="1:9" x14ac:dyDescent="0.3">
      <c r="A121" s="61" t="s">
        <v>560</v>
      </c>
      <c r="B121" s="48" t="s">
        <v>80</v>
      </c>
      <c r="C121" s="48">
        <v>26</v>
      </c>
      <c r="D121" s="48" t="s">
        <v>157</v>
      </c>
      <c r="E121" s="48">
        <v>17</v>
      </c>
      <c r="F121" s="56">
        <v>0.65384615384615385</v>
      </c>
      <c r="G121" s="54" t="s">
        <v>19</v>
      </c>
      <c r="H121" s="56">
        <v>367.65384615384613</v>
      </c>
      <c r="I121" s="57">
        <v>507.61538461538464</v>
      </c>
    </row>
    <row r="122" spans="1:9" x14ac:dyDescent="0.3">
      <c r="A122" s="60" t="s">
        <v>561</v>
      </c>
      <c r="B122" s="26" t="s">
        <v>99</v>
      </c>
      <c r="C122" s="26">
        <v>37</v>
      </c>
      <c r="D122" s="26" t="s">
        <v>18</v>
      </c>
      <c r="E122" s="26">
        <v>17</v>
      </c>
      <c r="F122" s="54">
        <v>0.45945945945945948</v>
      </c>
      <c r="G122" s="54" t="s">
        <v>19</v>
      </c>
      <c r="H122" s="54">
        <v>537</v>
      </c>
      <c r="I122" s="55">
        <v>674.78378378378375</v>
      </c>
    </row>
    <row r="123" spans="1:9" x14ac:dyDescent="0.3">
      <c r="A123" s="61" t="s">
        <v>562</v>
      </c>
      <c r="B123" s="48" t="s">
        <v>42</v>
      </c>
      <c r="C123" s="48">
        <v>7</v>
      </c>
      <c r="D123" s="48" t="s">
        <v>155</v>
      </c>
      <c r="E123" s="48">
        <v>3</v>
      </c>
      <c r="F123" s="56">
        <v>0.42857142857142855</v>
      </c>
      <c r="G123" s="54" t="s">
        <v>26</v>
      </c>
      <c r="H123" s="56">
        <v>666.71428571428567</v>
      </c>
      <c r="I123" s="57">
        <v>840.57142857142856</v>
      </c>
    </row>
    <row r="124" spans="1:9" x14ac:dyDescent="0.3">
      <c r="A124" s="60" t="s">
        <v>563</v>
      </c>
      <c r="B124" s="26" t="s">
        <v>102</v>
      </c>
      <c r="C124" s="26">
        <v>49</v>
      </c>
      <c r="D124" s="26" t="s">
        <v>158</v>
      </c>
      <c r="E124" s="26">
        <v>25</v>
      </c>
      <c r="F124" s="54">
        <v>0.51020408163265307</v>
      </c>
      <c r="G124" s="54" t="s">
        <v>19</v>
      </c>
      <c r="H124" s="54">
        <v>593.26530612244903</v>
      </c>
      <c r="I124" s="55">
        <v>786.0612244897959</v>
      </c>
    </row>
    <row r="125" spans="1:9" x14ac:dyDescent="0.3">
      <c r="A125" s="61" t="s">
        <v>564</v>
      </c>
      <c r="B125" s="48" t="s">
        <v>48</v>
      </c>
      <c r="C125" s="48">
        <v>28</v>
      </c>
      <c r="D125" s="48" t="s">
        <v>155</v>
      </c>
      <c r="E125" s="48">
        <v>17</v>
      </c>
      <c r="F125" s="56">
        <v>0.6071428571428571</v>
      </c>
      <c r="G125" s="54" t="s">
        <v>19</v>
      </c>
      <c r="H125" s="56">
        <v>709.17857142857144</v>
      </c>
      <c r="I125" s="57">
        <v>814.35714285714289</v>
      </c>
    </row>
    <row r="126" spans="1:9" x14ac:dyDescent="0.3">
      <c r="A126" s="60" t="s">
        <v>565</v>
      </c>
      <c r="B126" s="26" t="s">
        <v>88</v>
      </c>
      <c r="C126" s="26">
        <v>21</v>
      </c>
      <c r="D126" s="26" t="s">
        <v>158</v>
      </c>
      <c r="E126" s="26">
        <v>10</v>
      </c>
      <c r="F126" s="54">
        <v>0.47619047619047616</v>
      </c>
      <c r="G126" s="54" t="s">
        <v>19</v>
      </c>
      <c r="H126" s="54">
        <v>558.14285714285711</v>
      </c>
      <c r="I126" s="55">
        <v>686.95238095238096</v>
      </c>
    </row>
    <row r="127" spans="1:9" x14ac:dyDescent="0.3">
      <c r="A127" s="61" t="s">
        <v>566</v>
      </c>
      <c r="B127" s="48" t="s">
        <v>84</v>
      </c>
      <c r="C127" s="48">
        <v>38</v>
      </c>
      <c r="D127" s="48" t="s">
        <v>158</v>
      </c>
      <c r="E127" s="48">
        <v>23</v>
      </c>
      <c r="F127" s="56">
        <v>0.60526315789473684</v>
      </c>
      <c r="G127" s="54" t="s">
        <v>19</v>
      </c>
      <c r="H127" s="56">
        <v>662.42105263157896</v>
      </c>
      <c r="I127" s="57">
        <v>855.71052631578948</v>
      </c>
    </row>
    <row r="128" spans="1:9" x14ac:dyDescent="0.3">
      <c r="A128" s="60" t="s">
        <v>567</v>
      </c>
      <c r="B128" s="26" t="s">
        <v>93</v>
      </c>
      <c r="C128" s="26">
        <v>15</v>
      </c>
      <c r="D128" s="26" t="s">
        <v>18</v>
      </c>
      <c r="E128" s="26">
        <v>10</v>
      </c>
      <c r="F128" s="54">
        <v>0.66666666666666663</v>
      </c>
      <c r="G128" s="54" t="s">
        <v>19</v>
      </c>
      <c r="H128" s="54">
        <v>547.79999999999995</v>
      </c>
      <c r="I128" s="55">
        <v>648.79999999999995</v>
      </c>
    </row>
    <row r="129" spans="1:9" x14ac:dyDescent="0.3">
      <c r="A129" s="61" t="s">
        <v>568</v>
      </c>
      <c r="B129" s="48" t="s">
        <v>24</v>
      </c>
      <c r="C129" s="48">
        <v>49</v>
      </c>
      <c r="D129" s="48" t="s">
        <v>158</v>
      </c>
      <c r="E129" s="48">
        <v>34</v>
      </c>
      <c r="F129" s="56">
        <v>0.69387755102040816</v>
      </c>
      <c r="G129" s="54" t="s">
        <v>19</v>
      </c>
      <c r="H129" s="56">
        <v>614.14285714285711</v>
      </c>
      <c r="I129" s="57">
        <v>773.38775510204084</v>
      </c>
    </row>
    <row r="130" spans="1:9" x14ac:dyDescent="0.3">
      <c r="A130" s="60" t="s">
        <v>569</v>
      </c>
      <c r="B130" s="26" t="s">
        <v>138</v>
      </c>
      <c r="C130" s="26">
        <v>31</v>
      </c>
      <c r="D130" s="26" t="s">
        <v>158</v>
      </c>
      <c r="E130" s="26">
        <v>23</v>
      </c>
      <c r="F130" s="54">
        <v>0.74193548387096775</v>
      </c>
      <c r="G130" s="54" t="s">
        <v>19</v>
      </c>
      <c r="H130" s="54">
        <v>606.32258064516134</v>
      </c>
      <c r="I130" s="55">
        <v>753.83870967741939</v>
      </c>
    </row>
    <row r="131" spans="1:9" x14ac:dyDescent="0.3">
      <c r="A131" s="61" t="s">
        <v>570</v>
      </c>
      <c r="B131" s="48" t="s">
        <v>50</v>
      </c>
      <c r="C131" s="48">
        <v>29</v>
      </c>
      <c r="D131" s="48" t="s">
        <v>157</v>
      </c>
      <c r="E131" s="48">
        <v>20</v>
      </c>
      <c r="F131" s="56">
        <v>0.68965517241379315</v>
      </c>
      <c r="G131" s="54" t="s">
        <v>19</v>
      </c>
      <c r="H131" s="56">
        <v>362.10344827586209</v>
      </c>
      <c r="I131" s="57">
        <v>507.27586206896552</v>
      </c>
    </row>
    <row r="132" spans="1:9" x14ac:dyDescent="0.3">
      <c r="A132" s="60" t="s">
        <v>571</v>
      </c>
      <c r="B132" s="26" t="s">
        <v>45</v>
      </c>
      <c r="C132" s="26">
        <v>18</v>
      </c>
      <c r="D132" s="26" t="s">
        <v>158</v>
      </c>
      <c r="E132" s="26">
        <v>12</v>
      </c>
      <c r="F132" s="54">
        <v>0.66666666666666663</v>
      </c>
      <c r="G132" s="54" t="s">
        <v>19</v>
      </c>
      <c r="H132" s="54">
        <v>544.44444444444446</v>
      </c>
      <c r="I132" s="55">
        <v>692.44444444444446</v>
      </c>
    </row>
    <row r="133" spans="1:9" x14ac:dyDescent="0.3">
      <c r="A133" s="61" t="s">
        <v>572</v>
      </c>
      <c r="B133" s="48" t="s">
        <v>30</v>
      </c>
      <c r="C133" s="48">
        <v>3</v>
      </c>
      <c r="D133" s="48" t="s">
        <v>18</v>
      </c>
      <c r="E133" s="48">
        <v>1</v>
      </c>
      <c r="F133" s="56">
        <v>0.33333333333333331</v>
      </c>
      <c r="G133" s="54" t="s">
        <v>26</v>
      </c>
      <c r="H133" s="56">
        <v>547.66666666666663</v>
      </c>
      <c r="I133" s="57">
        <v>697.66666666666663</v>
      </c>
    </row>
    <row r="134" spans="1:9" x14ac:dyDescent="0.3">
      <c r="A134" s="60" t="s">
        <v>573</v>
      </c>
      <c r="B134" s="26" t="s">
        <v>87</v>
      </c>
      <c r="C134" s="26">
        <v>49</v>
      </c>
      <c r="D134" s="26" t="s">
        <v>156</v>
      </c>
      <c r="E134" s="26">
        <v>34</v>
      </c>
      <c r="F134" s="54">
        <v>0.69387755102040816</v>
      </c>
      <c r="G134" s="54" t="s">
        <v>19</v>
      </c>
      <c r="H134" s="54">
        <v>342.55102040816325</v>
      </c>
      <c r="I134" s="55">
        <v>527.36734693877554</v>
      </c>
    </row>
    <row r="135" spans="1:9" x14ac:dyDescent="0.3">
      <c r="A135" s="61" t="s">
        <v>574</v>
      </c>
      <c r="B135" s="48" t="s">
        <v>55</v>
      </c>
      <c r="C135" s="48">
        <v>12</v>
      </c>
      <c r="D135" s="48" t="s">
        <v>155</v>
      </c>
      <c r="E135" s="48">
        <v>4</v>
      </c>
      <c r="F135" s="56">
        <v>0.33333333333333331</v>
      </c>
      <c r="G135" s="54" t="s">
        <v>19</v>
      </c>
      <c r="H135" s="56">
        <v>570.75</v>
      </c>
      <c r="I135" s="57">
        <v>706.08333333333337</v>
      </c>
    </row>
    <row r="136" spans="1:9" x14ac:dyDescent="0.3">
      <c r="A136" s="60" t="s">
        <v>575</v>
      </c>
      <c r="B136" s="26" t="s">
        <v>110</v>
      </c>
      <c r="C136" s="26">
        <v>33</v>
      </c>
      <c r="D136" s="26" t="s">
        <v>158</v>
      </c>
      <c r="E136" s="26">
        <v>16</v>
      </c>
      <c r="F136" s="54">
        <v>0.48484848484848486</v>
      </c>
      <c r="G136" s="54" t="s">
        <v>19</v>
      </c>
      <c r="H136" s="54">
        <v>604.5151515151515</v>
      </c>
      <c r="I136" s="55">
        <v>758.27272727272725</v>
      </c>
    </row>
    <row r="137" spans="1:9" x14ac:dyDescent="0.3">
      <c r="A137" s="61" t="s">
        <v>576</v>
      </c>
      <c r="B137" s="48" t="s">
        <v>46</v>
      </c>
      <c r="C137" s="48">
        <v>12</v>
      </c>
      <c r="D137" s="48" t="s">
        <v>159</v>
      </c>
      <c r="E137" s="48">
        <v>5</v>
      </c>
      <c r="F137" s="56">
        <v>0.41666666666666669</v>
      </c>
      <c r="G137" s="54" t="s">
        <v>19</v>
      </c>
      <c r="H137" s="56">
        <v>326.41666666666669</v>
      </c>
      <c r="I137" s="57">
        <v>437.58333333333331</v>
      </c>
    </row>
    <row r="138" spans="1:9" x14ac:dyDescent="0.3">
      <c r="A138" s="60" t="s">
        <v>577</v>
      </c>
      <c r="B138" s="26" t="s">
        <v>51</v>
      </c>
      <c r="C138" s="26">
        <v>53</v>
      </c>
      <c r="D138" s="26" t="s">
        <v>158</v>
      </c>
      <c r="E138" s="26">
        <v>19</v>
      </c>
      <c r="F138" s="54">
        <v>0.35849056603773582</v>
      </c>
      <c r="G138" s="54" t="s">
        <v>19</v>
      </c>
      <c r="H138" s="54">
        <v>528.96226415094338</v>
      </c>
      <c r="I138" s="55">
        <v>655.24528301886789</v>
      </c>
    </row>
    <row r="139" spans="1:9" x14ac:dyDescent="0.3">
      <c r="A139" s="61" t="s">
        <v>578</v>
      </c>
      <c r="B139" s="48" t="s">
        <v>140</v>
      </c>
      <c r="C139" s="48">
        <v>23</v>
      </c>
      <c r="D139" s="48" t="s">
        <v>156</v>
      </c>
      <c r="E139" s="48">
        <v>9</v>
      </c>
      <c r="F139" s="56">
        <v>0.39130434782608697</v>
      </c>
      <c r="G139" s="54" t="s">
        <v>19</v>
      </c>
      <c r="H139" s="56">
        <v>320.43478260869563</v>
      </c>
      <c r="I139" s="57">
        <v>450.69565217391306</v>
      </c>
    </row>
    <row r="140" spans="1:9" x14ac:dyDescent="0.3">
      <c r="A140" s="60" t="s">
        <v>579</v>
      </c>
      <c r="B140" s="26" t="s">
        <v>102</v>
      </c>
      <c r="C140" s="26">
        <v>37</v>
      </c>
      <c r="D140" s="26" t="s">
        <v>155</v>
      </c>
      <c r="E140" s="26">
        <v>20</v>
      </c>
      <c r="F140" s="54">
        <v>0.54054054054054057</v>
      </c>
      <c r="G140" s="54" t="s">
        <v>19</v>
      </c>
      <c r="H140" s="54">
        <v>697.54054054054052</v>
      </c>
      <c r="I140" s="55">
        <v>817.83783783783781</v>
      </c>
    </row>
    <row r="141" spans="1:9" x14ac:dyDescent="0.3">
      <c r="A141" s="61" t="s">
        <v>580</v>
      </c>
      <c r="B141" s="48" t="s">
        <v>54</v>
      </c>
      <c r="C141" s="48">
        <v>11</v>
      </c>
      <c r="D141" s="48" t="s">
        <v>158</v>
      </c>
      <c r="E141" s="48">
        <v>5</v>
      </c>
      <c r="F141" s="56">
        <v>0.45454545454545453</v>
      </c>
      <c r="G141" s="54" t="s">
        <v>19</v>
      </c>
      <c r="H141" s="56">
        <v>569.27272727272725</v>
      </c>
      <c r="I141" s="57">
        <v>684.63636363636363</v>
      </c>
    </row>
    <row r="142" spans="1:9" x14ac:dyDescent="0.3">
      <c r="A142" s="60" t="s">
        <v>581</v>
      </c>
      <c r="B142" s="26" t="s">
        <v>87</v>
      </c>
      <c r="C142" s="26">
        <v>15</v>
      </c>
      <c r="D142" s="26" t="s">
        <v>157</v>
      </c>
      <c r="E142" s="26">
        <v>10</v>
      </c>
      <c r="F142" s="54">
        <v>0.66666666666666663</v>
      </c>
      <c r="G142" s="54" t="s">
        <v>19</v>
      </c>
      <c r="H142" s="54">
        <v>367.33333333333331</v>
      </c>
      <c r="I142" s="55">
        <v>509.73333333333335</v>
      </c>
    </row>
    <row r="143" spans="1:9" x14ac:dyDescent="0.3">
      <c r="A143" s="61" t="s">
        <v>582</v>
      </c>
      <c r="B143" s="48" t="s">
        <v>105</v>
      </c>
      <c r="C143" s="48">
        <v>21</v>
      </c>
      <c r="D143" s="48" t="s">
        <v>18</v>
      </c>
      <c r="E143" s="48">
        <v>10</v>
      </c>
      <c r="F143" s="56">
        <v>0.47619047619047616</v>
      </c>
      <c r="G143" s="54" t="s">
        <v>19</v>
      </c>
      <c r="H143" s="56">
        <v>556.85714285714289</v>
      </c>
      <c r="I143" s="57">
        <v>704.47619047619048</v>
      </c>
    </row>
    <row r="144" spans="1:9" x14ac:dyDescent="0.3">
      <c r="A144" s="60" t="s">
        <v>583</v>
      </c>
      <c r="B144" s="26" t="s">
        <v>98</v>
      </c>
      <c r="C144" s="26">
        <v>12</v>
      </c>
      <c r="D144" s="26" t="s">
        <v>157</v>
      </c>
      <c r="E144" s="26">
        <v>7</v>
      </c>
      <c r="F144" s="54">
        <v>0.58333333333333337</v>
      </c>
      <c r="G144" s="54" t="s">
        <v>19</v>
      </c>
      <c r="H144" s="54">
        <v>330.08333333333331</v>
      </c>
      <c r="I144" s="55">
        <v>480.66666666666669</v>
      </c>
    </row>
    <row r="145" spans="1:9" x14ac:dyDescent="0.3">
      <c r="A145" s="61" t="s">
        <v>584</v>
      </c>
      <c r="B145" s="48" t="s">
        <v>40</v>
      </c>
      <c r="C145" s="48">
        <v>24</v>
      </c>
      <c r="D145" s="48" t="s">
        <v>156</v>
      </c>
      <c r="E145" s="48">
        <v>6</v>
      </c>
      <c r="F145" s="56">
        <v>0.25</v>
      </c>
      <c r="G145" s="54" t="s">
        <v>19</v>
      </c>
      <c r="H145" s="56">
        <v>291.79166666666669</v>
      </c>
      <c r="I145" s="57">
        <v>394.58333333333331</v>
      </c>
    </row>
    <row r="146" spans="1:9" x14ac:dyDescent="0.3">
      <c r="A146" s="60" t="s">
        <v>585</v>
      </c>
      <c r="B146" s="26" t="s">
        <v>40</v>
      </c>
      <c r="C146" s="26">
        <v>45</v>
      </c>
      <c r="D146" s="26" t="s">
        <v>159</v>
      </c>
      <c r="E146" s="26">
        <v>21</v>
      </c>
      <c r="F146" s="54">
        <v>0.46666666666666667</v>
      </c>
      <c r="G146" s="54" t="s">
        <v>19</v>
      </c>
      <c r="H146" s="54">
        <v>313.88888888888891</v>
      </c>
      <c r="I146" s="55">
        <v>460.46666666666664</v>
      </c>
    </row>
    <row r="147" spans="1:9" x14ac:dyDescent="0.3">
      <c r="A147" s="61" t="s">
        <v>586</v>
      </c>
      <c r="B147" s="48" t="s">
        <v>87</v>
      </c>
      <c r="C147" s="48">
        <v>18</v>
      </c>
      <c r="D147" s="48" t="s">
        <v>159</v>
      </c>
      <c r="E147" s="48">
        <v>12</v>
      </c>
      <c r="F147" s="56">
        <v>0.66666666666666663</v>
      </c>
      <c r="G147" s="54" t="s">
        <v>19</v>
      </c>
      <c r="H147" s="56">
        <v>368.33333333333331</v>
      </c>
      <c r="I147" s="57">
        <v>541.38888888888891</v>
      </c>
    </row>
    <row r="148" spans="1:9" x14ac:dyDescent="0.3">
      <c r="A148" s="60" t="s">
        <v>587</v>
      </c>
      <c r="B148" s="26" t="s">
        <v>45</v>
      </c>
      <c r="C148" s="26">
        <v>10</v>
      </c>
      <c r="D148" s="26" t="s">
        <v>158</v>
      </c>
      <c r="E148" s="26">
        <v>4</v>
      </c>
      <c r="F148" s="54">
        <v>0.4</v>
      </c>
      <c r="G148" s="54" t="s">
        <v>19</v>
      </c>
      <c r="H148" s="54">
        <v>501</v>
      </c>
      <c r="I148" s="55">
        <v>591.4</v>
      </c>
    </row>
    <row r="149" spans="1:9" x14ac:dyDescent="0.3">
      <c r="A149" s="61" t="s">
        <v>588</v>
      </c>
      <c r="B149" s="48" t="s">
        <v>50</v>
      </c>
      <c r="C149" s="48">
        <v>3</v>
      </c>
      <c r="D149" s="48" t="s">
        <v>157</v>
      </c>
      <c r="E149" s="48">
        <v>1</v>
      </c>
      <c r="F149" s="56">
        <v>0.33333333333333331</v>
      </c>
      <c r="G149" s="54" t="s">
        <v>26</v>
      </c>
      <c r="H149" s="56">
        <v>304.66666666666669</v>
      </c>
      <c r="I149" s="57">
        <v>485.33333333333331</v>
      </c>
    </row>
    <row r="150" spans="1:9" x14ac:dyDescent="0.3">
      <c r="A150" s="60" t="s">
        <v>589</v>
      </c>
      <c r="B150" s="26" t="s">
        <v>50</v>
      </c>
      <c r="C150" s="26">
        <v>13</v>
      </c>
      <c r="D150" s="26" t="s">
        <v>159</v>
      </c>
      <c r="E150" s="26">
        <v>4</v>
      </c>
      <c r="F150" s="54">
        <v>0.30769230769230771</v>
      </c>
      <c r="G150" s="54" t="s">
        <v>19</v>
      </c>
      <c r="H150" s="54">
        <v>335.07692307692309</v>
      </c>
      <c r="I150" s="55">
        <v>454.92307692307691</v>
      </c>
    </row>
    <row r="151" spans="1:9" x14ac:dyDescent="0.3">
      <c r="A151" s="61" t="s">
        <v>590</v>
      </c>
      <c r="B151" s="48" t="s">
        <v>87</v>
      </c>
      <c r="C151" s="48">
        <v>27</v>
      </c>
      <c r="D151" s="48" t="s">
        <v>156</v>
      </c>
      <c r="E151" s="48">
        <v>8</v>
      </c>
      <c r="F151" s="56">
        <v>0.29629629629629628</v>
      </c>
      <c r="G151" s="54" t="s">
        <v>19</v>
      </c>
      <c r="H151" s="56">
        <v>320.48148148148147</v>
      </c>
      <c r="I151" s="57">
        <v>421.62962962962962</v>
      </c>
    </row>
    <row r="152" spans="1:9" x14ac:dyDescent="0.3">
      <c r="A152" s="60" t="s">
        <v>591</v>
      </c>
      <c r="B152" s="26" t="s">
        <v>29</v>
      </c>
      <c r="C152" s="26">
        <v>11</v>
      </c>
      <c r="D152" s="26" t="s">
        <v>18</v>
      </c>
      <c r="E152" s="26">
        <v>5</v>
      </c>
      <c r="F152" s="54">
        <v>0.45454545454545453</v>
      </c>
      <c r="G152" s="54" t="s">
        <v>19</v>
      </c>
      <c r="H152" s="54">
        <v>564.81818181818187</v>
      </c>
      <c r="I152" s="55">
        <v>705.72727272727275</v>
      </c>
    </row>
    <row r="153" spans="1:9" x14ac:dyDescent="0.3">
      <c r="A153" s="61" t="s">
        <v>592</v>
      </c>
      <c r="B153" s="48" t="s">
        <v>142</v>
      </c>
      <c r="C153" s="48">
        <v>37</v>
      </c>
      <c r="D153" s="48" t="s">
        <v>158</v>
      </c>
      <c r="E153" s="48">
        <v>23</v>
      </c>
      <c r="F153" s="56">
        <v>0.6216216216216216</v>
      </c>
      <c r="G153" s="54" t="s">
        <v>19</v>
      </c>
      <c r="H153" s="56">
        <v>659.59459459459458</v>
      </c>
      <c r="I153" s="57">
        <v>835.08108108108104</v>
      </c>
    </row>
    <row r="154" spans="1:9" x14ac:dyDescent="0.3">
      <c r="A154" s="60" t="s">
        <v>593</v>
      </c>
      <c r="B154" s="26" t="s">
        <v>46</v>
      </c>
      <c r="C154" s="26">
        <v>61</v>
      </c>
      <c r="D154" s="26" t="s">
        <v>157</v>
      </c>
      <c r="E154" s="26">
        <v>33</v>
      </c>
      <c r="F154" s="54">
        <v>0.54098360655737709</v>
      </c>
      <c r="G154" s="54" t="s">
        <v>19</v>
      </c>
      <c r="H154" s="54">
        <v>352.37704918032784</v>
      </c>
      <c r="I154" s="55">
        <v>477.39344262295083</v>
      </c>
    </row>
    <row r="155" spans="1:9" x14ac:dyDescent="0.3">
      <c r="A155" s="61" t="s">
        <v>594</v>
      </c>
      <c r="B155" s="48" t="s">
        <v>103</v>
      </c>
      <c r="C155" s="48">
        <v>21</v>
      </c>
      <c r="D155" s="48" t="s">
        <v>156</v>
      </c>
      <c r="E155" s="48">
        <v>10</v>
      </c>
      <c r="F155" s="56">
        <v>0.47619047619047616</v>
      </c>
      <c r="G155" s="54" t="s">
        <v>19</v>
      </c>
      <c r="H155" s="56">
        <v>331.04761904761904</v>
      </c>
      <c r="I155" s="57">
        <v>405.90476190476193</v>
      </c>
    </row>
    <row r="156" spans="1:9" x14ac:dyDescent="0.3">
      <c r="A156" s="60" t="s">
        <v>595</v>
      </c>
      <c r="B156" s="26" t="s">
        <v>71</v>
      </c>
      <c r="C156" s="26">
        <v>49</v>
      </c>
      <c r="D156" s="26" t="s">
        <v>155</v>
      </c>
      <c r="E156" s="26">
        <v>34</v>
      </c>
      <c r="F156" s="54">
        <v>0.69387755102040816</v>
      </c>
      <c r="G156" s="54" t="s">
        <v>19</v>
      </c>
      <c r="H156" s="54">
        <v>704.38775510204084</v>
      </c>
      <c r="I156" s="55">
        <v>819.83673469387759</v>
      </c>
    </row>
    <row r="157" spans="1:9" x14ac:dyDescent="0.3">
      <c r="A157" s="61" t="s">
        <v>596</v>
      </c>
      <c r="B157" s="48" t="s">
        <v>50</v>
      </c>
      <c r="C157" s="48">
        <v>10</v>
      </c>
      <c r="D157" s="48" t="s">
        <v>156</v>
      </c>
      <c r="E157" s="48">
        <v>4</v>
      </c>
      <c r="F157" s="56">
        <v>0.4</v>
      </c>
      <c r="G157" s="54" t="s">
        <v>19</v>
      </c>
      <c r="H157" s="56">
        <v>343.6</v>
      </c>
      <c r="I157" s="57">
        <v>426.9</v>
      </c>
    </row>
    <row r="158" spans="1:9" x14ac:dyDescent="0.3">
      <c r="A158" s="60" t="s">
        <v>597</v>
      </c>
      <c r="B158" s="26" t="s">
        <v>50</v>
      </c>
      <c r="C158" s="26">
        <v>23</v>
      </c>
      <c r="D158" s="26" t="s">
        <v>159</v>
      </c>
      <c r="E158" s="26">
        <v>9</v>
      </c>
      <c r="F158" s="54">
        <v>0.39130434782608697</v>
      </c>
      <c r="G158" s="54" t="s">
        <v>19</v>
      </c>
      <c r="H158" s="54">
        <v>336.95652173913044</v>
      </c>
      <c r="I158" s="55">
        <v>485.17391304347825</v>
      </c>
    </row>
    <row r="159" spans="1:9" x14ac:dyDescent="0.3">
      <c r="A159" s="61" t="s">
        <v>598</v>
      </c>
      <c r="B159" s="48" t="s">
        <v>99</v>
      </c>
      <c r="C159" s="48">
        <v>54</v>
      </c>
      <c r="D159" s="48" t="s">
        <v>18</v>
      </c>
      <c r="E159" s="48">
        <v>26</v>
      </c>
      <c r="F159" s="56">
        <v>0.48148148148148145</v>
      </c>
      <c r="G159" s="54" t="s">
        <v>19</v>
      </c>
      <c r="H159" s="56">
        <v>495.57407407407408</v>
      </c>
      <c r="I159" s="57">
        <v>652.7962962962963</v>
      </c>
    </row>
    <row r="160" spans="1:9" x14ac:dyDescent="0.3">
      <c r="A160" s="60" t="s">
        <v>599</v>
      </c>
      <c r="B160" s="26" t="s">
        <v>87</v>
      </c>
      <c r="C160" s="26">
        <v>18</v>
      </c>
      <c r="D160" s="26" t="s">
        <v>157</v>
      </c>
      <c r="E160" s="26">
        <v>6</v>
      </c>
      <c r="F160" s="54">
        <v>0.33333333333333331</v>
      </c>
      <c r="G160" s="54" t="s">
        <v>19</v>
      </c>
      <c r="H160" s="54">
        <v>306.94444444444446</v>
      </c>
      <c r="I160" s="55">
        <v>467.88888888888891</v>
      </c>
    </row>
    <row r="161" spans="1:9" x14ac:dyDescent="0.3">
      <c r="A161" s="61" t="s">
        <v>600</v>
      </c>
      <c r="B161" s="48" t="s">
        <v>93</v>
      </c>
      <c r="C161" s="48">
        <v>26</v>
      </c>
      <c r="D161" s="48" t="s">
        <v>18</v>
      </c>
      <c r="E161" s="48">
        <v>6</v>
      </c>
      <c r="F161" s="56">
        <v>0.23076923076923078</v>
      </c>
      <c r="G161" s="54" t="s">
        <v>19</v>
      </c>
      <c r="H161" s="56">
        <v>458.26923076923077</v>
      </c>
      <c r="I161" s="57">
        <v>552.69230769230774</v>
      </c>
    </row>
    <row r="162" spans="1:9" x14ac:dyDescent="0.3">
      <c r="A162" s="60" t="s">
        <v>601</v>
      </c>
      <c r="B162" s="26" t="s">
        <v>81</v>
      </c>
      <c r="C162" s="26">
        <v>27</v>
      </c>
      <c r="D162" s="26" t="s">
        <v>18</v>
      </c>
      <c r="E162" s="26">
        <v>12</v>
      </c>
      <c r="F162" s="54">
        <v>0.44444444444444442</v>
      </c>
      <c r="G162" s="54" t="s">
        <v>19</v>
      </c>
      <c r="H162" s="54">
        <v>526.62962962962968</v>
      </c>
      <c r="I162" s="55">
        <v>673.51851851851848</v>
      </c>
    </row>
    <row r="163" spans="1:9" x14ac:dyDescent="0.3">
      <c r="A163" s="61" t="s">
        <v>602</v>
      </c>
      <c r="B163" s="48" t="s">
        <v>55</v>
      </c>
      <c r="C163" s="48">
        <v>31</v>
      </c>
      <c r="D163" s="48" t="s">
        <v>155</v>
      </c>
      <c r="E163" s="48">
        <v>23</v>
      </c>
      <c r="F163" s="56">
        <v>0.74193548387096775</v>
      </c>
      <c r="G163" s="54" t="s">
        <v>19</v>
      </c>
      <c r="H163" s="56">
        <v>779.45161290322585</v>
      </c>
      <c r="I163" s="57">
        <v>865.67741935483866</v>
      </c>
    </row>
    <row r="164" spans="1:9" x14ac:dyDescent="0.3">
      <c r="A164" s="60" t="s">
        <v>603</v>
      </c>
      <c r="B164" s="26" t="s">
        <v>50</v>
      </c>
      <c r="C164" s="26">
        <v>34</v>
      </c>
      <c r="D164" s="26" t="s">
        <v>157</v>
      </c>
      <c r="E164" s="26">
        <v>27</v>
      </c>
      <c r="F164" s="54">
        <v>0.79411764705882348</v>
      </c>
      <c r="G164" s="54" t="s">
        <v>19</v>
      </c>
      <c r="H164" s="54">
        <v>367.38235294117646</v>
      </c>
      <c r="I164" s="55">
        <v>571.67647058823525</v>
      </c>
    </row>
    <row r="165" spans="1:9" x14ac:dyDescent="0.3">
      <c r="A165" s="61" t="s">
        <v>604</v>
      </c>
      <c r="B165" s="48" t="s">
        <v>50</v>
      </c>
      <c r="C165" s="48">
        <v>61</v>
      </c>
      <c r="D165" s="48" t="s">
        <v>159</v>
      </c>
      <c r="E165" s="48">
        <v>33</v>
      </c>
      <c r="F165" s="56">
        <v>0.54098360655737709</v>
      </c>
      <c r="G165" s="54" t="s">
        <v>19</v>
      </c>
      <c r="H165" s="56">
        <v>325.57377049180326</v>
      </c>
      <c r="I165" s="57">
        <v>469.21311475409834</v>
      </c>
    </row>
    <row r="166" spans="1:9" x14ac:dyDescent="0.3">
      <c r="A166" s="60" t="s">
        <v>605</v>
      </c>
      <c r="B166" s="26" t="s">
        <v>50</v>
      </c>
      <c r="C166" s="26">
        <v>68</v>
      </c>
      <c r="D166" s="26" t="s">
        <v>156</v>
      </c>
      <c r="E166" s="26">
        <v>43</v>
      </c>
      <c r="F166" s="54">
        <v>0.63235294117647056</v>
      </c>
      <c r="G166" s="54" t="s">
        <v>19</v>
      </c>
      <c r="H166" s="54">
        <v>319.88235294117646</v>
      </c>
      <c r="I166" s="55">
        <v>482.94117647058823</v>
      </c>
    </row>
    <row r="167" spans="1:9" x14ac:dyDescent="0.3">
      <c r="A167" s="61" t="s">
        <v>606</v>
      </c>
      <c r="B167" s="48" t="s">
        <v>140</v>
      </c>
      <c r="C167" s="48">
        <v>33</v>
      </c>
      <c r="D167" s="48" t="s">
        <v>156</v>
      </c>
      <c r="E167" s="48">
        <v>23</v>
      </c>
      <c r="F167" s="56">
        <v>0.69696969696969702</v>
      </c>
      <c r="G167" s="54" t="s">
        <v>19</v>
      </c>
      <c r="H167" s="56">
        <v>358.30303030303031</v>
      </c>
      <c r="I167" s="57">
        <v>489.60606060606062</v>
      </c>
    </row>
    <row r="168" spans="1:9" x14ac:dyDescent="0.3">
      <c r="A168" s="60" t="s">
        <v>607</v>
      </c>
      <c r="B168" s="26" t="s">
        <v>93</v>
      </c>
      <c r="C168" s="26">
        <v>30</v>
      </c>
      <c r="D168" s="26" t="s">
        <v>18</v>
      </c>
      <c r="E168" s="26">
        <v>17</v>
      </c>
      <c r="F168" s="54">
        <v>0.56666666666666665</v>
      </c>
      <c r="G168" s="54" t="s">
        <v>19</v>
      </c>
      <c r="H168" s="54">
        <v>549.86666666666667</v>
      </c>
      <c r="I168" s="55">
        <v>721.33333333333337</v>
      </c>
    </row>
    <row r="169" spans="1:9" x14ac:dyDescent="0.3">
      <c r="A169" s="61" t="s">
        <v>608</v>
      </c>
      <c r="B169" s="48" t="s">
        <v>70</v>
      </c>
      <c r="C169" s="48">
        <v>65</v>
      </c>
      <c r="D169" s="48" t="s">
        <v>155</v>
      </c>
      <c r="E169" s="48">
        <v>39</v>
      </c>
      <c r="F169" s="56">
        <v>0.6</v>
      </c>
      <c r="G169" s="54" t="s">
        <v>19</v>
      </c>
      <c r="H169" s="56">
        <v>680.61538461538464</v>
      </c>
      <c r="I169" s="57">
        <v>794.35384615384612</v>
      </c>
    </row>
    <row r="170" spans="1:9" x14ac:dyDescent="0.3">
      <c r="A170" s="60" t="s">
        <v>609</v>
      </c>
      <c r="B170" s="26" t="s">
        <v>138</v>
      </c>
      <c r="C170" s="26">
        <v>17</v>
      </c>
      <c r="D170" s="26" t="s">
        <v>158</v>
      </c>
      <c r="E170" s="26">
        <v>4</v>
      </c>
      <c r="F170" s="54">
        <v>0.23529411764705882</v>
      </c>
      <c r="G170" s="54" t="s">
        <v>19</v>
      </c>
      <c r="H170" s="54">
        <v>507.23529411764707</v>
      </c>
      <c r="I170" s="55">
        <v>656.94117647058829</v>
      </c>
    </row>
    <row r="171" spans="1:9" x14ac:dyDescent="0.3">
      <c r="A171" s="61" t="s">
        <v>610</v>
      </c>
      <c r="B171" s="48" t="s">
        <v>80</v>
      </c>
      <c r="C171" s="48">
        <v>2</v>
      </c>
      <c r="D171" s="48" t="s">
        <v>157</v>
      </c>
      <c r="E171" s="48">
        <v>0</v>
      </c>
      <c r="F171" s="56">
        <v>0</v>
      </c>
      <c r="G171" s="54" t="s">
        <v>26</v>
      </c>
      <c r="H171" s="56">
        <v>256</v>
      </c>
      <c r="I171" s="57">
        <v>281</v>
      </c>
    </row>
    <row r="172" spans="1:9" x14ac:dyDescent="0.3">
      <c r="A172" s="60" t="s">
        <v>611</v>
      </c>
      <c r="B172" s="26" t="s">
        <v>45</v>
      </c>
      <c r="C172" s="26">
        <v>16</v>
      </c>
      <c r="D172" s="26" t="s">
        <v>158</v>
      </c>
      <c r="E172" s="26">
        <v>10</v>
      </c>
      <c r="F172" s="54">
        <v>0.625</v>
      </c>
      <c r="G172" s="54" t="s">
        <v>19</v>
      </c>
      <c r="H172" s="54">
        <v>575.8125</v>
      </c>
      <c r="I172" s="55">
        <v>709.8125</v>
      </c>
    </row>
    <row r="173" spans="1:9" x14ac:dyDescent="0.3">
      <c r="A173" s="61" t="s">
        <v>612</v>
      </c>
      <c r="B173" s="48" t="s">
        <v>132</v>
      </c>
      <c r="C173" s="48">
        <v>29</v>
      </c>
      <c r="D173" s="48" t="s">
        <v>155</v>
      </c>
      <c r="E173" s="48">
        <v>20</v>
      </c>
      <c r="F173" s="56">
        <v>0.68965517241379315</v>
      </c>
      <c r="G173" s="54" t="s">
        <v>19</v>
      </c>
      <c r="H173" s="56">
        <v>799.44827586206895</v>
      </c>
      <c r="I173" s="57">
        <v>912.20689655172418</v>
      </c>
    </row>
    <row r="174" spans="1:9" x14ac:dyDescent="0.3">
      <c r="A174" s="60" t="s">
        <v>613</v>
      </c>
      <c r="B174" s="26" t="s">
        <v>114</v>
      </c>
      <c r="C174" s="26">
        <v>23</v>
      </c>
      <c r="D174" s="26" t="s">
        <v>155</v>
      </c>
      <c r="E174" s="26">
        <v>14</v>
      </c>
      <c r="F174" s="54">
        <v>0.60869565217391308</v>
      </c>
      <c r="G174" s="54" t="s">
        <v>19</v>
      </c>
      <c r="H174" s="54">
        <v>660.52173913043475</v>
      </c>
      <c r="I174" s="55">
        <v>764.6521739130435</v>
      </c>
    </row>
    <row r="175" spans="1:9" x14ac:dyDescent="0.3">
      <c r="A175" s="61" t="s">
        <v>614</v>
      </c>
      <c r="B175" s="48" t="s">
        <v>55</v>
      </c>
      <c r="C175" s="48">
        <v>11</v>
      </c>
      <c r="D175" s="48" t="s">
        <v>155</v>
      </c>
      <c r="E175" s="48">
        <v>6</v>
      </c>
      <c r="F175" s="56">
        <v>0.54545454545454541</v>
      </c>
      <c r="G175" s="54" t="s">
        <v>19</v>
      </c>
      <c r="H175" s="56">
        <v>754.90909090909088</v>
      </c>
      <c r="I175" s="57">
        <v>872.81818181818187</v>
      </c>
    </row>
    <row r="176" spans="1:9" x14ac:dyDescent="0.3">
      <c r="A176" s="60" t="s">
        <v>615</v>
      </c>
      <c r="B176" s="26" t="s">
        <v>102</v>
      </c>
      <c r="C176" s="26">
        <v>21</v>
      </c>
      <c r="D176" s="26" t="s">
        <v>155</v>
      </c>
      <c r="E176" s="26">
        <v>13</v>
      </c>
      <c r="F176" s="54">
        <v>0.61904761904761907</v>
      </c>
      <c r="G176" s="54" t="s">
        <v>19</v>
      </c>
      <c r="H176" s="54">
        <v>721.38095238095241</v>
      </c>
      <c r="I176" s="55">
        <v>828.66666666666663</v>
      </c>
    </row>
    <row r="177" spans="1:9" x14ac:dyDescent="0.3">
      <c r="A177" s="61" t="s">
        <v>616</v>
      </c>
      <c r="B177" s="48" t="s">
        <v>142</v>
      </c>
      <c r="C177" s="48">
        <v>37</v>
      </c>
      <c r="D177" s="48" t="s">
        <v>158</v>
      </c>
      <c r="E177" s="48">
        <v>20</v>
      </c>
      <c r="F177" s="56">
        <v>0.54054054054054057</v>
      </c>
      <c r="G177" s="54" t="s">
        <v>19</v>
      </c>
      <c r="H177" s="56">
        <v>557.10810810810813</v>
      </c>
      <c r="I177" s="57">
        <v>728.54054054054052</v>
      </c>
    </row>
    <row r="178" spans="1:9" x14ac:dyDescent="0.3">
      <c r="A178" s="60" t="s">
        <v>617</v>
      </c>
      <c r="B178" s="26" t="s">
        <v>80</v>
      </c>
      <c r="C178" s="26">
        <v>21</v>
      </c>
      <c r="D178" s="26" t="s">
        <v>159</v>
      </c>
      <c r="E178" s="26">
        <v>13</v>
      </c>
      <c r="F178" s="54">
        <v>0.61904761904761907</v>
      </c>
      <c r="G178" s="54" t="s">
        <v>19</v>
      </c>
      <c r="H178" s="54">
        <v>392.14285714285717</v>
      </c>
      <c r="I178" s="55">
        <v>538.85714285714289</v>
      </c>
    </row>
    <row r="179" spans="1:9" x14ac:dyDescent="0.3">
      <c r="A179" s="61" t="s">
        <v>618</v>
      </c>
      <c r="B179" s="48" t="s">
        <v>80</v>
      </c>
      <c r="C179" s="48">
        <v>37</v>
      </c>
      <c r="D179" s="48" t="s">
        <v>157</v>
      </c>
      <c r="E179" s="48">
        <v>23</v>
      </c>
      <c r="F179" s="56">
        <v>0.6216216216216216</v>
      </c>
      <c r="G179" s="54" t="s">
        <v>19</v>
      </c>
      <c r="H179" s="56">
        <v>366.27027027027026</v>
      </c>
      <c r="I179" s="57">
        <v>467.97297297297297</v>
      </c>
    </row>
    <row r="180" spans="1:9" x14ac:dyDescent="0.3">
      <c r="A180" s="60" t="s">
        <v>619</v>
      </c>
      <c r="B180" s="26" t="s">
        <v>138</v>
      </c>
      <c r="C180" s="26">
        <v>50</v>
      </c>
      <c r="D180" s="26" t="s">
        <v>158</v>
      </c>
      <c r="E180" s="26">
        <v>24</v>
      </c>
      <c r="F180" s="54">
        <v>0.48</v>
      </c>
      <c r="G180" s="54" t="s">
        <v>19</v>
      </c>
      <c r="H180" s="54">
        <v>595.74</v>
      </c>
      <c r="I180" s="55">
        <v>733.78</v>
      </c>
    </row>
    <row r="181" spans="1:9" x14ac:dyDescent="0.3">
      <c r="A181" s="61" t="s">
        <v>620</v>
      </c>
      <c r="B181" s="48" t="s">
        <v>71</v>
      </c>
      <c r="C181" s="48">
        <v>61</v>
      </c>
      <c r="D181" s="48" t="s">
        <v>155</v>
      </c>
      <c r="E181" s="48">
        <v>33</v>
      </c>
      <c r="F181" s="56">
        <v>0.54098360655737709</v>
      </c>
      <c r="G181" s="54" t="s">
        <v>19</v>
      </c>
      <c r="H181" s="56">
        <v>733.14754098360652</v>
      </c>
      <c r="I181" s="57">
        <v>867.14754098360652</v>
      </c>
    </row>
    <row r="182" spans="1:9" x14ac:dyDescent="0.3">
      <c r="A182" s="60" t="s">
        <v>621</v>
      </c>
      <c r="B182" s="26" t="s">
        <v>93</v>
      </c>
      <c r="C182" s="26">
        <v>31</v>
      </c>
      <c r="D182" s="26" t="s">
        <v>18</v>
      </c>
      <c r="E182" s="26">
        <v>23</v>
      </c>
      <c r="F182" s="54">
        <v>0.74193548387096775</v>
      </c>
      <c r="G182" s="54" t="s">
        <v>19</v>
      </c>
      <c r="H182" s="54">
        <v>544.80645161290317</v>
      </c>
      <c r="I182" s="55">
        <v>674.19354838709683</v>
      </c>
    </row>
    <row r="183" spans="1:9" x14ac:dyDescent="0.3">
      <c r="A183" s="61" t="s">
        <v>622</v>
      </c>
      <c r="B183" s="48" t="s">
        <v>102</v>
      </c>
      <c r="C183" s="48">
        <v>11</v>
      </c>
      <c r="D183" s="48" t="s">
        <v>155</v>
      </c>
      <c r="E183" s="48">
        <v>4</v>
      </c>
      <c r="F183" s="56">
        <v>0.36363636363636365</v>
      </c>
      <c r="G183" s="54" t="s">
        <v>19</v>
      </c>
      <c r="H183" s="56">
        <v>615.27272727272725</v>
      </c>
      <c r="I183" s="57">
        <v>742.90909090909088</v>
      </c>
    </row>
    <row r="184" spans="1:9" x14ac:dyDescent="0.3">
      <c r="A184" s="60" t="s">
        <v>623</v>
      </c>
      <c r="B184" s="26" t="s">
        <v>87</v>
      </c>
      <c r="C184" s="26">
        <v>50</v>
      </c>
      <c r="D184" s="26" t="s">
        <v>157</v>
      </c>
      <c r="E184" s="26">
        <v>24</v>
      </c>
      <c r="F184" s="54">
        <v>0.48</v>
      </c>
      <c r="G184" s="54" t="s">
        <v>19</v>
      </c>
      <c r="H184" s="54">
        <v>328.38</v>
      </c>
      <c r="I184" s="55">
        <v>451.36</v>
      </c>
    </row>
    <row r="185" spans="1:9" x14ac:dyDescent="0.3">
      <c r="A185" s="61" t="s">
        <v>624</v>
      </c>
      <c r="B185" s="48" t="s">
        <v>24</v>
      </c>
      <c r="C185" s="48">
        <v>41</v>
      </c>
      <c r="D185" s="48" t="s">
        <v>155</v>
      </c>
      <c r="E185" s="48">
        <v>22</v>
      </c>
      <c r="F185" s="56">
        <v>0.53658536585365857</v>
      </c>
      <c r="G185" s="54" t="s">
        <v>19</v>
      </c>
      <c r="H185" s="56">
        <v>701.19512195121956</v>
      </c>
      <c r="I185" s="57">
        <v>817.21951219512198</v>
      </c>
    </row>
    <row r="186" spans="1:9" x14ac:dyDescent="0.3">
      <c r="A186" s="60" t="s">
        <v>625</v>
      </c>
      <c r="B186" s="26" t="s">
        <v>23</v>
      </c>
      <c r="C186" s="26">
        <v>6</v>
      </c>
      <c r="D186" s="26" t="s">
        <v>18</v>
      </c>
      <c r="E186" s="26">
        <v>4</v>
      </c>
      <c r="F186" s="54">
        <v>0.66666666666666663</v>
      </c>
      <c r="G186" s="54" t="s">
        <v>26</v>
      </c>
      <c r="H186" s="54">
        <v>577.16666666666663</v>
      </c>
      <c r="I186" s="55">
        <v>629.33333333333337</v>
      </c>
    </row>
    <row r="187" spans="1:9" x14ac:dyDescent="0.3">
      <c r="A187" s="61" t="s">
        <v>626</v>
      </c>
      <c r="B187" s="48" t="s">
        <v>30</v>
      </c>
      <c r="C187" s="48">
        <v>27</v>
      </c>
      <c r="D187" s="48" t="s">
        <v>18</v>
      </c>
      <c r="E187" s="48">
        <v>8</v>
      </c>
      <c r="F187" s="56">
        <v>0.29629629629629628</v>
      </c>
      <c r="G187" s="54" t="s">
        <v>19</v>
      </c>
      <c r="H187" s="56">
        <v>545.62962962962968</v>
      </c>
      <c r="I187" s="57">
        <v>690.66666666666663</v>
      </c>
    </row>
    <row r="188" spans="1:9" x14ac:dyDescent="0.3">
      <c r="A188" s="60" t="s">
        <v>627</v>
      </c>
      <c r="B188" s="26" t="s">
        <v>102</v>
      </c>
      <c r="C188" s="26">
        <v>11</v>
      </c>
      <c r="D188" s="26" t="s">
        <v>158</v>
      </c>
      <c r="E188" s="26">
        <v>8</v>
      </c>
      <c r="F188" s="54">
        <v>0.72727272727272729</v>
      </c>
      <c r="G188" s="54" t="s">
        <v>19</v>
      </c>
      <c r="H188" s="54">
        <v>536.4545454545455</v>
      </c>
      <c r="I188" s="55">
        <v>674.90909090909088</v>
      </c>
    </row>
    <row r="189" spans="1:9" x14ac:dyDescent="0.3">
      <c r="A189" s="61" t="s">
        <v>628</v>
      </c>
      <c r="B189" s="48" t="s">
        <v>80</v>
      </c>
      <c r="C189" s="48">
        <v>54</v>
      </c>
      <c r="D189" s="48" t="s">
        <v>157</v>
      </c>
      <c r="E189" s="48">
        <v>26</v>
      </c>
      <c r="F189" s="56">
        <v>0.48148148148148145</v>
      </c>
      <c r="G189" s="54" t="s">
        <v>19</v>
      </c>
      <c r="H189" s="56">
        <v>298.83333333333331</v>
      </c>
      <c r="I189" s="57">
        <v>431.59259259259261</v>
      </c>
    </row>
    <row r="190" spans="1:9" x14ac:dyDescent="0.3">
      <c r="A190" s="60" t="s">
        <v>629</v>
      </c>
      <c r="B190" s="26" t="s">
        <v>50</v>
      </c>
      <c r="C190" s="26">
        <v>33</v>
      </c>
      <c r="D190" s="26" t="s">
        <v>159</v>
      </c>
      <c r="E190" s="26">
        <v>16</v>
      </c>
      <c r="F190" s="54">
        <v>0.48484848484848486</v>
      </c>
      <c r="G190" s="54" t="s">
        <v>19</v>
      </c>
      <c r="H190" s="54">
        <v>324</v>
      </c>
      <c r="I190" s="55">
        <v>462.63636363636363</v>
      </c>
    </row>
    <row r="191" spans="1:9" x14ac:dyDescent="0.3">
      <c r="A191" s="61" t="s">
        <v>630</v>
      </c>
      <c r="B191" s="48" t="s">
        <v>103</v>
      </c>
      <c r="C191" s="48">
        <v>14</v>
      </c>
      <c r="D191" s="48" t="s">
        <v>159</v>
      </c>
      <c r="E191" s="48">
        <v>6</v>
      </c>
      <c r="F191" s="56">
        <v>0.42857142857142855</v>
      </c>
      <c r="G191" s="54" t="s">
        <v>19</v>
      </c>
      <c r="H191" s="56">
        <v>313.14285714285717</v>
      </c>
      <c r="I191" s="57">
        <v>446.28571428571428</v>
      </c>
    </row>
    <row r="192" spans="1:9" x14ac:dyDescent="0.3">
      <c r="A192" s="60" t="s">
        <v>631</v>
      </c>
      <c r="B192" s="26" t="s">
        <v>36</v>
      </c>
      <c r="C192" s="26">
        <v>37</v>
      </c>
      <c r="D192" s="26" t="s">
        <v>159</v>
      </c>
      <c r="E192" s="26">
        <v>20</v>
      </c>
      <c r="F192" s="54">
        <v>0.54054054054054057</v>
      </c>
      <c r="G192" s="54" t="s">
        <v>19</v>
      </c>
      <c r="H192" s="54">
        <v>374.18918918918916</v>
      </c>
      <c r="I192" s="55">
        <v>519.35135135135135</v>
      </c>
    </row>
    <row r="193" spans="1:9" x14ac:dyDescent="0.3">
      <c r="A193" s="61" t="s">
        <v>632</v>
      </c>
      <c r="B193" s="48" t="s">
        <v>34</v>
      </c>
      <c r="C193" s="48">
        <v>49</v>
      </c>
      <c r="D193" s="48" t="s">
        <v>159</v>
      </c>
      <c r="E193" s="48">
        <v>25</v>
      </c>
      <c r="F193" s="56">
        <v>0.51020408163265307</v>
      </c>
      <c r="G193" s="54" t="s">
        <v>19</v>
      </c>
      <c r="H193" s="56">
        <v>335.30612244897958</v>
      </c>
      <c r="I193" s="57">
        <v>449.44897959183675</v>
      </c>
    </row>
    <row r="194" spans="1:9" x14ac:dyDescent="0.3">
      <c r="A194" s="60" t="s">
        <v>633</v>
      </c>
      <c r="B194" s="26" t="s">
        <v>80</v>
      </c>
      <c r="C194" s="26">
        <v>38</v>
      </c>
      <c r="D194" s="26" t="s">
        <v>159</v>
      </c>
      <c r="E194" s="26">
        <v>23</v>
      </c>
      <c r="F194" s="54">
        <v>0.60526315789473684</v>
      </c>
      <c r="G194" s="54" t="s">
        <v>19</v>
      </c>
      <c r="H194" s="54">
        <v>363.05263157894734</v>
      </c>
      <c r="I194" s="55">
        <v>518.86842105263156</v>
      </c>
    </row>
    <row r="195" spans="1:9" x14ac:dyDescent="0.3">
      <c r="A195" s="61" t="s">
        <v>634</v>
      </c>
      <c r="B195" s="48" t="s">
        <v>145</v>
      </c>
      <c r="C195" s="48">
        <v>39</v>
      </c>
      <c r="D195" s="48" t="s">
        <v>155</v>
      </c>
      <c r="E195" s="48">
        <v>16</v>
      </c>
      <c r="F195" s="56">
        <v>0.41025641025641024</v>
      </c>
      <c r="G195" s="54" t="s">
        <v>19</v>
      </c>
      <c r="H195" s="56">
        <v>689.89743589743591</v>
      </c>
      <c r="I195" s="57">
        <v>764.23076923076928</v>
      </c>
    </row>
    <row r="196" spans="1:9" x14ac:dyDescent="0.3">
      <c r="A196" s="60" t="s">
        <v>635</v>
      </c>
      <c r="B196" s="26" t="s">
        <v>70</v>
      </c>
      <c r="C196" s="26">
        <v>50</v>
      </c>
      <c r="D196" s="26" t="s">
        <v>155</v>
      </c>
      <c r="E196" s="26">
        <v>24</v>
      </c>
      <c r="F196" s="54">
        <v>0.48</v>
      </c>
      <c r="G196" s="54" t="s">
        <v>19</v>
      </c>
      <c r="H196" s="54">
        <v>696.64</v>
      </c>
      <c r="I196" s="55">
        <v>748.14</v>
      </c>
    </row>
    <row r="197" spans="1:9" x14ac:dyDescent="0.3">
      <c r="A197" s="61" t="s">
        <v>636</v>
      </c>
      <c r="B197" s="48" t="s">
        <v>80</v>
      </c>
      <c r="C197" s="48">
        <v>21</v>
      </c>
      <c r="D197" s="48" t="s">
        <v>157</v>
      </c>
      <c r="E197" s="48">
        <v>15</v>
      </c>
      <c r="F197" s="56">
        <v>0.7142857142857143</v>
      </c>
      <c r="G197" s="54" t="s">
        <v>19</v>
      </c>
      <c r="H197" s="56">
        <v>351.95238095238096</v>
      </c>
      <c r="I197" s="57">
        <v>494</v>
      </c>
    </row>
    <row r="198" spans="1:9" x14ac:dyDescent="0.3">
      <c r="A198" s="60" t="s">
        <v>637</v>
      </c>
      <c r="B198" s="26" t="s">
        <v>99</v>
      </c>
      <c r="C198" s="26">
        <v>19</v>
      </c>
      <c r="D198" s="26" t="s">
        <v>18</v>
      </c>
      <c r="E198" s="26">
        <v>9</v>
      </c>
      <c r="F198" s="54">
        <v>0.47368421052631576</v>
      </c>
      <c r="G198" s="54" t="s">
        <v>19</v>
      </c>
      <c r="H198" s="54">
        <v>527</v>
      </c>
      <c r="I198" s="55">
        <v>673.42105263157896</v>
      </c>
    </row>
    <row r="199" spans="1:9" x14ac:dyDescent="0.3">
      <c r="A199" s="61" t="s">
        <v>638</v>
      </c>
      <c r="B199" s="48" t="s">
        <v>90</v>
      </c>
      <c r="C199" s="48">
        <v>117</v>
      </c>
      <c r="D199" s="48" t="s">
        <v>158</v>
      </c>
      <c r="E199" s="48">
        <v>61</v>
      </c>
      <c r="F199" s="56">
        <v>0.5213675213675214</v>
      </c>
      <c r="G199" s="54" t="s">
        <v>19</v>
      </c>
      <c r="H199" s="56">
        <v>593.46153846153845</v>
      </c>
      <c r="I199" s="57">
        <v>840.11965811965808</v>
      </c>
    </row>
    <row r="200" spans="1:9" x14ac:dyDescent="0.3">
      <c r="A200" s="60" t="s">
        <v>639</v>
      </c>
      <c r="B200" s="26" t="s">
        <v>50</v>
      </c>
      <c r="C200" s="26">
        <v>43</v>
      </c>
      <c r="D200" s="26" t="s">
        <v>157</v>
      </c>
      <c r="E200" s="26">
        <v>18</v>
      </c>
      <c r="F200" s="54">
        <v>0.41860465116279072</v>
      </c>
      <c r="G200" s="54" t="s">
        <v>19</v>
      </c>
      <c r="H200" s="54">
        <v>335.09302325581393</v>
      </c>
      <c r="I200" s="55">
        <v>461.11627906976742</v>
      </c>
    </row>
    <row r="201" spans="1:9" x14ac:dyDescent="0.3">
      <c r="A201" s="61" t="s">
        <v>640</v>
      </c>
      <c r="B201" s="48" t="s">
        <v>79</v>
      </c>
      <c r="C201" s="48">
        <v>33</v>
      </c>
      <c r="D201" s="48" t="s">
        <v>18</v>
      </c>
      <c r="E201" s="48">
        <v>16</v>
      </c>
      <c r="F201" s="56">
        <v>0.48484848484848486</v>
      </c>
      <c r="G201" s="54" t="s">
        <v>19</v>
      </c>
      <c r="H201" s="56">
        <v>593.78787878787875</v>
      </c>
      <c r="I201" s="57">
        <v>745.60606060606062</v>
      </c>
    </row>
    <row r="202" spans="1:9" x14ac:dyDescent="0.3">
      <c r="A202" s="60" t="s">
        <v>641</v>
      </c>
      <c r="B202" s="26" t="s">
        <v>70</v>
      </c>
      <c r="C202" s="26">
        <v>68</v>
      </c>
      <c r="D202" s="26" t="s">
        <v>155</v>
      </c>
      <c r="E202" s="26">
        <v>43</v>
      </c>
      <c r="F202" s="54">
        <v>0.63235294117647056</v>
      </c>
      <c r="G202" s="54" t="s">
        <v>19</v>
      </c>
      <c r="H202" s="54">
        <v>679.75</v>
      </c>
      <c r="I202" s="55">
        <v>790.64705882352939</v>
      </c>
    </row>
    <row r="203" spans="1:9" x14ac:dyDescent="0.3">
      <c r="A203" s="61" t="s">
        <v>642</v>
      </c>
      <c r="B203" s="48" t="s">
        <v>88</v>
      </c>
      <c r="C203" s="48">
        <v>37</v>
      </c>
      <c r="D203" s="48" t="s">
        <v>158</v>
      </c>
      <c r="E203" s="48">
        <v>17</v>
      </c>
      <c r="F203" s="56">
        <v>0.45945945945945948</v>
      </c>
      <c r="G203" s="54" t="s">
        <v>19</v>
      </c>
      <c r="H203" s="56">
        <v>497.7837837837838</v>
      </c>
      <c r="I203" s="57">
        <v>650.78378378378375</v>
      </c>
    </row>
    <row r="204" spans="1:9" x14ac:dyDescent="0.3">
      <c r="A204" s="60" t="s">
        <v>643</v>
      </c>
      <c r="B204" s="26" t="s">
        <v>57</v>
      </c>
      <c r="C204" s="26">
        <v>28</v>
      </c>
      <c r="D204" s="26" t="s">
        <v>18</v>
      </c>
      <c r="E204" s="26">
        <v>17</v>
      </c>
      <c r="F204" s="54">
        <v>0.6071428571428571</v>
      </c>
      <c r="G204" s="54" t="s">
        <v>19</v>
      </c>
      <c r="H204" s="54">
        <v>563.75</v>
      </c>
      <c r="I204" s="55">
        <v>755</v>
      </c>
    </row>
    <row r="205" spans="1:9" x14ac:dyDescent="0.3">
      <c r="A205" s="61" t="s">
        <v>644</v>
      </c>
      <c r="B205" s="48" t="s">
        <v>139</v>
      </c>
      <c r="C205" s="48">
        <v>29</v>
      </c>
      <c r="D205" s="48" t="s">
        <v>157</v>
      </c>
      <c r="E205" s="48">
        <v>20</v>
      </c>
      <c r="F205" s="56">
        <v>0.68965517241379315</v>
      </c>
      <c r="G205" s="54" t="s">
        <v>19</v>
      </c>
      <c r="H205" s="56">
        <v>329.75862068965517</v>
      </c>
      <c r="I205" s="57">
        <v>467.10344827586209</v>
      </c>
    </row>
    <row r="206" spans="1:9" x14ac:dyDescent="0.3">
      <c r="A206" s="60" t="s">
        <v>645</v>
      </c>
      <c r="B206" s="26" t="s">
        <v>87</v>
      </c>
      <c r="C206" s="26">
        <v>23</v>
      </c>
      <c r="D206" s="26" t="s">
        <v>157</v>
      </c>
      <c r="E206" s="26">
        <v>14</v>
      </c>
      <c r="F206" s="54">
        <v>0.60869565217391308</v>
      </c>
      <c r="G206" s="54" t="s">
        <v>19</v>
      </c>
      <c r="H206" s="54">
        <v>358.52173913043481</v>
      </c>
      <c r="I206" s="55">
        <v>494.13043478260869</v>
      </c>
    </row>
    <row r="207" spans="1:9" x14ac:dyDescent="0.3">
      <c r="A207" s="61" t="s">
        <v>646</v>
      </c>
      <c r="B207" s="48" t="s">
        <v>45</v>
      </c>
      <c r="C207" s="48">
        <v>23</v>
      </c>
      <c r="D207" s="48" t="s">
        <v>158</v>
      </c>
      <c r="E207" s="48">
        <v>14</v>
      </c>
      <c r="F207" s="56">
        <v>0.60869565217391308</v>
      </c>
      <c r="G207" s="54" t="s">
        <v>19</v>
      </c>
      <c r="H207" s="56">
        <v>611.73913043478262</v>
      </c>
      <c r="I207" s="57">
        <v>755.39130434782612</v>
      </c>
    </row>
    <row r="208" spans="1:9" x14ac:dyDescent="0.3">
      <c r="A208" s="60" t="s">
        <v>647</v>
      </c>
      <c r="B208" s="26" t="s">
        <v>80</v>
      </c>
      <c r="C208" s="26">
        <v>18</v>
      </c>
      <c r="D208" s="26" t="s">
        <v>156</v>
      </c>
      <c r="E208" s="26">
        <v>12</v>
      </c>
      <c r="F208" s="54">
        <v>0.66666666666666663</v>
      </c>
      <c r="G208" s="54" t="s">
        <v>19</v>
      </c>
      <c r="H208" s="54">
        <v>337.83333333333331</v>
      </c>
      <c r="I208" s="55">
        <v>459.44444444444446</v>
      </c>
    </row>
    <row r="209" spans="1:9" x14ac:dyDescent="0.3">
      <c r="A209" s="61" t="s">
        <v>648</v>
      </c>
      <c r="B209" s="48" t="s">
        <v>99</v>
      </c>
      <c r="C209" s="48">
        <v>18</v>
      </c>
      <c r="D209" s="48" t="s">
        <v>18</v>
      </c>
      <c r="E209" s="48">
        <v>12</v>
      </c>
      <c r="F209" s="56">
        <v>0.66666666666666663</v>
      </c>
      <c r="G209" s="54" t="s">
        <v>19</v>
      </c>
      <c r="H209" s="56">
        <v>569.77777777777783</v>
      </c>
      <c r="I209" s="57">
        <v>700.55555555555554</v>
      </c>
    </row>
    <row r="210" spans="1:9" x14ac:dyDescent="0.3">
      <c r="A210" s="60" t="s">
        <v>649</v>
      </c>
      <c r="B210" s="26" t="s">
        <v>124</v>
      </c>
      <c r="C210" s="26">
        <v>23</v>
      </c>
      <c r="D210" s="26" t="s">
        <v>156</v>
      </c>
      <c r="E210" s="26">
        <v>14</v>
      </c>
      <c r="F210" s="54">
        <v>0.60869565217391308</v>
      </c>
      <c r="G210" s="54" t="s">
        <v>19</v>
      </c>
      <c r="H210" s="54">
        <v>329.3478260869565</v>
      </c>
      <c r="I210" s="55">
        <v>468.39130434782606</v>
      </c>
    </row>
    <row r="211" spans="1:9" x14ac:dyDescent="0.3">
      <c r="A211" s="61" t="s">
        <v>650</v>
      </c>
      <c r="B211" s="48" t="s">
        <v>70</v>
      </c>
      <c r="C211" s="48">
        <v>23</v>
      </c>
      <c r="D211" s="48" t="s">
        <v>155</v>
      </c>
      <c r="E211" s="48">
        <v>9</v>
      </c>
      <c r="F211" s="56">
        <v>0.39130434782608697</v>
      </c>
      <c r="G211" s="54" t="s">
        <v>19</v>
      </c>
      <c r="H211" s="56">
        <v>697.73913043478262</v>
      </c>
      <c r="I211" s="57">
        <v>806.56521739130437</v>
      </c>
    </row>
    <row r="212" spans="1:9" x14ac:dyDescent="0.3">
      <c r="A212" s="60" t="s">
        <v>651</v>
      </c>
      <c r="B212" s="26" t="s">
        <v>24</v>
      </c>
      <c r="C212" s="26">
        <v>21</v>
      </c>
      <c r="D212" s="26" t="s">
        <v>155</v>
      </c>
      <c r="E212" s="26">
        <v>13</v>
      </c>
      <c r="F212" s="54">
        <v>0.61904761904761907</v>
      </c>
      <c r="G212" s="54" t="s">
        <v>19</v>
      </c>
      <c r="H212" s="54">
        <v>556.28571428571433</v>
      </c>
      <c r="I212" s="55">
        <v>703.33333333333337</v>
      </c>
    </row>
    <row r="213" spans="1:9" x14ac:dyDescent="0.3">
      <c r="A213" s="61" t="s">
        <v>652</v>
      </c>
      <c r="B213" s="48" t="s">
        <v>65</v>
      </c>
      <c r="C213" s="48">
        <v>9</v>
      </c>
      <c r="D213" s="48" t="s">
        <v>156</v>
      </c>
      <c r="E213" s="48">
        <v>4</v>
      </c>
      <c r="F213" s="56">
        <v>0.44444444444444442</v>
      </c>
      <c r="G213" s="54" t="s">
        <v>26</v>
      </c>
      <c r="H213" s="56">
        <v>286.44444444444446</v>
      </c>
      <c r="I213" s="57">
        <v>395.55555555555554</v>
      </c>
    </row>
    <row r="214" spans="1:9" x14ac:dyDescent="0.3">
      <c r="A214" s="60" t="s">
        <v>653</v>
      </c>
      <c r="B214" s="26" t="s">
        <v>71</v>
      </c>
      <c r="C214" s="26">
        <v>15</v>
      </c>
      <c r="D214" s="26" t="s">
        <v>155</v>
      </c>
      <c r="E214" s="26">
        <v>10</v>
      </c>
      <c r="F214" s="54">
        <v>0.66666666666666663</v>
      </c>
      <c r="G214" s="54" t="s">
        <v>19</v>
      </c>
      <c r="H214" s="54">
        <v>671.6</v>
      </c>
      <c r="I214" s="55">
        <v>730.2</v>
      </c>
    </row>
    <row r="215" spans="1:9" x14ac:dyDescent="0.3">
      <c r="A215" s="61" t="s">
        <v>654</v>
      </c>
      <c r="B215" s="48" t="s">
        <v>102</v>
      </c>
      <c r="C215" s="48">
        <v>33</v>
      </c>
      <c r="D215" s="48" t="s">
        <v>155</v>
      </c>
      <c r="E215" s="48">
        <v>16</v>
      </c>
      <c r="F215" s="56">
        <v>0.48484848484848486</v>
      </c>
      <c r="G215" s="54" t="s">
        <v>19</v>
      </c>
      <c r="H215" s="56">
        <v>667.63636363636363</v>
      </c>
      <c r="I215" s="57">
        <v>777.72727272727275</v>
      </c>
    </row>
    <row r="216" spans="1:9" x14ac:dyDescent="0.3">
      <c r="A216" s="60" t="s">
        <v>655</v>
      </c>
      <c r="B216" s="26" t="s">
        <v>23</v>
      </c>
      <c r="C216" s="26">
        <v>4</v>
      </c>
      <c r="D216" s="26" t="s">
        <v>156</v>
      </c>
      <c r="E216" s="26">
        <v>3</v>
      </c>
      <c r="F216" s="54">
        <v>0.75</v>
      </c>
      <c r="G216" s="54" t="s">
        <v>26</v>
      </c>
      <c r="H216" s="54">
        <v>301.25</v>
      </c>
      <c r="I216" s="55">
        <v>472.75</v>
      </c>
    </row>
    <row r="217" spans="1:9" x14ac:dyDescent="0.3">
      <c r="A217" s="61" t="s">
        <v>656</v>
      </c>
      <c r="B217" s="48" t="s">
        <v>94</v>
      </c>
      <c r="C217" s="48">
        <v>20</v>
      </c>
      <c r="D217" s="48" t="s">
        <v>155</v>
      </c>
      <c r="E217" s="48">
        <v>10</v>
      </c>
      <c r="F217" s="56">
        <v>0.5</v>
      </c>
      <c r="G217" s="54" t="s">
        <v>19</v>
      </c>
      <c r="H217" s="56">
        <v>605.6</v>
      </c>
      <c r="I217" s="57">
        <v>683.9</v>
      </c>
    </row>
    <row r="218" spans="1:9" x14ac:dyDescent="0.3">
      <c r="A218" s="60" t="s">
        <v>657</v>
      </c>
      <c r="B218" s="26" t="s">
        <v>114</v>
      </c>
      <c r="C218" s="26">
        <v>14</v>
      </c>
      <c r="D218" s="26" t="s">
        <v>155</v>
      </c>
      <c r="E218" s="26">
        <v>9</v>
      </c>
      <c r="F218" s="54">
        <v>0.6428571428571429</v>
      </c>
      <c r="G218" s="54" t="s">
        <v>19</v>
      </c>
      <c r="H218" s="54">
        <v>653.28571428571433</v>
      </c>
      <c r="I218" s="55">
        <v>795.35714285714289</v>
      </c>
    </row>
    <row r="219" spans="1:9" x14ac:dyDescent="0.3">
      <c r="A219" s="61" t="s">
        <v>658</v>
      </c>
      <c r="B219" s="48" t="s">
        <v>99</v>
      </c>
      <c r="C219" s="48">
        <v>26</v>
      </c>
      <c r="D219" s="48" t="s">
        <v>18</v>
      </c>
      <c r="E219" s="48">
        <v>17</v>
      </c>
      <c r="F219" s="56">
        <v>0.65384615384615385</v>
      </c>
      <c r="G219" s="54" t="s">
        <v>19</v>
      </c>
      <c r="H219" s="56">
        <v>561.30769230769226</v>
      </c>
      <c r="I219" s="57">
        <v>702.92307692307691</v>
      </c>
    </row>
    <row r="220" spans="1:9" x14ac:dyDescent="0.3">
      <c r="A220" s="62" t="s">
        <v>659</v>
      </c>
      <c r="B220" s="53" t="s">
        <v>103</v>
      </c>
      <c r="C220" s="53">
        <v>15</v>
      </c>
      <c r="D220" s="53" t="s">
        <v>156</v>
      </c>
      <c r="E220" s="53">
        <v>10</v>
      </c>
      <c r="F220" s="58">
        <v>0.66666666666666663</v>
      </c>
      <c r="G220" s="54" t="s">
        <v>19</v>
      </c>
      <c r="H220" s="58">
        <v>309.66666666666669</v>
      </c>
      <c r="I220" s="59">
        <v>448.06666666666666</v>
      </c>
    </row>
  </sheetData>
  <autoFilter ref="A1:I220" xr:uid="{3F1D9204-7559-4D7A-A7AA-B570E1D3C40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0689-DACD-4645-A60F-B69A04C8C76D}">
  <dimension ref="A1:E261"/>
  <sheetViews>
    <sheetView workbookViewId="0">
      <selection activeCell="B4" sqref="B4"/>
    </sheetView>
  </sheetViews>
  <sheetFormatPr defaultRowHeight="14.4" x14ac:dyDescent="0.3"/>
  <cols>
    <col min="1" max="1" width="44.21875" bestFit="1" customWidth="1"/>
    <col min="2" max="2" width="14.109375" customWidth="1"/>
    <col min="3" max="3" width="12.109375" customWidth="1"/>
    <col min="4" max="4" width="12" bestFit="1" customWidth="1"/>
    <col min="5" max="5" width="8.6640625" customWidth="1"/>
  </cols>
  <sheetData>
    <row r="1" spans="1:5" x14ac:dyDescent="0.3">
      <c r="A1" s="21" t="s">
        <v>175</v>
      </c>
      <c r="B1" s="16" t="s">
        <v>176</v>
      </c>
      <c r="C1" s="16" t="s">
        <v>13</v>
      </c>
      <c r="D1" s="16" t="s">
        <v>14</v>
      </c>
      <c r="E1" s="22" t="s">
        <v>15</v>
      </c>
    </row>
    <row r="2" spans="1:5" x14ac:dyDescent="0.3">
      <c r="A2" s="23" t="s">
        <v>245</v>
      </c>
      <c r="B2" s="26">
        <v>0</v>
      </c>
      <c r="C2" s="26">
        <v>0</v>
      </c>
      <c r="D2" s="46" t="e">
        <v>#DIV/0!</v>
      </c>
      <c r="E2" s="47" t="s">
        <v>26</v>
      </c>
    </row>
    <row r="3" spans="1:5" x14ac:dyDescent="0.3">
      <c r="A3" s="23" t="s">
        <v>269</v>
      </c>
      <c r="B3" s="26">
        <v>0</v>
      </c>
      <c r="C3" s="26">
        <v>0</v>
      </c>
      <c r="D3" s="46" t="e">
        <v>#DIV/0!</v>
      </c>
      <c r="E3" s="47" t="s">
        <v>26</v>
      </c>
    </row>
    <row r="4" spans="1:5" x14ac:dyDescent="0.3">
      <c r="A4" s="23" t="s">
        <v>360</v>
      </c>
      <c r="B4" s="26">
        <v>0</v>
      </c>
      <c r="C4" s="26">
        <v>0</v>
      </c>
      <c r="D4" s="46" t="e">
        <v>#DIV/0!</v>
      </c>
      <c r="E4" s="47" t="s">
        <v>26</v>
      </c>
    </row>
    <row r="5" spans="1:5" x14ac:dyDescent="0.3">
      <c r="A5" s="23" t="s">
        <v>225</v>
      </c>
      <c r="B5" s="26">
        <v>1</v>
      </c>
      <c r="C5" s="26">
        <v>1</v>
      </c>
      <c r="D5" s="46">
        <v>1</v>
      </c>
      <c r="E5" s="47" t="s">
        <v>26</v>
      </c>
    </row>
    <row r="6" spans="1:5" x14ac:dyDescent="0.3">
      <c r="A6" s="23" t="s">
        <v>235</v>
      </c>
      <c r="B6" s="26">
        <v>2</v>
      </c>
      <c r="C6" s="26">
        <v>2</v>
      </c>
      <c r="D6" s="46">
        <v>1</v>
      </c>
      <c r="E6" s="47" t="s">
        <v>26</v>
      </c>
    </row>
    <row r="7" spans="1:5" x14ac:dyDescent="0.3">
      <c r="A7" s="24" t="s">
        <v>236</v>
      </c>
      <c r="B7" s="48">
        <v>1</v>
      </c>
      <c r="C7" s="48">
        <v>1</v>
      </c>
      <c r="D7" s="49">
        <v>1</v>
      </c>
      <c r="E7" s="50" t="s">
        <v>26</v>
      </c>
    </row>
    <row r="8" spans="1:5" x14ac:dyDescent="0.3">
      <c r="A8" s="23" t="s">
        <v>249</v>
      </c>
      <c r="B8" s="26">
        <v>1</v>
      </c>
      <c r="C8" s="26">
        <v>1</v>
      </c>
      <c r="D8" s="46">
        <v>1</v>
      </c>
      <c r="E8" s="47" t="s">
        <v>26</v>
      </c>
    </row>
    <row r="9" spans="1:5" x14ac:dyDescent="0.3">
      <c r="A9" s="23" t="s">
        <v>251</v>
      </c>
      <c r="B9" s="26">
        <v>1</v>
      </c>
      <c r="C9" s="26">
        <v>1</v>
      </c>
      <c r="D9" s="46">
        <v>1</v>
      </c>
      <c r="E9" s="47" t="s">
        <v>26</v>
      </c>
    </row>
    <row r="10" spans="1:5" x14ac:dyDescent="0.3">
      <c r="A10" s="24" t="s">
        <v>276</v>
      </c>
      <c r="B10" s="48">
        <v>1</v>
      </c>
      <c r="C10" s="48">
        <v>1</v>
      </c>
      <c r="D10" s="49">
        <v>1</v>
      </c>
      <c r="E10" s="50" t="s">
        <v>26</v>
      </c>
    </row>
    <row r="11" spans="1:5" x14ac:dyDescent="0.3">
      <c r="A11" s="24" t="s">
        <v>280</v>
      </c>
      <c r="B11" s="48">
        <v>1</v>
      </c>
      <c r="C11" s="48">
        <v>1</v>
      </c>
      <c r="D11" s="49">
        <v>1</v>
      </c>
      <c r="E11" s="50" t="s">
        <v>26</v>
      </c>
    </row>
    <row r="12" spans="1:5" x14ac:dyDescent="0.3">
      <c r="A12" s="23" t="s">
        <v>283</v>
      </c>
      <c r="B12" s="26">
        <v>1</v>
      </c>
      <c r="C12" s="26">
        <v>1</v>
      </c>
      <c r="D12" s="46">
        <v>1</v>
      </c>
      <c r="E12" s="47" t="s">
        <v>26</v>
      </c>
    </row>
    <row r="13" spans="1:5" x14ac:dyDescent="0.3">
      <c r="A13" s="24" t="s">
        <v>300</v>
      </c>
      <c r="B13" s="48">
        <v>1</v>
      </c>
      <c r="C13" s="48">
        <v>1</v>
      </c>
      <c r="D13" s="49">
        <v>1</v>
      </c>
      <c r="E13" s="50" t="s">
        <v>26</v>
      </c>
    </row>
    <row r="14" spans="1:5" x14ac:dyDescent="0.3">
      <c r="A14" s="23" t="s">
        <v>301</v>
      </c>
      <c r="B14" s="26">
        <v>1</v>
      </c>
      <c r="C14" s="26">
        <v>1</v>
      </c>
      <c r="D14" s="46">
        <v>1</v>
      </c>
      <c r="E14" s="47" t="s">
        <v>26</v>
      </c>
    </row>
    <row r="15" spans="1:5" x14ac:dyDescent="0.3">
      <c r="A15" s="24" t="s">
        <v>304</v>
      </c>
      <c r="B15" s="48">
        <v>1</v>
      </c>
      <c r="C15" s="48">
        <v>1</v>
      </c>
      <c r="D15" s="49">
        <v>1</v>
      </c>
      <c r="E15" s="50" t="s">
        <v>26</v>
      </c>
    </row>
    <row r="16" spans="1:5" x14ac:dyDescent="0.3">
      <c r="A16" s="24" t="s">
        <v>320</v>
      </c>
      <c r="B16" s="48">
        <v>4</v>
      </c>
      <c r="C16" s="48">
        <v>4</v>
      </c>
      <c r="D16" s="49">
        <v>1</v>
      </c>
      <c r="E16" s="50" t="s">
        <v>26</v>
      </c>
    </row>
    <row r="17" spans="1:5" x14ac:dyDescent="0.3">
      <c r="A17" s="24" t="s">
        <v>357</v>
      </c>
      <c r="B17" s="48">
        <v>1</v>
      </c>
      <c r="C17" s="48">
        <v>1</v>
      </c>
      <c r="D17" s="49">
        <v>1</v>
      </c>
      <c r="E17" s="50" t="s">
        <v>26</v>
      </c>
    </row>
    <row r="18" spans="1:5" x14ac:dyDescent="0.3">
      <c r="A18" s="23" t="s">
        <v>243</v>
      </c>
      <c r="B18" s="26">
        <v>7</v>
      </c>
      <c r="C18" s="26">
        <v>6</v>
      </c>
      <c r="D18" s="46">
        <v>0.8571428571428571</v>
      </c>
      <c r="E18" s="47" t="s">
        <v>26</v>
      </c>
    </row>
    <row r="19" spans="1:5" x14ac:dyDescent="0.3">
      <c r="A19" s="23" t="s">
        <v>273</v>
      </c>
      <c r="B19" s="26">
        <v>3</v>
      </c>
      <c r="C19" s="26">
        <v>2</v>
      </c>
      <c r="D19" s="46">
        <v>0.66666666666666663</v>
      </c>
      <c r="E19" s="47" t="s">
        <v>26</v>
      </c>
    </row>
    <row r="20" spans="1:5" x14ac:dyDescent="0.3">
      <c r="A20" s="23" t="s">
        <v>337</v>
      </c>
      <c r="B20" s="26">
        <v>6</v>
      </c>
      <c r="C20" s="26">
        <v>4</v>
      </c>
      <c r="D20" s="46">
        <v>0.66666666666666663</v>
      </c>
      <c r="E20" s="47" t="s">
        <v>26</v>
      </c>
    </row>
    <row r="21" spans="1:5" x14ac:dyDescent="0.3">
      <c r="A21" s="24" t="s">
        <v>254</v>
      </c>
      <c r="B21" s="48">
        <v>20</v>
      </c>
      <c r="C21" s="48">
        <v>13</v>
      </c>
      <c r="D21" s="49">
        <v>0.65</v>
      </c>
      <c r="E21" s="50" t="s">
        <v>19</v>
      </c>
    </row>
    <row r="22" spans="1:5" x14ac:dyDescent="0.3">
      <c r="A22" s="23" t="s">
        <v>279</v>
      </c>
      <c r="B22" s="26">
        <v>8</v>
      </c>
      <c r="C22" s="26">
        <v>5</v>
      </c>
      <c r="D22" s="46">
        <v>0.625</v>
      </c>
      <c r="E22" s="47" t="s">
        <v>26</v>
      </c>
    </row>
    <row r="23" spans="1:5" x14ac:dyDescent="0.3">
      <c r="A23" s="23" t="s">
        <v>221</v>
      </c>
      <c r="B23" s="26">
        <v>31</v>
      </c>
      <c r="C23" s="26">
        <v>18</v>
      </c>
      <c r="D23" s="46">
        <v>0.58064516129032262</v>
      </c>
      <c r="E23" s="47" t="s">
        <v>19</v>
      </c>
    </row>
    <row r="24" spans="1:5" x14ac:dyDescent="0.3">
      <c r="A24" s="23" t="s">
        <v>201</v>
      </c>
      <c r="B24" s="26">
        <v>21</v>
      </c>
      <c r="C24" s="26">
        <v>12</v>
      </c>
      <c r="D24" s="46">
        <v>0.5714285714285714</v>
      </c>
      <c r="E24" s="47" t="s">
        <v>19</v>
      </c>
    </row>
    <row r="25" spans="1:5" x14ac:dyDescent="0.3">
      <c r="A25" s="23" t="s">
        <v>350</v>
      </c>
      <c r="B25" s="26">
        <v>7</v>
      </c>
      <c r="C25" s="26">
        <v>4</v>
      </c>
      <c r="D25" s="46">
        <v>0.5714285714285714</v>
      </c>
      <c r="E25" s="47" t="s">
        <v>26</v>
      </c>
    </row>
    <row r="26" spans="1:5" x14ac:dyDescent="0.3">
      <c r="A26" s="23" t="s">
        <v>329</v>
      </c>
      <c r="B26" s="26">
        <v>9</v>
      </c>
      <c r="C26" s="26">
        <v>5</v>
      </c>
      <c r="D26" s="46">
        <v>0.55555555555555558</v>
      </c>
      <c r="E26" s="47" t="s">
        <v>26</v>
      </c>
    </row>
    <row r="27" spans="1:5" x14ac:dyDescent="0.3">
      <c r="A27" s="24" t="s">
        <v>210</v>
      </c>
      <c r="B27" s="48">
        <v>18</v>
      </c>
      <c r="C27" s="48">
        <v>9</v>
      </c>
      <c r="D27" s="49">
        <v>0.5</v>
      </c>
      <c r="E27" s="50" t="s">
        <v>19</v>
      </c>
    </row>
    <row r="28" spans="1:5" x14ac:dyDescent="0.3">
      <c r="A28" s="24" t="s">
        <v>242</v>
      </c>
      <c r="B28" s="48">
        <v>2</v>
      </c>
      <c r="C28" s="48">
        <v>1</v>
      </c>
      <c r="D28" s="49">
        <v>0.5</v>
      </c>
      <c r="E28" s="50" t="s">
        <v>26</v>
      </c>
    </row>
    <row r="29" spans="1:5" x14ac:dyDescent="0.3">
      <c r="A29" s="24" t="s">
        <v>244</v>
      </c>
      <c r="B29" s="48">
        <v>2</v>
      </c>
      <c r="C29" s="48">
        <v>1</v>
      </c>
      <c r="D29" s="49">
        <v>0.5</v>
      </c>
      <c r="E29" s="50" t="s">
        <v>26</v>
      </c>
    </row>
    <row r="30" spans="1:5" x14ac:dyDescent="0.3">
      <c r="A30" s="23" t="s">
        <v>247</v>
      </c>
      <c r="B30" s="26">
        <v>6</v>
      </c>
      <c r="C30" s="26">
        <v>3</v>
      </c>
      <c r="D30" s="46">
        <v>0.5</v>
      </c>
      <c r="E30" s="47" t="s">
        <v>26</v>
      </c>
    </row>
    <row r="31" spans="1:5" x14ac:dyDescent="0.3">
      <c r="A31" s="24" t="s">
        <v>248</v>
      </c>
      <c r="B31" s="48">
        <v>2</v>
      </c>
      <c r="C31" s="48">
        <v>1</v>
      </c>
      <c r="D31" s="49">
        <v>0.5</v>
      </c>
      <c r="E31" s="50" t="s">
        <v>26</v>
      </c>
    </row>
    <row r="32" spans="1:5" x14ac:dyDescent="0.3">
      <c r="A32" s="24" t="s">
        <v>266</v>
      </c>
      <c r="B32" s="48">
        <v>2</v>
      </c>
      <c r="C32" s="48">
        <v>1</v>
      </c>
      <c r="D32" s="49">
        <v>0.5</v>
      </c>
      <c r="E32" s="50" t="s">
        <v>26</v>
      </c>
    </row>
    <row r="33" spans="1:5" x14ac:dyDescent="0.3">
      <c r="A33" s="23" t="s">
        <v>281</v>
      </c>
      <c r="B33" s="26">
        <v>2</v>
      </c>
      <c r="C33" s="26">
        <v>1</v>
      </c>
      <c r="D33" s="46">
        <v>0.5</v>
      </c>
      <c r="E33" s="47" t="s">
        <v>26</v>
      </c>
    </row>
    <row r="34" spans="1:5" x14ac:dyDescent="0.3">
      <c r="A34" s="23" t="s">
        <v>289</v>
      </c>
      <c r="B34" s="26">
        <v>2</v>
      </c>
      <c r="C34" s="26">
        <v>1</v>
      </c>
      <c r="D34" s="46">
        <v>0.5</v>
      </c>
      <c r="E34" s="47" t="s">
        <v>26</v>
      </c>
    </row>
    <row r="35" spans="1:5" x14ac:dyDescent="0.3">
      <c r="A35" s="24" t="s">
        <v>302</v>
      </c>
      <c r="B35" s="48">
        <v>2</v>
      </c>
      <c r="C35" s="48">
        <v>1</v>
      </c>
      <c r="D35" s="49">
        <v>0.5</v>
      </c>
      <c r="E35" s="50" t="s">
        <v>26</v>
      </c>
    </row>
    <row r="36" spans="1:5" x14ac:dyDescent="0.3">
      <c r="A36" s="23" t="s">
        <v>305</v>
      </c>
      <c r="B36" s="26">
        <v>4</v>
      </c>
      <c r="C36" s="26">
        <v>2</v>
      </c>
      <c r="D36" s="46">
        <v>0.5</v>
      </c>
      <c r="E36" s="47" t="s">
        <v>26</v>
      </c>
    </row>
    <row r="37" spans="1:5" x14ac:dyDescent="0.3">
      <c r="A37" s="24" t="s">
        <v>306</v>
      </c>
      <c r="B37" s="48">
        <v>2</v>
      </c>
      <c r="C37" s="48">
        <v>1</v>
      </c>
      <c r="D37" s="49">
        <v>0.5</v>
      </c>
      <c r="E37" s="50" t="s">
        <v>26</v>
      </c>
    </row>
    <row r="38" spans="1:5" x14ac:dyDescent="0.3">
      <c r="A38" s="24" t="s">
        <v>308</v>
      </c>
      <c r="B38" s="48">
        <v>2</v>
      </c>
      <c r="C38" s="48">
        <v>1</v>
      </c>
      <c r="D38" s="49">
        <v>0.5</v>
      </c>
      <c r="E38" s="50" t="s">
        <v>26</v>
      </c>
    </row>
    <row r="39" spans="1:5" x14ac:dyDescent="0.3">
      <c r="A39" s="24" t="s">
        <v>310</v>
      </c>
      <c r="B39" s="48">
        <v>6</v>
      </c>
      <c r="C39" s="48">
        <v>3</v>
      </c>
      <c r="D39" s="49">
        <v>0.5</v>
      </c>
      <c r="E39" s="50" t="s">
        <v>26</v>
      </c>
    </row>
    <row r="40" spans="1:5" x14ac:dyDescent="0.3">
      <c r="A40" s="24" t="s">
        <v>322</v>
      </c>
      <c r="B40" s="48">
        <v>8</v>
      </c>
      <c r="C40" s="48">
        <v>4</v>
      </c>
      <c r="D40" s="49">
        <v>0.5</v>
      </c>
      <c r="E40" s="50" t="s">
        <v>26</v>
      </c>
    </row>
    <row r="41" spans="1:5" x14ac:dyDescent="0.3">
      <c r="A41" s="23" t="s">
        <v>345</v>
      </c>
      <c r="B41" s="26">
        <v>2</v>
      </c>
      <c r="C41" s="26">
        <v>1</v>
      </c>
      <c r="D41" s="46">
        <v>0.5</v>
      </c>
      <c r="E41" s="47" t="s">
        <v>26</v>
      </c>
    </row>
    <row r="42" spans="1:5" x14ac:dyDescent="0.3">
      <c r="A42" s="24">
        <v>22312</v>
      </c>
      <c r="B42" s="48">
        <v>2</v>
      </c>
      <c r="C42" s="48">
        <v>1</v>
      </c>
      <c r="D42" s="49">
        <v>0.5</v>
      </c>
      <c r="E42" s="50" t="s">
        <v>26</v>
      </c>
    </row>
    <row r="43" spans="1:5" x14ac:dyDescent="0.3">
      <c r="A43" s="23" t="s">
        <v>348</v>
      </c>
      <c r="B43" s="26">
        <v>2</v>
      </c>
      <c r="C43" s="26">
        <v>1</v>
      </c>
      <c r="D43" s="46">
        <v>0.5</v>
      </c>
      <c r="E43" s="47" t="s">
        <v>26</v>
      </c>
    </row>
    <row r="44" spans="1:5" x14ac:dyDescent="0.3">
      <c r="A44" s="24" t="s">
        <v>369</v>
      </c>
      <c r="B44" s="48">
        <v>2</v>
      </c>
      <c r="C44" s="48">
        <v>1</v>
      </c>
      <c r="D44" s="49">
        <v>0.5</v>
      </c>
      <c r="E44" s="50" t="s">
        <v>26</v>
      </c>
    </row>
    <row r="45" spans="1:5" x14ac:dyDescent="0.3">
      <c r="A45" s="24" t="s">
        <v>383</v>
      </c>
      <c r="B45" s="48">
        <v>6</v>
      </c>
      <c r="C45" s="48">
        <v>3</v>
      </c>
      <c r="D45" s="49">
        <v>0.5</v>
      </c>
      <c r="E45" s="50" t="s">
        <v>26</v>
      </c>
    </row>
    <row r="46" spans="1:5" x14ac:dyDescent="0.3">
      <c r="A46" s="24" t="s">
        <v>238</v>
      </c>
      <c r="B46" s="48">
        <v>49</v>
      </c>
      <c r="C46" s="48">
        <v>23</v>
      </c>
      <c r="D46" s="49">
        <v>0.46938775510204084</v>
      </c>
      <c r="E46" s="50" t="s">
        <v>19</v>
      </c>
    </row>
    <row r="47" spans="1:5" x14ac:dyDescent="0.3">
      <c r="A47" s="24" t="s">
        <v>224</v>
      </c>
      <c r="B47" s="48">
        <v>61</v>
      </c>
      <c r="C47" s="48">
        <v>28</v>
      </c>
      <c r="D47" s="49">
        <v>0.45901639344262296</v>
      </c>
      <c r="E47" s="50" t="s">
        <v>19</v>
      </c>
    </row>
    <row r="48" spans="1:5" x14ac:dyDescent="0.3">
      <c r="A48" s="24" t="s">
        <v>326</v>
      </c>
      <c r="B48" s="48">
        <v>11</v>
      </c>
      <c r="C48" s="48">
        <v>5</v>
      </c>
      <c r="D48" s="49">
        <v>0.45454545454545453</v>
      </c>
      <c r="E48" s="50" t="s">
        <v>19</v>
      </c>
    </row>
    <row r="49" spans="1:5" x14ac:dyDescent="0.3">
      <c r="A49" s="23" t="s">
        <v>215</v>
      </c>
      <c r="B49" s="26">
        <v>23</v>
      </c>
      <c r="C49" s="26">
        <v>10</v>
      </c>
      <c r="D49" s="46">
        <v>0.43478260869565216</v>
      </c>
      <c r="E49" s="47" t="s">
        <v>19</v>
      </c>
    </row>
    <row r="50" spans="1:5" x14ac:dyDescent="0.3">
      <c r="A50" s="24" t="s">
        <v>250</v>
      </c>
      <c r="B50" s="48">
        <v>7</v>
      </c>
      <c r="C50" s="48">
        <v>3</v>
      </c>
      <c r="D50" s="49">
        <v>0.42857142857142855</v>
      </c>
      <c r="E50" s="50" t="s">
        <v>26</v>
      </c>
    </row>
    <row r="51" spans="1:5" x14ac:dyDescent="0.3">
      <c r="A51" s="23" t="s">
        <v>366</v>
      </c>
      <c r="B51" s="26">
        <v>7</v>
      </c>
      <c r="C51" s="26">
        <v>3</v>
      </c>
      <c r="D51" s="46">
        <v>0.42857142857142855</v>
      </c>
      <c r="E51" s="47" t="s">
        <v>26</v>
      </c>
    </row>
    <row r="52" spans="1:5" x14ac:dyDescent="0.3">
      <c r="A52" s="23" t="s">
        <v>209</v>
      </c>
      <c r="B52" s="26">
        <v>17</v>
      </c>
      <c r="C52" s="26">
        <v>7</v>
      </c>
      <c r="D52" s="46">
        <v>0.41176470588235292</v>
      </c>
      <c r="E52" s="47" t="s">
        <v>19</v>
      </c>
    </row>
    <row r="53" spans="1:5" x14ac:dyDescent="0.3">
      <c r="A53" s="23" t="s">
        <v>325</v>
      </c>
      <c r="B53" s="26">
        <v>34</v>
      </c>
      <c r="C53" s="26">
        <v>14</v>
      </c>
      <c r="D53" s="46">
        <v>0.41176470588235292</v>
      </c>
      <c r="E53" s="47" t="s">
        <v>19</v>
      </c>
    </row>
    <row r="54" spans="1:5" x14ac:dyDescent="0.3">
      <c r="A54" s="23" t="s">
        <v>297</v>
      </c>
      <c r="B54" s="26">
        <v>35</v>
      </c>
      <c r="C54" s="26">
        <v>14</v>
      </c>
      <c r="D54" s="46">
        <v>0.4</v>
      </c>
      <c r="E54" s="47" t="s">
        <v>19</v>
      </c>
    </row>
    <row r="55" spans="1:5" x14ac:dyDescent="0.3">
      <c r="A55" s="23" t="s">
        <v>317</v>
      </c>
      <c r="B55" s="26">
        <v>68</v>
      </c>
      <c r="C55" s="26">
        <v>27</v>
      </c>
      <c r="D55" s="46">
        <v>0.39705882352941174</v>
      </c>
      <c r="E55" s="47" t="s">
        <v>19</v>
      </c>
    </row>
    <row r="56" spans="1:5" x14ac:dyDescent="0.3">
      <c r="A56" s="23" t="s">
        <v>223</v>
      </c>
      <c r="B56" s="26">
        <v>48</v>
      </c>
      <c r="C56" s="26">
        <v>19</v>
      </c>
      <c r="D56" s="46">
        <v>0.39583333333333331</v>
      </c>
      <c r="E56" s="47" t="s">
        <v>19</v>
      </c>
    </row>
    <row r="57" spans="1:5" x14ac:dyDescent="0.3">
      <c r="A57" s="23" t="s">
        <v>241</v>
      </c>
      <c r="B57" s="26">
        <v>49</v>
      </c>
      <c r="C57" s="26">
        <v>19</v>
      </c>
      <c r="D57" s="46">
        <v>0.38775510204081631</v>
      </c>
      <c r="E57" s="47" t="s">
        <v>19</v>
      </c>
    </row>
    <row r="58" spans="1:5" x14ac:dyDescent="0.3">
      <c r="A58" s="24" t="s">
        <v>312</v>
      </c>
      <c r="B58" s="48">
        <v>13</v>
      </c>
      <c r="C58" s="48">
        <v>5</v>
      </c>
      <c r="D58" s="49">
        <v>0.38461538461538464</v>
      </c>
      <c r="E58" s="50" t="s">
        <v>19</v>
      </c>
    </row>
    <row r="59" spans="1:5" x14ac:dyDescent="0.3">
      <c r="A59" s="24" t="s">
        <v>220</v>
      </c>
      <c r="B59" s="48">
        <v>71</v>
      </c>
      <c r="C59" s="48">
        <v>27</v>
      </c>
      <c r="D59" s="49">
        <v>0.38028169014084506</v>
      </c>
      <c r="E59" s="50" t="s">
        <v>19</v>
      </c>
    </row>
    <row r="60" spans="1:5" x14ac:dyDescent="0.3">
      <c r="A60" s="23" t="s">
        <v>197</v>
      </c>
      <c r="B60" s="26">
        <v>29</v>
      </c>
      <c r="C60" s="26">
        <v>11</v>
      </c>
      <c r="D60" s="46">
        <v>0.37931034482758619</v>
      </c>
      <c r="E60" s="47" t="s">
        <v>19</v>
      </c>
    </row>
    <row r="61" spans="1:5" x14ac:dyDescent="0.3">
      <c r="A61" s="23" t="s">
        <v>354</v>
      </c>
      <c r="B61" s="26">
        <v>8</v>
      </c>
      <c r="C61" s="26">
        <v>3</v>
      </c>
      <c r="D61" s="46">
        <v>0.375</v>
      </c>
      <c r="E61" s="47" t="s">
        <v>26</v>
      </c>
    </row>
    <row r="62" spans="1:5" x14ac:dyDescent="0.3">
      <c r="A62" s="24" t="s">
        <v>324</v>
      </c>
      <c r="B62" s="48">
        <v>11</v>
      </c>
      <c r="C62" s="48">
        <v>4</v>
      </c>
      <c r="D62" s="49">
        <v>0.36363636363636365</v>
      </c>
      <c r="E62" s="50" t="s">
        <v>19</v>
      </c>
    </row>
    <row r="63" spans="1:5" x14ac:dyDescent="0.3">
      <c r="A63" s="23" t="s">
        <v>257</v>
      </c>
      <c r="B63" s="26">
        <v>37</v>
      </c>
      <c r="C63" s="26">
        <v>13</v>
      </c>
      <c r="D63" s="46">
        <v>0.35135135135135137</v>
      </c>
      <c r="E63" s="47" t="s">
        <v>19</v>
      </c>
    </row>
    <row r="64" spans="1:5" x14ac:dyDescent="0.3">
      <c r="A64" s="23" t="s">
        <v>277</v>
      </c>
      <c r="B64" s="26">
        <v>26</v>
      </c>
      <c r="C64" s="26">
        <v>9</v>
      </c>
      <c r="D64" s="46">
        <v>0.34615384615384615</v>
      </c>
      <c r="E64" s="47" t="s">
        <v>19</v>
      </c>
    </row>
    <row r="65" spans="1:5" x14ac:dyDescent="0.3">
      <c r="A65" s="24" t="s">
        <v>232</v>
      </c>
      <c r="B65" s="48">
        <v>32</v>
      </c>
      <c r="C65" s="48">
        <v>11</v>
      </c>
      <c r="D65" s="49">
        <v>0.34375</v>
      </c>
      <c r="E65" s="50" t="s">
        <v>19</v>
      </c>
    </row>
    <row r="66" spans="1:5" x14ac:dyDescent="0.3">
      <c r="A66" s="23" t="s">
        <v>211</v>
      </c>
      <c r="B66" s="26">
        <v>59</v>
      </c>
      <c r="C66" s="26">
        <v>20</v>
      </c>
      <c r="D66" s="46">
        <v>0.33898305084745761</v>
      </c>
      <c r="E66" s="47" t="s">
        <v>19</v>
      </c>
    </row>
    <row r="67" spans="1:5" x14ac:dyDescent="0.3">
      <c r="A67" s="23" t="s">
        <v>199</v>
      </c>
      <c r="B67" s="26">
        <v>3</v>
      </c>
      <c r="C67" s="26">
        <v>1</v>
      </c>
      <c r="D67" s="46">
        <v>0.33333333333333331</v>
      </c>
      <c r="E67" s="47" t="s">
        <v>26</v>
      </c>
    </row>
    <row r="68" spans="1:5" x14ac:dyDescent="0.3">
      <c r="A68" s="23" t="s">
        <v>213</v>
      </c>
      <c r="B68" s="26">
        <v>3</v>
      </c>
      <c r="C68" s="26">
        <v>1</v>
      </c>
      <c r="D68" s="46">
        <v>0.33333333333333331</v>
      </c>
      <c r="E68" s="47" t="s">
        <v>26</v>
      </c>
    </row>
    <row r="69" spans="1:5" x14ac:dyDescent="0.3">
      <c r="A69" s="23" t="s">
        <v>237</v>
      </c>
      <c r="B69" s="26">
        <v>66</v>
      </c>
      <c r="C69" s="26">
        <v>22</v>
      </c>
      <c r="D69" s="46">
        <v>0.33333333333333331</v>
      </c>
      <c r="E69" s="47" t="s">
        <v>19</v>
      </c>
    </row>
    <row r="70" spans="1:5" x14ac:dyDescent="0.3">
      <c r="A70" s="24" t="s">
        <v>252</v>
      </c>
      <c r="B70" s="48">
        <v>3</v>
      </c>
      <c r="C70" s="48">
        <v>1</v>
      </c>
      <c r="D70" s="49">
        <v>0.33333333333333331</v>
      </c>
      <c r="E70" s="50" t="s">
        <v>26</v>
      </c>
    </row>
    <row r="71" spans="1:5" x14ac:dyDescent="0.3">
      <c r="A71" s="23" t="s">
        <v>271</v>
      </c>
      <c r="B71" s="26">
        <v>3</v>
      </c>
      <c r="C71" s="26">
        <v>1</v>
      </c>
      <c r="D71" s="46">
        <v>0.33333333333333331</v>
      </c>
      <c r="E71" s="47" t="s">
        <v>26</v>
      </c>
    </row>
    <row r="72" spans="1:5" x14ac:dyDescent="0.3">
      <c r="A72" s="24" t="s">
        <v>282</v>
      </c>
      <c r="B72" s="48">
        <v>12</v>
      </c>
      <c r="C72" s="48">
        <v>4</v>
      </c>
      <c r="D72" s="49">
        <v>0.33333333333333331</v>
      </c>
      <c r="E72" s="50" t="s">
        <v>19</v>
      </c>
    </row>
    <row r="73" spans="1:5" x14ac:dyDescent="0.3">
      <c r="A73" s="23" t="s">
        <v>309</v>
      </c>
      <c r="B73" s="26">
        <v>9</v>
      </c>
      <c r="C73" s="26">
        <v>3</v>
      </c>
      <c r="D73" s="46">
        <v>0.33333333333333331</v>
      </c>
      <c r="E73" s="47" t="s">
        <v>26</v>
      </c>
    </row>
    <row r="74" spans="1:5" x14ac:dyDescent="0.3">
      <c r="A74" s="23" t="s">
        <v>311</v>
      </c>
      <c r="B74" s="26">
        <v>3</v>
      </c>
      <c r="C74" s="26">
        <v>1</v>
      </c>
      <c r="D74" s="46">
        <v>0.33333333333333331</v>
      </c>
      <c r="E74" s="47" t="s">
        <v>26</v>
      </c>
    </row>
    <row r="75" spans="1:5" x14ac:dyDescent="0.3">
      <c r="A75" s="24" t="s">
        <v>334</v>
      </c>
      <c r="B75" s="48">
        <v>21</v>
      </c>
      <c r="C75" s="48">
        <v>7</v>
      </c>
      <c r="D75" s="49">
        <v>0.33333333333333331</v>
      </c>
      <c r="E75" s="50" t="s">
        <v>19</v>
      </c>
    </row>
    <row r="76" spans="1:5" x14ac:dyDescent="0.3">
      <c r="A76" s="23" t="s">
        <v>358</v>
      </c>
      <c r="B76" s="26">
        <v>3</v>
      </c>
      <c r="C76" s="26">
        <v>1</v>
      </c>
      <c r="D76" s="46">
        <v>0.33333333333333331</v>
      </c>
      <c r="E76" s="47" t="s">
        <v>26</v>
      </c>
    </row>
    <row r="77" spans="1:5" x14ac:dyDescent="0.3">
      <c r="A77" s="23" t="s">
        <v>362</v>
      </c>
      <c r="B77" s="26">
        <v>6</v>
      </c>
      <c r="C77" s="26">
        <v>2</v>
      </c>
      <c r="D77" s="46">
        <v>0.33333333333333331</v>
      </c>
      <c r="E77" s="47" t="s">
        <v>26</v>
      </c>
    </row>
    <row r="78" spans="1:5" x14ac:dyDescent="0.3">
      <c r="A78" s="23" t="s">
        <v>239</v>
      </c>
      <c r="B78" s="26">
        <v>37</v>
      </c>
      <c r="C78" s="26">
        <v>12</v>
      </c>
      <c r="D78" s="46">
        <v>0.32432432432432434</v>
      </c>
      <c r="E78" s="47" t="s">
        <v>19</v>
      </c>
    </row>
    <row r="79" spans="1:5" x14ac:dyDescent="0.3">
      <c r="A79" s="24" t="s">
        <v>190</v>
      </c>
      <c r="B79" s="48">
        <v>125</v>
      </c>
      <c r="C79" s="48">
        <v>40</v>
      </c>
      <c r="D79" s="49">
        <v>0.32</v>
      </c>
      <c r="E79" s="50" t="s">
        <v>19</v>
      </c>
    </row>
    <row r="80" spans="1:5" x14ac:dyDescent="0.3">
      <c r="A80" s="23" t="s">
        <v>217</v>
      </c>
      <c r="B80" s="26">
        <v>60</v>
      </c>
      <c r="C80" s="26">
        <v>19</v>
      </c>
      <c r="D80" s="46">
        <v>0.31666666666666665</v>
      </c>
      <c r="E80" s="47" t="s">
        <v>19</v>
      </c>
    </row>
    <row r="81" spans="1:5" x14ac:dyDescent="0.3">
      <c r="A81" s="24" t="s">
        <v>200</v>
      </c>
      <c r="B81" s="48">
        <v>71</v>
      </c>
      <c r="C81" s="48">
        <v>22</v>
      </c>
      <c r="D81" s="49">
        <v>0.30985915492957744</v>
      </c>
      <c r="E81" s="50" t="s">
        <v>19</v>
      </c>
    </row>
    <row r="82" spans="1:5" x14ac:dyDescent="0.3">
      <c r="A82" s="23" t="s">
        <v>187</v>
      </c>
      <c r="B82" s="26">
        <v>113</v>
      </c>
      <c r="C82" s="26">
        <v>35</v>
      </c>
      <c r="D82" s="46">
        <v>0.30973451327433627</v>
      </c>
      <c r="E82" s="47" t="s">
        <v>19</v>
      </c>
    </row>
    <row r="83" spans="1:5" x14ac:dyDescent="0.3">
      <c r="A83" s="23" t="s">
        <v>193</v>
      </c>
      <c r="B83" s="26">
        <v>117</v>
      </c>
      <c r="C83" s="26">
        <v>36</v>
      </c>
      <c r="D83" s="46">
        <v>0.30769230769230771</v>
      </c>
      <c r="E83" s="47" t="s">
        <v>19</v>
      </c>
    </row>
    <row r="84" spans="1:5" x14ac:dyDescent="0.3">
      <c r="A84" s="23" t="s">
        <v>177</v>
      </c>
      <c r="B84" s="26">
        <v>62</v>
      </c>
      <c r="C84" s="26">
        <v>19</v>
      </c>
      <c r="D84" s="46">
        <v>0.30645161290322581</v>
      </c>
      <c r="E84" s="47" t="s">
        <v>19</v>
      </c>
    </row>
    <row r="85" spans="1:5" x14ac:dyDescent="0.3">
      <c r="A85" s="24" t="s">
        <v>198</v>
      </c>
      <c r="B85" s="48">
        <v>50</v>
      </c>
      <c r="C85" s="48">
        <v>15</v>
      </c>
      <c r="D85" s="49">
        <v>0.3</v>
      </c>
      <c r="E85" s="50" t="s">
        <v>19</v>
      </c>
    </row>
    <row r="86" spans="1:5" x14ac:dyDescent="0.3">
      <c r="A86" s="23" t="s">
        <v>263</v>
      </c>
      <c r="B86" s="26">
        <v>10</v>
      </c>
      <c r="C86" s="26">
        <v>3</v>
      </c>
      <c r="D86" s="46">
        <v>0.3</v>
      </c>
      <c r="E86" s="47" t="s">
        <v>19</v>
      </c>
    </row>
    <row r="87" spans="1:5" x14ac:dyDescent="0.3">
      <c r="A87" s="24" t="s">
        <v>182</v>
      </c>
      <c r="B87" s="48">
        <v>111</v>
      </c>
      <c r="C87" s="48">
        <v>33</v>
      </c>
      <c r="D87" s="49">
        <v>0.29729729729729731</v>
      </c>
      <c r="E87" s="50" t="s">
        <v>19</v>
      </c>
    </row>
    <row r="88" spans="1:5" x14ac:dyDescent="0.3">
      <c r="A88" s="24" t="s">
        <v>270</v>
      </c>
      <c r="B88" s="48">
        <v>37</v>
      </c>
      <c r="C88" s="48">
        <v>11</v>
      </c>
      <c r="D88" s="49">
        <v>0.29729729729729731</v>
      </c>
      <c r="E88" s="50" t="s">
        <v>19</v>
      </c>
    </row>
    <row r="89" spans="1:5" x14ac:dyDescent="0.3">
      <c r="A89" s="24" t="s">
        <v>226</v>
      </c>
      <c r="B89" s="48">
        <v>17</v>
      </c>
      <c r="C89" s="48">
        <v>5</v>
      </c>
      <c r="D89" s="49">
        <v>0.29411764705882354</v>
      </c>
      <c r="E89" s="50" t="s">
        <v>19</v>
      </c>
    </row>
    <row r="90" spans="1:5" x14ac:dyDescent="0.3">
      <c r="A90" s="24" t="s">
        <v>202</v>
      </c>
      <c r="B90" s="48">
        <v>65</v>
      </c>
      <c r="C90" s="48">
        <v>19</v>
      </c>
      <c r="D90" s="49">
        <v>0.29230769230769232</v>
      </c>
      <c r="E90" s="50" t="s">
        <v>19</v>
      </c>
    </row>
    <row r="91" spans="1:5" x14ac:dyDescent="0.3">
      <c r="A91" s="24" t="s">
        <v>216</v>
      </c>
      <c r="B91" s="48">
        <v>14</v>
      </c>
      <c r="C91" s="48">
        <v>4</v>
      </c>
      <c r="D91" s="49">
        <v>0.2857142857142857</v>
      </c>
      <c r="E91" s="50" t="s">
        <v>19</v>
      </c>
    </row>
    <row r="92" spans="1:5" x14ac:dyDescent="0.3">
      <c r="A92" s="23" t="s">
        <v>275</v>
      </c>
      <c r="B92" s="26">
        <v>14</v>
      </c>
      <c r="C92" s="26">
        <v>4</v>
      </c>
      <c r="D92" s="46">
        <v>0.2857142857142857</v>
      </c>
      <c r="E92" s="47" t="s">
        <v>19</v>
      </c>
    </row>
    <row r="93" spans="1:5" x14ac:dyDescent="0.3">
      <c r="A93" s="24" t="s">
        <v>286</v>
      </c>
      <c r="B93" s="48">
        <v>14</v>
      </c>
      <c r="C93" s="48">
        <v>4</v>
      </c>
      <c r="D93" s="49">
        <v>0.2857142857142857</v>
      </c>
      <c r="E93" s="50" t="s">
        <v>19</v>
      </c>
    </row>
    <row r="94" spans="1:5" x14ac:dyDescent="0.3">
      <c r="A94" s="24" t="s">
        <v>351</v>
      </c>
      <c r="B94" s="48">
        <v>7</v>
      </c>
      <c r="C94" s="48">
        <v>2</v>
      </c>
      <c r="D94" s="49">
        <v>0.2857142857142857</v>
      </c>
      <c r="E94" s="50" t="s">
        <v>26</v>
      </c>
    </row>
    <row r="95" spans="1:5" x14ac:dyDescent="0.3">
      <c r="A95" s="24" t="s">
        <v>230</v>
      </c>
      <c r="B95" s="48">
        <v>106</v>
      </c>
      <c r="C95" s="48">
        <v>30</v>
      </c>
      <c r="D95" s="49">
        <v>0.28301886792452829</v>
      </c>
      <c r="E95" s="50" t="s">
        <v>19</v>
      </c>
    </row>
    <row r="96" spans="1:5" x14ac:dyDescent="0.3">
      <c r="A96" s="24" t="s">
        <v>338</v>
      </c>
      <c r="B96" s="48">
        <v>39</v>
      </c>
      <c r="C96" s="48">
        <v>11</v>
      </c>
      <c r="D96" s="49">
        <v>0.28205128205128205</v>
      </c>
      <c r="E96" s="50" t="s">
        <v>19</v>
      </c>
    </row>
    <row r="97" spans="1:5" x14ac:dyDescent="0.3">
      <c r="A97" s="23" t="s">
        <v>368</v>
      </c>
      <c r="B97" s="26">
        <v>39</v>
      </c>
      <c r="C97" s="26">
        <v>11</v>
      </c>
      <c r="D97" s="46">
        <v>0.28205128205128205</v>
      </c>
      <c r="E97" s="47" t="s">
        <v>19</v>
      </c>
    </row>
    <row r="98" spans="1:5" x14ac:dyDescent="0.3">
      <c r="A98" s="24" t="s">
        <v>272</v>
      </c>
      <c r="B98" s="48">
        <v>33</v>
      </c>
      <c r="C98" s="48">
        <v>9</v>
      </c>
      <c r="D98" s="49">
        <v>0.27272727272727271</v>
      </c>
      <c r="E98" s="50" t="s">
        <v>19</v>
      </c>
    </row>
    <row r="99" spans="1:5" x14ac:dyDescent="0.3">
      <c r="A99" s="23" t="s">
        <v>293</v>
      </c>
      <c r="B99" s="26">
        <v>11</v>
      </c>
      <c r="C99" s="26">
        <v>3</v>
      </c>
      <c r="D99" s="46">
        <v>0.27272727272727271</v>
      </c>
      <c r="E99" s="47" t="s">
        <v>19</v>
      </c>
    </row>
    <row r="100" spans="1:5" x14ac:dyDescent="0.3">
      <c r="A100" s="24" t="s">
        <v>186</v>
      </c>
      <c r="B100" s="48">
        <v>107</v>
      </c>
      <c r="C100" s="48">
        <v>29</v>
      </c>
      <c r="D100" s="49">
        <v>0.27102803738317754</v>
      </c>
      <c r="E100" s="50" t="s">
        <v>19</v>
      </c>
    </row>
    <row r="101" spans="1:5" x14ac:dyDescent="0.3">
      <c r="A101" s="24" t="s">
        <v>178</v>
      </c>
      <c r="B101" s="48">
        <v>60</v>
      </c>
      <c r="C101" s="48">
        <v>16</v>
      </c>
      <c r="D101" s="49">
        <v>0.26666666666666666</v>
      </c>
      <c r="E101" s="50" t="s">
        <v>19</v>
      </c>
    </row>
    <row r="102" spans="1:5" x14ac:dyDescent="0.3">
      <c r="A102" s="24" t="s">
        <v>204</v>
      </c>
      <c r="B102" s="48">
        <v>49</v>
      </c>
      <c r="C102" s="48">
        <v>13</v>
      </c>
      <c r="D102" s="49">
        <v>0.26530612244897961</v>
      </c>
      <c r="E102" s="50" t="s">
        <v>19</v>
      </c>
    </row>
    <row r="103" spans="1:5" x14ac:dyDescent="0.3">
      <c r="A103" s="24" t="s">
        <v>180</v>
      </c>
      <c r="B103" s="48">
        <v>69</v>
      </c>
      <c r="C103" s="48">
        <v>18</v>
      </c>
      <c r="D103" s="49">
        <v>0.2608695652173913</v>
      </c>
      <c r="E103" s="50" t="s">
        <v>19</v>
      </c>
    </row>
    <row r="104" spans="1:5" x14ac:dyDescent="0.3">
      <c r="A104" s="24" t="s">
        <v>206</v>
      </c>
      <c r="B104" s="48">
        <v>39</v>
      </c>
      <c r="C104" s="48">
        <v>10</v>
      </c>
      <c r="D104" s="49">
        <v>0.25641025641025639</v>
      </c>
      <c r="E104" s="50" t="s">
        <v>19</v>
      </c>
    </row>
    <row r="105" spans="1:5" x14ac:dyDescent="0.3">
      <c r="A105" s="23" t="s">
        <v>219</v>
      </c>
      <c r="B105" s="26">
        <v>24</v>
      </c>
      <c r="C105" s="26">
        <v>6</v>
      </c>
      <c r="D105" s="46">
        <v>0.25</v>
      </c>
      <c r="E105" s="47" t="s">
        <v>19</v>
      </c>
    </row>
    <row r="106" spans="1:5" x14ac:dyDescent="0.3">
      <c r="A106" s="24" t="s">
        <v>274</v>
      </c>
      <c r="B106" s="48">
        <v>4</v>
      </c>
      <c r="C106" s="48">
        <v>1</v>
      </c>
      <c r="D106" s="49">
        <v>0.25</v>
      </c>
      <c r="E106" s="50" t="s">
        <v>26</v>
      </c>
    </row>
    <row r="107" spans="1:5" x14ac:dyDescent="0.3">
      <c r="A107" s="24" t="s">
        <v>290</v>
      </c>
      <c r="B107" s="48">
        <v>4</v>
      </c>
      <c r="C107" s="48">
        <v>1</v>
      </c>
      <c r="D107" s="49">
        <v>0.25</v>
      </c>
      <c r="E107" s="50" t="s">
        <v>26</v>
      </c>
    </row>
    <row r="108" spans="1:5" x14ac:dyDescent="0.3">
      <c r="A108" s="24" t="s">
        <v>349</v>
      </c>
      <c r="B108" s="48">
        <v>4</v>
      </c>
      <c r="C108" s="48">
        <v>1</v>
      </c>
      <c r="D108" s="49">
        <v>0.25</v>
      </c>
      <c r="E108" s="50" t="s">
        <v>26</v>
      </c>
    </row>
    <row r="109" spans="1:5" x14ac:dyDescent="0.3">
      <c r="A109" s="23" t="s">
        <v>185</v>
      </c>
      <c r="B109" s="26">
        <v>105</v>
      </c>
      <c r="C109" s="26">
        <v>26</v>
      </c>
      <c r="D109" s="46">
        <v>0.24761904761904763</v>
      </c>
      <c r="E109" s="47" t="s">
        <v>19</v>
      </c>
    </row>
    <row r="110" spans="1:5" x14ac:dyDescent="0.3">
      <c r="A110" s="24" t="s">
        <v>184</v>
      </c>
      <c r="B110" s="48">
        <v>114</v>
      </c>
      <c r="C110" s="48">
        <v>28</v>
      </c>
      <c r="D110" s="49">
        <v>0.24561403508771928</v>
      </c>
      <c r="E110" s="50" t="s">
        <v>19</v>
      </c>
    </row>
    <row r="111" spans="1:5" x14ac:dyDescent="0.3">
      <c r="A111" s="24" t="s">
        <v>234</v>
      </c>
      <c r="B111" s="48">
        <v>49</v>
      </c>
      <c r="C111" s="48">
        <v>12</v>
      </c>
      <c r="D111" s="49">
        <v>0.24489795918367346</v>
      </c>
      <c r="E111" s="50" t="s">
        <v>19</v>
      </c>
    </row>
    <row r="112" spans="1:5" x14ac:dyDescent="0.3">
      <c r="A112" s="23" t="s">
        <v>195</v>
      </c>
      <c r="B112" s="26">
        <v>131</v>
      </c>
      <c r="C112" s="26">
        <v>32</v>
      </c>
      <c r="D112" s="46">
        <v>0.24427480916030533</v>
      </c>
      <c r="E112" s="47" t="s">
        <v>19</v>
      </c>
    </row>
    <row r="113" spans="1:5" x14ac:dyDescent="0.3">
      <c r="A113" s="24" t="s">
        <v>188</v>
      </c>
      <c r="B113" s="48">
        <v>103</v>
      </c>
      <c r="C113" s="48">
        <v>25</v>
      </c>
      <c r="D113" s="49">
        <v>0.24271844660194175</v>
      </c>
      <c r="E113" s="50" t="s">
        <v>19</v>
      </c>
    </row>
    <row r="114" spans="1:5" x14ac:dyDescent="0.3">
      <c r="A114" s="23" t="s">
        <v>189</v>
      </c>
      <c r="B114" s="26">
        <v>117</v>
      </c>
      <c r="C114" s="26">
        <v>28</v>
      </c>
      <c r="D114" s="46">
        <v>0.23931623931623933</v>
      </c>
      <c r="E114" s="47" t="s">
        <v>19</v>
      </c>
    </row>
    <row r="115" spans="1:5" x14ac:dyDescent="0.3">
      <c r="A115" s="24" t="s">
        <v>194</v>
      </c>
      <c r="B115" s="48">
        <v>46</v>
      </c>
      <c r="C115" s="48">
        <v>11</v>
      </c>
      <c r="D115" s="49">
        <v>0.2391304347826087</v>
      </c>
      <c r="E115" s="50" t="s">
        <v>19</v>
      </c>
    </row>
    <row r="116" spans="1:5" x14ac:dyDescent="0.3">
      <c r="A116" s="24" t="s">
        <v>196</v>
      </c>
      <c r="B116" s="48">
        <v>21</v>
      </c>
      <c r="C116" s="48">
        <v>5</v>
      </c>
      <c r="D116" s="49">
        <v>0.23809523809523808</v>
      </c>
      <c r="E116" s="50" t="s">
        <v>19</v>
      </c>
    </row>
    <row r="117" spans="1:5" x14ac:dyDescent="0.3">
      <c r="A117" s="24" t="s">
        <v>208</v>
      </c>
      <c r="B117" s="48">
        <v>21</v>
      </c>
      <c r="C117" s="48">
        <v>5</v>
      </c>
      <c r="D117" s="49">
        <v>0.23809523809523808</v>
      </c>
      <c r="E117" s="50" t="s">
        <v>19</v>
      </c>
    </row>
    <row r="118" spans="1:5" x14ac:dyDescent="0.3">
      <c r="A118" s="24" t="s">
        <v>262</v>
      </c>
      <c r="B118" s="48">
        <v>17</v>
      </c>
      <c r="C118" s="48">
        <v>4</v>
      </c>
      <c r="D118" s="49">
        <v>0.23529411764705882</v>
      </c>
      <c r="E118" s="50" t="s">
        <v>19</v>
      </c>
    </row>
    <row r="119" spans="1:5" x14ac:dyDescent="0.3">
      <c r="A119" s="23" t="s">
        <v>339</v>
      </c>
      <c r="B119" s="26">
        <v>17</v>
      </c>
      <c r="C119" s="26">
        <v>4</v>
      </c>
      <c r="D119" s="46">
        <v>0.23529411764705882</v>
      </c>
      <c r="E119" s="47" t="s">
        <v>19</v>
      </c>
    </row>
    <row r="120" spans="1:5" x14ac:dyDescent="0.3">
      <c r="A120" s="24" t="s">
        <v>192</v>
      </c>
      <c r="B120" s="48">
        <v>94</v>
      </c>
      <c r="C120" s="48">
        <v>22</v>
      </c>
      <c r="D120" s="49">
        <v>0.23404255319148937</v>
      </c>
      <c r="E120" s="50" t="s">
        <v>19</v>
      </c>
    </row>
    <row r="121" spans="1:5" x14ac:dyDescent="0.3">
      <c r="A121" s="24" t="s">
        <v>278</v>
      </c>
      <c r="B121" s="48">
        <v>13</v>
      </c>
      <c r="C121" s="48">
        <v>3</v>
      </c>
      <c r="D121" s="49">
        <v>0.23076923076923078</v>
      </c>
      <c r="E121" s="50" t="s">
        <v>19</v>
      </c>
    </row>
    <row r="122" spans="1:5" x14ac:dyDescent="0.3">
      <c r="A122" s="23" t="s">
        <v>207</v>
      </c>
      <c r="B122" s="26">
        <v>9</v>
      </c>
      <c r="C122" s="26">
        <v>2</v>
      </c>
      <c r="D122" s="46">
        <v>0.22222222222222221</v>
      </c>
      <c r="E122" s="47" t="s">
        <v>26</v>
      </c>
    </row>
    <row r="123" spans="1:5" x14ac:dyDescent="0.3">
      <c r="A123" s="24" t="s">
        <v>292</v>
      </c>
      <c r="B123" s="48">
        <v>9</v>
      </c>
      <c r="C123" s="48">
        <v>2</v>
      </c>
      <c r="D123" s="49">
        <v>0.22222222222222221</v>
      </c>
      <c r="E123" s="50" t="s">
        <v>26</v>
      </c>
    </row>
    <row r="124" spans="1:5" x14ac:dyDescent="0.3">
      <c r="A124" s="23" t="s">
        <v>352</v>
      </c>
      <c r="B124" s="26">
        <v>9</v>
      </c>
      <c r="C124" s="26">
        <v>2</v>
      </c>
      <c r="D124" s="46">
        <v>0.22222222222222221</v>
      </c>
      <c r="E124" s="47" t="s">
        <v>26</v>
      </c>
    </row>
    <row r="125" spans="1:5" x14ac:dyDescent="0.3">
      <c r="A125" s="24" t="s">
        <v>365</v>
      </c>
      <c r="B125" s="48">
        <v>9</v>
      </c>
      <c r="C125" s="48">
        <v>2</v>
      </c>
      <c r="D125" s="49">
        <v>0.22222222222222221</v>
      </c>
      <c r="E125" s="50" t="s">
        <v>26</v>
      </c>
    </row>
    <row r="126" spans="1:5" x14ac:dyDescent="0.3">
      <c r="A126" s="23" t="s">
        <v>181</v>
      </c>
      <c r="B126" s="26">
        <v>122</v>
      </c>
      <c r="C126" s="26">
        <v>27</v>
      </c>
      <c r="D126" s="46">
        <v>0.22131147540983606</v>
      </c>
      <c r="E126" s="47" t="s">
        <v>19</v>
      </c>
    </row>
    <row r="127" spans="1:5" x14ac:dyDescent="0.3">
      <c r="A127" s="24" t="s">
        <v>264</v>
      </c>
      <c r="B127" s="48">
        <v>23</v>
      </c>
      <c r="C127" s="48">
        <v>5</v>
      </c>
      <c r="D127" s="49">
        <v>0.21739130434782608</v>
      </c>
      <c r="E127" s="50" t="s">
        <v>19</v>
      </c>
    </row>
    <row r="128" spans="1:5" x14ac:dyDescent="0.3">
      <c r="A128" s="23" t="s">
        <v>183</v>
      </c>
      <c r="B128" s="26">
        <v>113</v>
      </c>
      <c r="C128" s="26">
        <v>24</v>
      </c>
      <c r="D128" s="46">
        <v>0.21238938053097345</v>
      </c>
      <c r="E128" s="47" t="s">
        <v>19</v>
      </c>
    </row>
    <row r="129" spans="1:5" x14ac:dyDescent="0.3">
      <c r="A129" s="23" t="s">
        <v>191</v>
      </c>
      <c r="B129" s="26">
        <v>111</v>
      </c>
      <c r="C129" s="26">
        <v>23</v>
      </c>
      <c r="D129" s="46">
        <v>0.2072072072072072</v>
      </c>
      <c r="E129" s="47" t="s">
        <v>19</v>
      </c>
    </row>
    <row r="130" spans="1:5" x14ac:dyDescent="0.3">
      <c r="A130" s="24" t="s">
        <v>240</v>
      </c>
      <c r="B130" s="48">
        <v>5</v>
      </c>
      <c r="C130" s="48">
        <v>1</v>
      </c>
      <c r="D130" s="49">
        <v>0.2</v>
      </c>
      <c r="E130" s="50" t="s">
        <v>26</v>
      </c>
    </row>
    <row r="131" spans="1:5" x14ac:dyDescent="0.3">
      <c r="A131" s="23" t="s">
        <v>253</v>
      </c>
      <c r="B131" s="26">
        <v>15</v>
      </c>
      <c r="C131" s="26">
        <v>3</v>
      </c>
      <c r="D131" s="46">
        <v>0.2</v>
      </c>
      <c r="E131" s="47" t="s">
        <v>19</v>
      </c>
    </row>
    <row r="132" spans="1:5" x14ac:dyDescent="0.3">
      <c r="A132" s="24" t="s">
        <v>256</v>
      </c>
      <c r="B132" s="48">
        <v>25</v>
      </c>
      <c r="C132" s="48">
        <v>5</v>
      </c>
      <c r="D132" s="49">
        <v>0.2</v>
      </c>
      <c r="E132" s="50" t="s">
        <v>19</v>
      </c>
    </row>
    <row r="133" spans="1:5" x14ac:dyDescent="0.3">
      <c r="A133" s="24" t="s">
        <v>316</v>
      </c>
      <c r="B133" s="48">
        <v>45</v>
      </c>
      <c r="C133" s="48">
        <v>9</v>
      </c>
      <c r="D133" s="49">
        <v>0.2</v>
      </c>
      <c r="E133" s="50" t="s">
        <v>19</v>
      </c>
    </row>
    <row r="134" spans="1:5" x14ac:dyDescent="0.3">
      <c r="A134" s="24" t="s">
        <v>340</v>
      </c>
      <c r="B134" s="48">
        <v>21</v>
      </c>
      <c r="C134" s="48">
        <v>4</v>
      </c>
      <c r="D134" s="49">
        <v>0.19047619047619047</v>
      </c>
      <c r="E134" s="50" t="s">
        <v>19</v>
      </c>
    </row>
    <row r="135" spans="1:5" x14ac:dyDescent="0.3">
      <c r="A135" s="24" t="s">
        <v>260</v>
      </c>
      <c r="B135" s="48">
        <v>11</v>
      </c>
      <c r="C135" s="48">
        <v>2</v>
      </c>
      <c r="D135" s="49">
        <v>0.18181818181818182</v>
      </c>
      <c r="E135" s="50" t="s">
        <v>19</v>
      </c>
    </row>
    <row r="136" spans="1:5" x14ac:dyDescent="0.3">
      <c r="A136" s="23" t="s">
        <v>233</v>
      </c>
      <c r="B136" s="26">
        <v>28</v>
      </c>
      <c r="C136" s="26">
        <v>5</v>
      </c>
      <c r="D136" s="46">
        <v>0.17857142857142858</v>
      </c>
      <c r="E136" s="47" t="s">
        <v>19</v>
      </c>
    </row>
    <row r="137" spans="1:5" x14ac:dyDescent="0.3">
      <c r="A137" s="24" t="s">
        <v>258</v>
      </c>
      <c r="B137" s="48">
        <v>28</v>
      </c>
      <c r="C137" s="48">
        <v>5</v>
      </c>
      <c r="D137" s="49">
        <v>0.17857142857142858</v>
      </c>
      <c r="E137" s="50" t="s">
        <v>19</v>
      </c>
    </row>
    <row r="138" spans="1:5" x14ac:dyDescent="0.3">
      <c r="A138" s="24" t="s">
        <v>212</v>
      </c>
      <c r="B138" s="48">
        <v>17</v>
      </c>
      <c r="C138" s="48">
        <v>3</v>
      </c>
      <c r="D138" s="49">
        <v>0.17647058823529413</v>
      </c>
      <c r="E138" s="50" t="s">
        <v>19</v>
      </c>
    </row>
    <row r="139" spans="1:5" x14ac:dyDescent="0.3">
      <c r="A139" s="24" t="s">
        <v>328</v>
      </c>
      <c r="B139" s="48">
        <v>35</v>
      </c>
      <c r="C139" s="48">
        <v>6</v>
      </c>
      <c r="D139" s="49">
        <v>0.17142857142857143</v>
      </c>
      <c r="E139" s="50" t="s">
        <v>19</v>
      </c>
    </row>
    <row r="140" spans="1:5" x14ac:dyDescent="0.3">
      <c r="A140" s="23" t="s">
        <v>203</v>
      </c>
      <c r="B140" s="26">
        <v>24</v>
      </c>
      <c r="C140" s="26">
        <v>4</v>
      </c>
      <c r="D140" s="46">
        <v>0.16666666666666666</v>
      </c>
      <c r="E140" s="47" t="s">
        <v>19</v>
      </c>
    </row>
    <row r="141" spans="1:5" x14ac:dyDescent="0.3">
      <c r="A141" s="23" t="s">
        <v>205</v>
      </c>
      <c r="B141" s="26">
        <v>54</v>
      </c>
      <c r="C141" s="26">
        <v>9</v>
      </c>
      <c r="D141" s="46">
        <v>0.16666666666666666</v>
      </c>
      <c r="E141" s="47" t="s">
        <v>19</v>
      </c>
    </row>
    <row r="142" spans="1:5" x14ac:dyDescent="0.3">
      <c r="A142" s="24" t="s">
        <v>288</v>
      </c>
      <c r="B142" s="48">
        <v>12</v>
      </c>
      <c r="C142" s="48">
        <v>2</v>
      </c>
      <c r="D142" s="49">
        <v>0.16666666666666666</v>
      </c>
      <c r="E142" s="50" t="s">
        <v>19</v>
      </c>
    </row>
    <row r="143" spans="1:5" x14ac:dyDescent="0.3">
      <c r="A143" s="23" t="s">
        <v>307</v>
      </c>
      <c r="B143" s="26">
        <v>6</v>
      </c>
      <c r="C143" s="26">
        <v>1</v>
      </c>
      <c r="D143" s="46">
        <v>0.16666666666666666</v>
      </c>
      <c r="E143" s="47" t="s">
        <v>26</v>
      </c>
    </row>
    <row r="144" spans="1:5" x14ac:dyDescent="0.3">
      <c r="A144" s="24" t="s">
        <v>314</v>
      </c>
      <c r="B144" s="48">
        <v>6</v>
      </c>
      <c r="C144" s="48">
        <v>1</v>
      </c>
      <c r="D144" s="49">
        <v>0.16666666666666666</v>
      </c>
      <c r="E144" s="50" t="s">
        <v>26</v>
      </c>
    </row>
    <row r="145" spans="1:5" x14ac:dyDescent="0.3">
      <c r="A145" s="24" t="s">
        <v>318</v>
      </c>
      <c r="B145" s="48">
        <v>24</v>
      </c>
      <c r="C145" s="48">
        <v>4</v>
      </c>
      <c r="D145" s="49">
        <v>0.16666666666666666</v>
      </c>
      <c r="E145" s="50" t="s">
        <v>19</v>
      </c>
    </row>
    <row r="146" spans="1:5" x14ac:dyDescent="0.3">
      <c r="A146" s="23" t="s">
        <v>323</v>
      </c>
      <c r="B146" s="26">
        <v>6</v>
      </c>
      <c r="C146" s="26">
        <v>1</v>
      </c>
      <c r="D146" s="46">
        <v>0.16666666666666666</v>
      </c>
      <c r="E146" s="47" t="s">
        <v>26</v>
      </c>
    </row>
    <row r="147" spans="1:5" x14ac:dyDescent="0.3">
      <c r="A147" s="23" t="s">
        <v>356</v>
      </c>
      <c r="B147" s="26">
        <v>6</v>
      </c>
      <c r="C147" s="26">
        <v>1</v>
      </c>
      <c r="D147" s="46">
        <v>0.16666666666666666</v>
      </c>
      <c r="E147" s="47" t="s">
        <v>26</v>
      </c>
    </row>
    <row r="148" spans="1:5" x14ac:dyDescent="0.3">
      <c r="A148" s="24" t="s">
        <v>359</v>
      </c>
      <c r="B148" s="48">
        <v>6</v>
      </c>
      <c r="C148" s="48">
        <v>1</v>
      </c>
      <c r="D148" s="49">
        <v>0.16666666666666666</v>
      </c>
      <c r="E148" s="50" t="s">
        <v>26</v>
      </c>
    </row>
    <row r="149" spans="1:5" x14ac:dyDescent="0.3">
      <c r="A149" s="24" t="s">
        <v>363</v>
      </c>
      <c r="B149" s="48">
        <v>6</v>
      </c>
      <c r="C149" s="48">
        <v>1</v>
      </c>
      <c r="D149" s="49">
        <v>0.16666666666666666</v>
      </c>
      <c r="E149" s="50" t="s">
        <v>26</v>
      </c>
    </row>
    <row r="150" spans="1:5" x14ac:dyDescent="0.3">
      <c r="A150" s="24" t="s">
        <v>218</v>
      </c>
      <c r="B150" s="48">
        <v>79</v>
      </c>
      <c r="C150" s="48">
        <v>13</v>
      </c>
      <c r="D150" s="49">
        <v>0.16455696202531644</v>
      </c>
      <c r="E150" s="50" t="s">
        <v>19</v>
      </c>
    </row>
    <row r="151" spans="1:5" x14ac:dyDescent="0.3">
      <c r="A151" s="23" t="s">
        <v>179</v>
      </c>
      <c r="B151" s="26">
        <v>64</v>
      </c>
      <c r="C151" s="26">
        <v>10</v>
      </c>
      <c r="D151" s="46">
        <v>0.15625</v>
      </c>
      <c r="E151" s="47" t="s">
        <v>19</v>
      </c>
    </row>
    <row r="152" spans="1:5" x14ac:dyDescent="0.3">
      <c r="A152" s="23" t="s">
        <v>319</v>
      </c>
      <c r="B152" s="26">
        <v>21</v>
      </c>
      <c r="C152" s="26">
        <v>3</v>
      </c>
      <c r="D152" s="46">
        <v>0.14285714285714285</v>
      </c>
      <c r="E152" s="47" t="s">
        <v>19</v>
      </c>
    </row>
    <row r="153" spans="1:5" x14ac:dyDescent="0.3">
      <c r="A153" s="23" t="s">
        <v>335</v>
      </c>
      <c r="B153" s="26">
        <v>7</v>
      </c>
      <c r="C153" s="26">
        <v>1</v>
      </c>
      <c r="D153" s="46">
        <v>0.14285714285714285</v>
      </c>
      <c r="E153" s="47" t="s">
        <v>26</v>
      </c>
    </row>
    <row r="154" spans="1:5" x14ac:dyDescent="0.3">
      <c r="A154" s="24" t="s">
        <v>355</v>
      </c>
      <c r="B154" s="48">
        <v>7</v>
      </c>
      <c r="C154" s="48">
        <v>1</v>
      </c>
      <c r="D154" s="49">
        <v>0.14285714285714285</v>
      </c>
      <c r="E154" s="50" t="s">
        <v>26</v>
      </c>
    </row>
    <row r="155" spans="1:5" x14ac:dyDescent="0.3">
      <c r="A155" s="23" t="s">
        <v>331</v>
      </c>
      <c r="B155" s="26">
        <v>15</v>
      </c>
      <c r="C155" s="26">
        <v>2</v>
      </c>
      <c r="D155" s="46">
        <v>0.13333333333333333</v>
      </c>
      <c r="E155" s="47" t="s">
        <v>19</v>
      </c>
    </row>
    <row r="156" spans="1:5" x14ac:dyDescent="0.3">
      <c r="A156" s="23" t="s">
        <v>315</v>
      </c>
      <c r="B156" s="26">
        <v>23</v>
      </c>
      <c r="C156" s="26">
        <v>3</v>
      </c>
      <c r="D156" s="46">
        <v>0.13043478260869565</v>
      </c>
      <c r="E156" s="47" t="s">
        <v>19</v>
      </c>
    </row>
    <row r="157" spans="1:5" x14ac:dyDescent="0.3">
      <c r="A157" s="24" t="s">
        <v>222</v>
      </c>
      <c r="B157" s="48">
        <v>27</v>
      </c>
      <c r="C157" s="48">
        <v>3</v>
      </c>
      <c r="D157" s="49">
        <v>0.1111111111111111</v>
      </c>
      <c r="E157" s="50" t="s">
        <v>19</v>
      </c>
    </row>
    <row r="158" spans="1:5" x14ac:dyDescent="0.3">
      <c r="A158" s="24" t="s">
        <v>336</v>
      </c>
      <c r="B158" s="48">
        <v>9</v>
      </c>
      <c r="C158" s="48">
        <v>1</v>
      </c>
      <c r="D158" s="49">
        <v>0.1111111111111111</v>
      </c>
      <c r="E158" s="50" t="s">
        <v>26</v>
      </c>
    </row>
    <row r="159" spans="1:5" x14ac:dyDescent="0.3">
      <c r="A159" s="24" t="s">
        <v>332</v>
      </c>
      <c r="B159" s="48">
        <v>37</v>
      </c>
      <c r="C159" s="48">
        <v>4</v>
      </c>
      <c r="D159" s="49">
        <v>0.10810810810810811</v>
      </c>
      <c r="E159" s="50" t="s">
        <v>19</v>
      </c>
    </row>
    <row r="160" spans="1:5" x14ac:dyDescent="0.3">
      <c r="A160" s="23" t="s">
        <v>285</v>
      </c>
      <c r="B160" s="26">
        <v>10</v>
      </c>
      <c r="C160" s="26">
        <v>1</v>
      </c>
      <c r="D160" s="46">
        <v>0.1</v>
      </c>
      <c r="E160" s="47" t="s">
        <v>19</v>
      </c>
    </row>
    <row r="161" spans="1:5" x14ac:dyDescent="0.3">
      <c r="A161" s="23" t="s">
        <v>231</v>
      </c>
      <c r="B161" s="26">
        <v>11</v>
      </c>
      <c r="C161" s="26">
        <v>1</v>
      </c>
      <c r="D161" s="46">
        <v>9.0909090909090912E-2</v>
      </c>
      <c r="E161" s="47" t="s">
        <v>19</v>
      </c>
    </row>
    <row r="162" spans="1:5" x14ac:dyDescent="0.3">
      <c r="A162" s="24" t="s">
        <v>246</v>
      </c>
      <c r="B162" s="48">
        <v>11</v>
      </c>
      <c r="C162" s="48">
        <v>1</v>
      </c>
      <c r="D162" s="49">
        <v>9.0909090909090912E-2</v>
      </c>
      <c r="E162" s="50" t="s">
        <v>19</v>
      </c>
    </row>
    <row r="163" spans="1:5" x14ac:dyDescent="0.3">
      <c r="A163" s="23" t="s">
        <v>255</v>
      </c>
      <c r="B163" s="26">
        <v>22</v>
      </c>
      <c r="C163" s="26">
        <v>2</v>
      </c>
      <c r="D163" s="46">
        <v>9.0909090909090912E-2</v>
      </c>
      <c r="E163" s="47" t="s">
        <v>19</v>
      </c>
    </row>
    <row r="164" spans="1:5" x14ac:dyDescent="0.3">
      <c r="A164" s="24" t="s">
        <v>228</v>
      </c>
      <c r="B164" s="48">
        <v>43</v>
      </c>
      <c r="C164" s="48">
        <v>2</v>
      </c>
      <c r="D164" s="49">
        <v>4.6511627906976744E-2</v>
      </c>
      <c r="E164" s="50" t="s">
        <v>19</v>
      </c>
    </row>
    <row r="165" spans="1:5" x14ac:dyDescent="0.3">
      <c r="A165" s="24" t="s">
        <v>330</v>
      </c>
      <c r="B165" s="48">
        <v>43</v>
      </c>
      <c r="C165" s="48">
        <v>2</v>
      </c>
      <c r="D165" s="49">
        <v>4.6511627906976744E-2</v>
      </c>
      <c r="E165" s="50" t="s">
        <v>19</v>
      </c>
    </row>
    <row r="166" spans="1:5" x14ac:dyDescent="0.3">
      <c r="A166" s="23" t="s">
        <v>229</v>
      </c>
      <c r="B166" s="26">
        <v>24</v>
      </c>
      <c r="C166" s="26">
        <v>1</v>
      </c>
      <c r="D166" s="46">
        <v>4.1666666666666664E-2</v>
      </c>
      <c r="E166" s="47" t="s">
        <v>19</v>
      </c>
    </row>
    <row r="167" spans="1:5" x14ac:dyDescent="0.3">
      <c r="A167" s="24" t="s">
        <v>214</v>
      </c>
      <c r="B167" s="48">
        <v>5</v>
      </c>
      <c r="C167" s="48">
        <v>0</v>
      </c>
      <c r="D167" s="49">
        <v>0</v>
      </c>
      <c r="E167" s="50" t="s">
        <v>26</v>
      </c>
    </row>
    <row r="168" spans="1:5" x14ac:dyDescent="0.3">
      <c r="A168" s="23" t="s">
        <v>227</v>
      </c>
      <c r="B168" s="26">
        <v>1</v>
      </c>
      <c r="C168" s="26">
        <v>0</v>
      </c>
      <c r="D168" s="46">
        <v>0</v>
      </c>
      <c r="E168" s="47" t="s">
        <v>26</v>
      </c>
    </row>
    <row r="169" spans="1:5" x14ac:dyDescent="0.3">
      <c r="A169" s="23" t="s">
        <v>259</v>
      </c>
      <c r="B169" s="26">
        <v>1</v>
      </c>
      <c r="C169" s="26">
        <v>0</v>
      </c>
      <c r="D169" s="46">
        <v>0</v>
      </c>
      <c r="E169" s="47" t="s">
        <v>26</v>
      </c>
    </row>
    <row r="170" spans="1:5" x14ac:dyDescent="0.3">
      <c r="A170" s="23" t="s">
        <v>261</v>
      </c>
      <c r="B170" s="26">
        <v>6</v>
      </c>
      <c r="C170" s="26">
        <v>0</v>
      </c>
      <c r="D170" s="46">
        <v>0</v>
      </c>
      <c r="E170" s="47" t="s">
        <v>26</v>
      </c>
    </row>
    <row r="171" spans="1:5" x14ac:dyDescent="0.3">
      <c r="A171" s="23" t="s">
        <v>265</v>
      </c>
      <c r="B171" s="26">
        <v>2</v>
      </c>
      <c r="C171" s="26">
        <v>0</v>
      </c>
      <c r="D171" s="46">
        <v>0</v>
      </c>
      <c r="E171" s="47" t="s">
        <v>26</v>
      </c>
    </row>
    <row r="172" spans="1:5" x14ac:dyDescent="0.3">
      <c r="A172" s="23" t="s">
        <v>267</v>
      </c>
      <c r="B172" s="26">
        <v>2</v>
      </c>
      <c r="C172" s="26">
        <v>0</v>
      </c>
      <c r="D172" s="46">
        <v>0</v>
      </c>
      <c r="E172" s="47" t="s">
        <v>26</v>
      </c>
    </row>
    <row r="173" spans="1:5" x14ac:dyDescent="0.3">
      <c r="A173" s="24" t="s">
        <v>268</v>
      </c>
      <c r="B173" s="48">
        <v>2</v>
      </c>
      <c r="C173" s="48">
        <v>0</v>
      </c>
      <c r="D173" s="49">
        <v>0</v>
      </c>
      <c r="E173" s="50" t="s">
        <v>26</v>
      </c>
    </row>
    <row r="174" spans="1:5" x14ac:dyDescent="0.3">
      <c r="A174" s="24" t="s">
        <v>284</v>
      </c>
      <c r="B174" s="48">
        <v>1</v>
      </c>
      <c r="C174" s="48">
        <v>0</v>
      </c>
      <c r="D174" s="49">
        <v>0</v>
      </c>
      <c r="E174" s="50" t="s">
        <v>26</v>
      </c>
    </row>
    <row r="175" spans="1:5" x14ac:dyDescent="0.3">
      <c r="A175" s="23" t="s">
        <v>287</v>
      </c>
      <c r="B175" s="26">
        <v>4</v>
      </c>
      <c r="C175" s="26">
        <v>0</v>
      </c>
      <c r="D175" s="46">
        <v>0</v>
      </c>
      <c r="E175" s="47" t="s">
        <v>26</v>
      </c>
    </row>
    <row r="176" spans="1:5" x14ac:dyDescent="0.3">
      <c r="A176" s="23" t="s">
        <v>291</v>
      </c>
      <c r="B176" s="26">
        <v>2</v>
      </c>
      <c r="C176" s="26">
        <v>0</v>
      </c>
      <c r="D176" s="46">
        <v>0</v>
      </c>
      <c r="E176" s="47" t="s">
        <v>26</v>
      </c>
    </row>
    <row r="177" spans="1:5" x14ac:dyDescent="0.3">
      <c r="A177" s="24" t="s">
        <v>294</v>
      </c>
      <c r="B177" s="48">
        <v>5</v>
      </c>
      <c r="C177" s="48">
        <v>0</v>
      </c>
      <c r="D177" s="49">
        <v>0</v>
      </c>
      <c r="E177" s="50" t="s">
        <v>26</v>
      </c>
    </row>
    <row r="178" spans="1:5" x14ac:dyDescent="0.3">
      <c r="A178" s="23" t="s">
        <v>295</v>
      </c>
      <c r="B178" s="26">
        <v>1</v>
      </c>
      <c r="C178" s="26">
        <v>0</v>
      </c>
      <c r="D178" s="46">
        <v>0</v>
      </c>
      <c r="E178" s="47" t="s">
        <v>26</v>
      </c>
    </row>
    <row r="179" spans="1:5" x14ac:dyDescent="0.3">
      <c r="A179" s="24" t="s">
        <v>296</v>
      </c>
      <c r="B179" s="48">
        <v>1</v>
      </c>
      <c r="C179" s="48">
        <v>0</v>
      </c>
      <c r="D179" s="49">
        <v>0</v>
      </c>
      <c r="E179" s="50" t="s">
        <v>26</v>
      </c>
    </row>
    <row r="180" spans="1:5" x14ac:dyDescent="0.3">
      <c r="A180" s="24" t="s">
        <v>298</v>
      </c>
      <c r="B180" s="48">
        <v>4</v>
      </c>
      <c r="C180" s="48">
        <v>0</v>
      </c>
      <c r="D180" s="49">
        <v>0</v>
      </c>
      <c r="E180" s="50" t="s">
        <v>26</v>
      </c>
    </row>
    <row r="181" spans="1:5" x14ac:dyDescent="0.3">
      <c r="A181" s="23" t="s">
        <v>299</v>
      </c>
      <c r="B181" s="26">
        <v>1</v>
      </c>
      <c r="C181" s="26">
        <v>0</v>
      </c>
      <c r="D181" s="46">
        <v>0</v>
      </c>
      <c r="E181" s="47" t="s">
        <v>26</v>
      </c>
    </row>
    <row r="182" spans="1:5" x14ac:dyDescent="0.3">
      <c r="A182" s="23" t="s">
        <v>303</v>
      </c>
      <c r="B182" s="26">
        <v>3</v>
      </c>
      <c r="C182" s="26">
        <v>0</v>
      </c>
      <c r="D182" s="46">
        <v>0</v>
      </c>
      <c r="E182" s="47" t="s">
        <v>26</v>
      </c>
    </row>
    <row r="183" spans="1:5" x14ac:dyDescent="0.3">
      <c r="A183" s="23" t="s">
        <v>313</v>
      </c>
      <c r="B183" s="26">
        <v>4</v>
      </c>
      <c r="C183" s="26">
        <v>0</v>
      </c>
      <c r="D183" s="46">
        <v>0</v>
      </c>
      <c r="E183" s="47" t="s">
        <v>26</v>
      </c>
    </row>
    <row r="184" spans="1:5" x14ac:dyDescent="0.3">
      <c r="A184" s="23" t="s">
        <v>321</v>
      </c>
      <c r="B184" s="26">
        <v>7</v>
      </c>
      <c r="C184" s="26">
        <v>0</v>
      </c>
      <c r="D184" s="46">
        <v>0</v>
      </c>
      <c r="E184" s="47" t="s">
        <v>26</v>
      </c>
    </row>
    <row r="185" spans="1:5" x14ac:dyDescent="0.3">
      <c r="A185" s="23" t="s">
        <v>327</v>
      </c>
      <c r="B185" s="26">
        <v>6</v>
      </c>
      <c r="C185" s="26">
        <v>0</v>
      </c>
      <c r="D185" s="46">
        <v>0</v>
      </c>
      <c r="E185" s="47" t="s">
        <v>26</v>
      </c>
    </row>
    <row r="186" spans="1:5" x14ac:dyDescent="0.3">
      <c r="A186" s="23" t="s">
        <v>333</v>
      </c>
      <c r="B186" s="26">
        <v>1</v>
      </c>
      <c r="C186" s="26">
        <v>0</v>
      </c>
      <c r="D186" s="46">
        <v>0</v>
      </c>
      <c r="E186" s="47" t="s">
        <v>26</v>
      </c>
    </row>
    <row r="187" spans="1:5" x14ac:dyDescent="0.3">
      <c r="A187" s="23" t="s">
        <v>341</v>
      </c>
      <c r="B187" s="26">
        <v>2</v>
      </c>
      <c r="C187" s="26">
        <v>0</v>
      </c>
      <c r="D187" s="46">
        <v>0</v>
      </c>
      <c r="E187" s="47" t="s">
        <v>26</v>
      </c>
    </row>
    <row r="188" spans="1:5" x14ac:dyDescent="0.3">
      <c r="A188" s="24" t="s">
        <v>342</v>
      </c>
      <c r="B188" s="48">
        <v>1</v>
      </c>
      <c r="C188" s="48">
        <v>0</v>
      </c>
      <c r="D188" s="49">
        <v>0</v>
      </c>
      <c r="E188" s="50" t="s">
        <v>26</v>
      </c>
    </row>
    <row r="189" spans="1:5" x14ac:dyDescent="0.3">
      <c r="A189" s="23" t="s">
        <v>343</v>
      </c>
      <c r="B189" s="26">
        <v>1</v>
      </c>
      <c r="C189" s="26">
        <v>0</v>
      </c>
      <c r="D189" s="46">
        <v>0</v>
      </c>
      <c r="E189" s="47" t="s">
        <v>26</v>
      </c>
    </row>
    <row r="190" spans="1:5" x14ac:dyDescent="0.3">
      <c r="A190" s="24" t="s">
        <v>344</v>
      </c>
      <c r="B190" s="48">
        <v>1</v>
      </c>
      <c r="C190" s="48">
        <v>0</v>
      </c>
      <c r="D190" s="49">
        <v>0</v>
      </c>
      <c r="E190" s="50" t="s">
        <v>26</v>
      </c>
    </row>
    <row r="191" spans="1:5" x14ac:dyDescent="0.3">
      <c r="A191" s="24" t="s">
        <v>346</v>
      </c>
      <c r="B191" s="48">
        <v>1</v>
      </c>
      <c r="C191" s="48">
        <v>0</v>
      </c>
      <c r="D191" s="49">
        <v>0</v>
      </c>
      <c r="E191" s="50" t="s">
        <v>26</v>
      </c>
    </row>
    <row r="192" spans="1:5" x14ac:dyDescent="0.3">
      <c r="A192" s="23" t="s">
        <v>347</v>
      </c>
      <c r="B192" s="26">
        <v>1</v>
      </c>
      <c r="C192" s="26">
        <v>0</v>
      </c>
      <c r="D192" s="46">
        <v>0</v>
      </c>
      <c r="E192" s="47" t="s">
        <v>26</v>
      </c>
    </row>
    <row r="193" spans="1:5" x14ac:dyDescent="0.3">
      <c r="A193" s="24" t="s">
        <v>353</v>
      </c>
      <c r="B193" s="48">
        <v>4</v>
      </c>
      <c r="C193" s="48">
        <v>0</v>
      </c>
      <c r="D193" s="49">
        <v>0</v>
      </c>
      <c r="E193" s="50" t="s">
        <v>26</v>
      </c>
    </row>
    <row r="194" spans="1:5" x14ac:dyDescent="0.3">
      <c r="A194" s="24" t="s">
        <v>361</v>
      </c>
      <c r="B194" s="48">
        <v>3</v>
      </c>
      <c r="C194" s="48">
        <v>0</v>
      </c>
      <c r="D194" s="49">
        <v>0</v>
      </c>
      <c r="E194" s="50" t="s">
        <v>26</v>
      </c>
    </row>
    <row r="195" spans="1:5" x14ac:dyDescent="0.3">
      <c r="A195" s="23" t="s">
        <v>364</v>
      </c>
      <c r="B195" s="26">
        <v>1</v>
      </c>
      <c r="C195" s="26">
        <v>0</v>
      </c>
      <c r="D195" s="46">
        <v>0</v>
      </c>
      <c r="E195" s="47" t="s">
        <v>26</v>
      </c>
    </row>
    <row r="196" spans="1:5" x14ac:dyDescent="0.3">
      <c r="A196" s="24" t="s">
        <v>367</v>
      </c>
      <c r="B196" s="48">
        <v>3</v>
      </c>
      <c r="C196" s="48">
        <v>0</v>
      </c>
      <c r="D196" s="49">
        <v>0</v>
      </c>
      <c r="E196" s="50" t="s">
        <v>26</v>
      </c>
    </row>
    <row r="197" spans="1:5" x14ac:dyDescent="0.3">
      <c r="A197" s="23" t="s">
        <v>370</v>
      </c>
      <c r="B197" s="26">
        <v>2</v>
      </c>
      <c r="C197" s="26">
        <v>0</v>
      </c>
      <c r="D197" s="46">
        <v>0</v>
      </c>
      <c r="E197" s="47" t="s">
        <v>26</v>
      </c>
    </row>
    <row r="198" spans="1:5" x14ac:dyDescent="0.3">
      <c r="A198" s="24" t="s">
        <v>371</v>
      </c>
      <c r="B198" s="48">
        <v>1</v>
      </c>
      <c r="C198" s="48">
        <v>0</v>
      </c>
      <c r="D198" s="49">
        <v>0</v>
      </c>
      <c r="E198" s="50" t="s">
        <v>26</v>
      </c>
    </row>
    <row r="199" spans="1:5" x14ac:dyDescent="0.3">
      <c r="A199" s="23" t="s">
        <v>372</v>
      </c>
      <c r="B199" s="26">
        <v>2</v>
      </c>
      <c r="C199" s="26">
        <v>0</v>
      </c>
      <c r="D199" s="46">
        <v>0</v>
      </c>
      <c r="E199" s="47" t="s">
        <v>26</v>
      </c>
    </row>
    <row r="200" spans="1:5" x14ac:dyDescent="0.3">
      <c r="A200" s="24" t="s">
        <v>373</v>
      </c>
      <c r="B200" s="48">
        <v>1</v>
      </c>
      <c r="C200" s="48">
        <v>0</v>
      </c>
      <c r="D200" s="49">
        <v>0</v>
      </c>
      <c r="E200" s="50" t="s">
        <v>26</v>
      </c>
    </row>
    <row r="201" spans="1:5" x14ac:dyDescent="0.3">
      <c r="A201" s="23" t="s">
        <v>374</v>
      </c>
      <c r="B201" s="26">
        <v>1</v>
      </c>
      <c r="C201" s="26">
        <v>0</v>
      </c>
      <c r="D201" s="46">
        <v>0</v>
      </c>
      <c r="E201" s="47" t="s">
        <v>26</v>
      </c>
    </row>
    <row r="202" spans="1:5" x14ac:dyDescent="0.3">
      <c r="A202" s="24" t="s">
        <v>375</v>
      </c>
      <c r="B202" s="48">
        <v>1</v>
      </c>
      <c r="C202" s="48">
        <v>0</v>
      </c>
      <c r="D202" s="49">
        <v>0</v>
      </c>
      <c r="E202" s="50" t="s">
        <v>26</v>
      </c>
    </row>
    <row r="203" spans="1:5" x14ac:dyDescent="0.3">
      <c r="A203" s="23" t="s">
        <v>376</v>
      </c>
      <c r="B203" s="26">
        <v>1</v>
      </c>
      <c r="C203" s="26">
        <v>0</v>
      </c>
      <c r="D203" s="46">
        <v>0</v>
      </c>
      <c r="E203" s="47" t="s">
        <v>26</v>
      </c>
    </row>
    <row r="204" spans="1:5" x14ac:dyDescent="0.3">
      <c r="A204" s="24" t="s">
        <v>377</v>
      </c>
      <c r="B204" s="48">
        <v>1</v>
      </c>
      <c r="C204" s="48">
        <v>0</v>
      </c>
      <c r="D204" s="49">
        <v>0</v>
      </c>
      <c r="E204" s="50" t="s">
        <v>26</v>
      </c>
    </row>
    <row r="205" spans="1:5" x14ac:dyDescent="0.3">
      <c r="A205" s="23" t="s">
        <v>378</v>
      </c>
      <c r="B205" s="26">
        <v>1</v>
      </c>
      <c r="C205" s="26">
        <v>0</v>
      </c>
      <c r="D205" s="46">
        <v>0</v>
      </c>
      <c r="E205" s="47" t="s">
        <v>26</v>
      </c>
    </row>
    <row r="206" spans="1:5" x14ac:dyDescent="0.3">
      <c r="A206" s="24" t="s">
        <v>379</v>
      </c>
      <c r="B206" s="48">
        <v>2</v>
      </c>
      <c r="C206" s="48">
        <v>0</v>
      </c>
      <c r="D206" s="49">
        <v>0</v>
      </c>
      <c r="E206" s="50" t="s">
        <v>26</v>
      </c>
    </row>
    <row r="207" spans="1:5" x14ac:dyDescent="0.3">
      <c r="A207" s="23" t="s">
        <v>380</v>
      </c>
      <c r="B207" s="26">
        <v>1</v>
      </c>
      <c r="C207" s="26">
        <v>0</v>
      </c>
      <c r="D207" s="46">
        <v>0</v>
      </c>
      <c r="E207" s="47" t="s">
        <v>26</v>
      </c>
    </row>
    <row r="208" spans="1:5" x14ac:dyDescent="0.3">
      <c r="A208" s="24" t="s">
        <v>381</v>
      </c>
      <c r="B208" s="48">
        <v>1</v>
      </c>
      <c r="C208" s="48">
        <v>0</v>
      </c>
      <c r="D208" s="49">
        <v>0</v>
      </c>
      <c r="E208" s="50" t="s">
        <v>26</v>
      </c>
    </row>
    <row r="209" spans="1:5" x14ac:dyDescent="0.3">
      <c r="A209" s="23" t="s">
        <v>382</v>
      </c>
      <c r="B209" s="26">
        <v>1</v>
      </c>
      <c r="C209" s="26">
        <v>0</v>
      </c>
      <c r="D209" s="46">
        <v>0</v>
      </c>
      <c r="E209" s="47" t="s">
        <v>26</v>
      </c>
    </row>
    <row r="210" spans="1:5" x14ac:dyDescent="0.3">
      <c r="A210" s="23" t="s">
        <v>384</v>
      </c>
      <c r="B210" s="26">
        <v>1</v>
      </c>
      <c r="C210" s="26">
        <v>0</v>
      </c>
      <c r="D210" s="46">
        <v>0</v>
      </c>
      <c r="E210" s="47" t="s">
        <v>26</v>
      </c>
    </row>
    <row r="211" spans="1:5" x14ac:dyDescent="0.3">
      <c r="A211" s="24" t="s">
        <v>385</v>
      </c>
      <c r="B211" s="48">
        <v>1</v>
      </c>
      <c r="C211" s="48">
        <v>0</v>
      </c>
      <c r="D211" s="49">
        <v>0</v>
      </c>
      <c r="E211" s="50" t="s">
        <v>26</v>
      </c>
    </row>
    <row r="212" spans="1:5" x14ac:dyDescent="0.3">
      <c r="A212" s="23" t="s">
        <v>386</v>
      </c>
      <c r="B212" s="26">
        <v>1</v>
      </c>
      <c r="C212" s="26">
        <v>0</v>
      </c>
      <c r="D212" s="46">
        <v>0</v>
      </c>
      <c r="E212" s="47" t="s">
        <v>26</v>
      </c>
    </row>
    <row r="213" spans="1:5" x14ac:dyDescent="0.3">
      <c r="A213" s="24" t="s">
        <v>387</v>
      </c>
      <c r="B213" s="48">
        <v>1</v>
      </c>
      <c r="C213" s="48">
        <v>0</v>
      </c>
      <c r="D213" s="49">
        <v>0</v>
      </c>
      <c r="E213" s="50" t="s">
        <v>26</v>
      </c>
    </row>
    <row r="214" spans="1:5" x14ac:dyDescent="0.3">
      <c r="A214" s="23" t="s">
        <v>388</v>
      </c>
      <c r="B214" s="26">
        <v>1</v>
      </c>
      <c r="C214" s="26">
        <v>0</v>
      </c>
      <c r="D214" s="46">
        <v>0</v>
      </c>
      <c r="E214" s="47" t="s">
        <v>26</v>
      </c>
    </row>
    <row r="215" spans="1:5" x14ac:dyDescent="0.3">
      <c r="A215" s="24" t="s">
        <v>389</v>
      </c>
      <c r="B215" s="48">
        <v>2</v>
      </c>
      <c r="C215" s="48">
        <v>0</v>
      </c>
      <c r="D215" s="49">
        <v>0</v>
      </c>
      <c r="E215" s="50" t="s">
        <v>26</v>
      </c>
    </row>
    <row r="216" spans="1:5" x14ac:dyDescent="0.3">
      <c r="A216" s="23" t="s">
        <v>390</v>
      </c>
      <c r="B216" s="26">
        <v>1</v>
      </c>
      <c r="C216" s="26">
        <v>0</v>
      </c>
      <c r="D216" s="46">
        <v>0</v>
      </c>
      <c r="E216" s="47" t="s">
        <v>26</v>
      </c>
    </row>
    <row r="217" spans="1:5" x14ac:dyDescent="0.3">
      <c r="A217" s="24" t="s">
        <v>391</v>
      </c>
      <c r="B217" s="48">
        <v>2</v>
      </c>
      <c r="C217" s="48">
        <v>0</v>
      </c>
      <c r="D217" s="49">
        <v>0</v>
      </c>
      <c r="E217" s="50" t="s">
        <v>26</v>
      </c>
    </row>
    <row r="218" spans="1:5" x14ac:dyDescent="0.3">
      <c r="A218" s="23" t="s">
        <v>392</v>
      </c>
      <c r="B218" s="26">
        <v>1</v>
      </c>
      <c r="C218" s="26">
        <v>0</v>
      </c>
      <c r="D218" s="46">
        <v>0</v>
      </c>
      <c r="E218" s="47" t="s">
        <v>26</v>
      </c>
    </row>
    <row r="219" spans="1:5" x14ac:dyDescent="0.3">
      <c r="A219" s="24" t="s">
        <v>393</v>
      </c>
      <c r="B219" s="48">
        <v>2</v>
      </c>
      <c r="C219" s="48">
        <v>0</v>
      </c>
      <c r="D219" s="49">
        <v>0</v>
      </c>
      <c r="E219" s="50" t="s">
        <v>26</v>
      </c>
    </row>
    <row r="220" spans="1:5" x14ac:dyDescent="0.3">
      <c r="A220" s="23" t="s">
        <v>394</v>
      </c>
      <c r="B220" s="26">
        <v>3</v>
      </c>
      <c r="C220" s="26">
        <v>0</v>
      </c>
      <c r="D220" s="46">
        <v>0</v>
      </c>
      <c r="E220" s="47" t="s">
        <v>26</v>
      </c>
    </row>
    <row r="221" spans="1:5" x14ac:dyDescent="0.3">
      <c r="A221" s="24" t="s">
        <v>395</v>
      </c>
      <c r="B221" s="48">
        <v>3</v>
      </c>
      <c r="C221" s="48">
        <v>0</v>
      </c>
      <c r="D221" s="49">
        <v>0</v>
      </c>
      <c r="E221" s="50" t="s">
        <v>26</v>
      </c>
    </row>
    <row r="222" spans="1:5" x14ac:dyDescent="0.3">
      <c r="A222" s="23" t="s">
        <v>396</v>
      </c>
      <c r="B222" s="26">
        <v>3</v>
      </c>
      <c r="C222" s="26">
        <v>0</v>
      </c>
      <c r="D222" s="46">
        <v>0</v>
      </c>
      <c r="E222" s="47" t="s">
        <v>26</v>
      </c>
    </row>
    <row r="223" spans="1:5" x14ac:dyDescent="0.3">
      <c r="A223" s="24" t="s">
        <v>397</v>
      </c>
      <c r="B223" s="48">
        <v>1</v>
      </c>
      <c r="C223" s="48">
        <v>0</v>
      </c>
      <c r="D223" s="49">
        <v>0</v>
      </c>
      <c r="E223" s="50" t="s">
        <v>26</v>
      </c>
    </row>
    <row r="224" spans="1:5" x14ac:dyDescent="0.3">
      <c r="A224" s="23" t="s">
        <v>398</v>
      </c>
      <c r="B224" s="26">
        <v>1</v>
      </c>
      <c r="C224" s="26">
        <v>0</v>
      </c>
      <c r="D224" s="46">
        <v>0</v>
      </c>
      <c r="E224" s="47" t="s">
        <v>26</v>
      </c>
    </row>
    <row r="225" spans="1:5" x14ac:dyDescent="0.3">
      <c r="A225" s="24" t="s">
        <v>399</v>
      </c>
      <c r="B225" s="48">
        <v>1</v>
      </c>
      <c r="C225" s="48">
        <v>0</v>
      </c>
      <c r="D225" s="49">
        <v>0</v>
      </c>
      <c r="E225" s="50" t="s">
        <v>26</v>
      </c>
    </row>
    <row r="226" spans="1:5" x14ac:dyDescent="0.3">
      <c r="A226" s="23" t="s">
        <v>400</v>
      </c>
      <c r="B226" s="26">
        <v>1</v>
      </c>
      <c r="C226" s="26">
        <v>0</v>
      </c>
      <c r="D226" s="46">
        <v>0</v>
      </c>
      <c r="E226" s="47" t="s">
        <v>26</v>
      </c>
    </row>
    <row r="227" spans="1:5" x14ac:dyDescent="0.3">
      <c r="A227" s="24" t="s">
        <v>401</v>
      </c>
      <c r="B227" s="48">
        <v>1</v>
      </c>
      <c r="C227" s="48">
        <v>0</v>
      </c>
      <c r="D227" s="49">
        <v>0</v>
      </c>
      <c r="E227" s="50" t="s">
        <v>26</v>
      </c>
    </row>
    <row r="228" spans="1:5" x14ac:dyDescent="0.3">
      <c r="A228" s="23" t="s">
        <v>402</v>
      </c>
      <c r="B228" s="26">
        <v>1</v>
      </c>
      <c r="C228" s="26">
        <v>0</v>
      </c>
      <c r="D228" s="46">
        <v>0</v>
      </c>
      <c r="E228" s="47" t="s">
        <v>26</v>
      </c>
    </row>
    <row r="229" spans="1:5" x14ac:dyDescent="0.3">
      <c r="A229" s="24" t="s">
        <v>403</v>
      </c>
      <c r="B229" s="48">
        <v>1</v>
      </c>
      <c r="C229" s="48">
        <v>0</v>
      </c>
      <c r="D229" s="49">
        <v>0</v>
      </c>
      <c r="E229" s="50" t="s">
        <v>26</v>
      </c>
    </row>
    <row r="230" spans="1:5" x14ac:dyDescent="0.3">
      <c r="A230" s="23" t="s">
        <v>404</v>
      </c>
      <c r="B230" s="26">
        <v>1</v>
      </c>
      <c r="C230" s="26">
        <v>0</v>
      </c>
      <c r="D230" s="46">
        <v>0</v>
      </c>
      <c r="E230" s="47" t="s">
        <v>26</v>
      </c>
    </row>
    <row r="231" spans="1:5" x14ac:dyDescent="0.3">
      <c r="A231" s="24" t="s">
        <v>405</v>
      </c>
      <c r="B231" s="48">
        <v>1</v>
      </c>
      <c r="C231" s="48">
        <v>0</v>
      </c>
      <c r="D231" s="49">
        <v>0</v>
      </c>
      <c r="E231" s="50" t="s">
        <v>26</v>
      </c>
    </row>
    <row r="232" spans="1:5" x14ac:dyDescent="0.3">
      <c r="A232" s="23" t="s">
        <v>406</v>
      </c>
      <c r="B232" s="26">
        <v>1</v>
      </c>
      <c r="C232" s="26">
        <v>0</v>
      </c>
      <c r="D232" s="46">
        <v>0</v>
      </c>
      <c r="E232" s="47" t="s">
        <v>26</v>
      </c>
    </row>
    <row r="233" spans="1:5" x14ac:dyDescent="0.3">
      <c r="A233" s="24" t="s">
        <v>407</v>
      </c>
      <c r="B233" s="48">
        <v>1</v>
      </c>
      <c r="C233" s="48">
        <v>0</v>
      </c>
      <c r="D233" s="49">
        <v>0</v>
      </c>
      <c r="E233" s="50" t="s">
        <v>26</v>
      </c>
    </row>
    <row r="234" spans="1:5" x14ac:dyDescent="0.3">
      <c r="A234" s="23" t="s">
        <v>408</v>
      </c>
      <c r="B234" s="26">
        <v>2</v>
      </c>
      <c r="C234" s="26">
        <v>0</v>
      </c>
      <c r="D234" s="46">
        <v>0</v>
      </c>
      <c r="E234" s="47" t="s">
        <v>26</v>
      </c>
    </row>
    <row r="235" spans="1:5" x14ac:dyDescent="0.3">
      <c r="A235" s="24" t="s">
        <v>409</v>
      </c>
      <c r="B235" s="48">
        <v>1</v>
      </c>
      <c r="C235" s="48">
        <v>0</v>
      </c>
      <c r="D235" s="49">
        <v>0</v>
      </c>
      <c r="E235" s="50" t="s">
        <v>26</v>
      </c>
    </row>
    <row r="236" spans="1:5" x14ac:dyDescent="0.3">
      <c r="A236" s="23" t="s">
        <v>410</v>
      </c>
      <c r="B236" s="26">
        <v>1</v>
      </c>
      <c r="C236" s="26">
        <v>0</v>
      </c>
      <c r="D236" s="46">
        <v>0</v>
      </c>
      <c r="E236" s="47" t="s">
        <v>26</v>
      </c>
    </row>
    <row r="237" spans="1:5" x14ac:dyDescent="0.3">
      <c r="A237" s="24" t="s">
        <v>411</v>
      </c>
      <c r="B237" s="48">
        <v>1</v>
      </c>
      <c r="C237" s="48">
        <v>0</v>
      </c>
      <c r="D237" s="49">
        <v>0</v>
      </c>
      <c r="E237" s="50" t="s">
        <v>26</v>
      </c>
    </row>
    <row r="238" spans="1:5" x14ac:dyDescent="0.3">
      <c r="A238" s="23" t="s">
        <v>412</v>
      </c>
      <c r="B238" s="26">
        <v>1</v>
      </c>
      <c r="C238" s="26">
        <v>0</v>
      </c>
      <c r="D238" s="46">
        <v>0</v>
      </c>
      <c r="E238" s="47" t="s">
        <v>26</v>
      </c>
    </row>
    <row r="239" spans="1:5" x14ac:dyDescent="0.3">
      <c r="A239" s="24" t="s">
        <v>413</v>
      </c>
      <c r="B239" s="48">
        <v>1</v>
      </c>
      <c r="C239" s="48">
        <v>0</v>
      </c>
      <c r="D239" s="49">
        <v>0</v>
      </c>
      <c r="E239" s="50" t="s">
        <v>26</v>
      </c>
    </row>
    <row r="240" spans="1:5" x14ac:dyDescent="0.3">
      <c r="A240" s="23" t="s">
        <v>414</v>
      </c>
      <c r="B240" s="26">
        <v>1</v>
      </c>
      <c r="C240" s="26">
        <v>0</v>
      </c>
      <c r="D240" s="46">
        <v>0</v>
      </c>
      <c r="E240" s="47" t="s">
        <v>26</v>
      </c>
    </row>
    <row r="241" spans="1:5" x14ac:dyDescent="0.3">
      <c r="A241" s="24" t="s">
        <v>415</v>
      </c>
      <c r="B241" s="48">
        <v>1</v>
      </c>
      <c r="C241" s="48">
        <v>0</v>
      </c>
      <c r="D241" s="49">
        <v>0</v>
      </c>
      <c r="E241" s="50" t="s">
        <v>26</v>
      </c>
    </row>
    <row r="242" spans="1:5" x14ac:dyDescent="0.3">
      <c r="A242" s="23" t="s">
        <v>416</v>
      </c>
      <c r="B242" s="26">
        <v>6</v>
      </c>
      <c r="C242" s="26">
        <v>0</v>
      </c>
      <c r="D242" s="46">
        <v>0</v>
      </c>
      <c r="E242" s="47" t="s">
        <v>26</v>
      </c>
    </row>
    <row r="243" spans="1:5" x14ac:dyDescent="0.3">
      <c r="A243" s="24" t="s">
        <v>417</v>
      </c>
      <c r="B243" s="48">
        <v>9</v>
      </c>
      <c r="C243" s="48">
        <v>0</v>
      </c>
      <c r="D243" s="49">
        <v>0</v>
      </c>
      <c r="E243" s="50" t="s">
        <v>26</v>
      </c>
    </row>
    <row r="244" spans="1:5" x14ac:dyDescent="0.3">
      <c r="A244" s="23" t="s">
        <v>418</v>
      </c>
      <c r="B244" s="26">
        <v>5</v>
      </c>
      <c r="C244" s="26">
        <v>0</v>
      </c>
      <c r="D244" s="46">
        <v>0</v>
      </c>
      <c r="E244" s="47" t="s">
        <v>26</v>
      </c>
    </row>
    <row r="245" spans="1:5" x14ac:dyDescent="0.3">
      <c r="A245" s="24" t="s">
        <v>419</v>
      </c>
      <c r="B245" s="48">
        <v>6</v>
      </c>
      <c r="C245" s="48">
        <v>0</v>
      </c>
      <c r="D245" s="49">
        <v>0</v>
      </c>
      <c r="E245" s="50" t="s">
        <v>26</v>
      </c>
    </row>
    <row r="246" spans="1:5" x14ac:dyDescent="0.3">
      <c r="A246" s="23" t="s">
        <v>420</v>
      </c>
      <c r="B246" s="26">
        <v>12</v>
      </c>
      <c r="C246" s="26">
        <v>0</v>
      </c>
      <c r="D246" s="46">
        <v>0</v>
      </c>
      <c r="E246" s="47" t="s">
        <v>19</v>
      </c>
    </row>
    <row r="247" spans="1:5" x14ac:dyDescent="0.3">
      <c r="A247" s="24" t="s">
        <v>421</v>
      </c>
      <c r="B247" s="48">
        <v>1</v>
      </c>
      <c r="C247" s="48">
        <v>0</v>
      </c>
      <c r="D247" s="49">
        <v>0</v>
      </c>
      <c r="E247" s="50" t="s">
        <v>26</v>
      </c>
    </row>
    <row r="248" spans="1:5" x14ac:dyDescent="0.3">
      <c r="A248" s="23" t="s">
        <v>422</v>
      </c>
      <c r="B248" s="26">
        <v>2</v>
      </c>
      <c r="C248" s="26">
        <v>0</v>
      </c>
      <c r="D248" s="46">
        <v>0</v>
      </c>
      <c r="E248" s="47" t="s">
        <v>26</v>
      </c>
    </row>
    <row r="249" spans="1:5" x14ac:dyDescent="0.3">
      <c r="A249" s="24" t="s">
        <v>423</v>
      </c>
      <c r="B249" s="48">
        <v>1</v>
      </c>
      <c r="C249" s="48">
        <v>0</v>
      </c>
      <c r="D249" s="49">
        <v>0</v>
      </c>
      <c r="E249" s="50" t="s">
        <v>26</v>
      </c>
    </row>
    <row r="250" spans="1:5" x14ac:dyDescent="0.3">
      <c r="A250" s="23" t="s">
        <v>424</v>
      </c>
      <c r="B250" s="26">
        <v>2</v>
      </c>
      <c r="C250" s="26">
        <v>0</v>
      </c>
      <c r="D250" s="46">
        <v>0</v>
      </c>
      <c r="E250" s="47" t="s">
        <v>26</v>
      </c>
    </row>
    <row r="251" spans="1:5" x14ac:dyDescent="0.3">
      <c r="A251" s="24" t="s">
        <v>425</v>
      </c>
      <c r="B251" s="48">
        <v>1</v>
      </c>
      <c r="C251" s="48">
        <v>0</v>
      </c>
      <c r="D251" s="49">
        <v>0</v>
      </c>
      <c r="E251" s="50" t="s">
        <v>26</v>
      </c>
    </row>
    <row r="252" spans="1:5" x14ac:dyDescent="0.3">
      <c r="A252" s="23" t="s">
        <v>426</v>
      </c>
      <c r="B252" s="26">
        <v>2</v>
      </c>
      <c r="C252" s="26">
        <v>0</v>
      </c>
      <c r="D252" s="46">
        <v>0</v>
      </c>
      <c r="E252" s="47" t="s">
        <v>26</v>
      </c>
    </row>
    <row r="253" spans="1:5" x14ac:dyDescent="0.3">
      <c r="A253" s="24" t="s">
        <v>427</v>
      </c>
      <c r="B253" s="48">
        <v>1</v>
      </c>
      <c r="C253" s="48">
        <v>0</v>
      </c>
      <c r="D253" s="49">
        <v>0</v>
      </c>
      <c r="E253" s="50" t="s">
        <v>26</v>
      </c>
    </row>
    <row r="254" spans="1:5" x14ac:dyDescent="0.3">
      <c r="A254" s="23" t="s">
        <v>428</v>
      </c>
      <c r="B254" s="26">
        <v>1</v>
      </c>
      <c r="C254" s="26">
        <v>0</v>
      </c>
      <c r="D254" s="46">
        <v>0</v>
      </c>
      <c r="E254" s="47" t="s">
        <v>26</v>
      </c>
    </row>
    <row r="255" spans="1:5" x14ac:dyDescent="0.3">
      <c r="A255" s="24" t="s">
        <v>429</v>
      </c>
      <c r="B255" s="48">
        <v>1</v>
      </c>
      <c r="C255" s="48">
        <v>0</v>
      </c>
      <c r="D255" s="49">
        <v>0</v>
      </c>
      <c r="E255" s="50" t="s">
        <v>26</v>
      </c>
    </row>
    <row r="256" spans="1:5" x14ac:dyDescent="0.3">
      <c r="A256" s="23" t="s">
        <v>430</v>
      </c>
      <c r="B256" s="26">
        <v>1</v>
      </c>
      <c r="C256" s="26">
        <v>0</v>
      </c>
      <c r="D256" s="46">
        <v>0</v>
      </c>
      <c r="E256" s="47" t="s">
        <v>26</v>
      </c>
    </row>
    <row r="257" spans="1:5" x14ac:dyDescent="0.3">
      <c r="A257" s="24" t="s">
        <v>431</v>
      </c>
      <c r="B257" s="48">
        <v>1</v>
      </c>
      <c r="C257" s="48">
        <v>0</v>
      </c>
      <c r="D257" s="49">
        <v>0</v>
      </c>
      <c r="E257" s="50" t="s">
        <v>26</v>
      </c>
    </row>
    <row r="258" spans="1:5" x14ac:dyDescent="0.3">
      <c r="A258" s="23" t="s">
        <v>432</v>
      </c>
      <c r="B258" s="26">
        <v>2</v>
      </c>
      <c r="C258" s="26">
        <v>0</v>
      </c>
      <c r="D258" s="46">
        <v>0</v>
      </c>
      <c r="E258" s="47" t="s">
        <v>26</v>
      </c>
    </row>
    <row r="259" spans="1:5" x14ac:dyDescent="0.3">
      <c r="A259" s="24" t="s">
        <v>433</v>
      </c>
      <c r="B259" s="48">
        <v>1</v>
      </c>
      <c r="C259" s="48">
        <v>0</v>
      </c>
      <c r="D259" s="49">
        <v>0</v>
      </c>
      <c r="E259" s="50" t="s">
        <v>26</v>
      </c>
    </row>
    <row r="260" spans="1:5" x14ac:dyDescent="0.3">
      <c r="A260" s="23" t="s">
        <v>434</v>
      </c>
      <c r="B260" s="26">
        <v>3</v>
      </c>
      <c r="C260" s="26">
        <v>0</v>
      </c>
      <c r="D260" s="46">
        <v>0</v>
      </c>
      <c r="E260" s="47" t="s">
        <v>26</v>
      </c>
    </row>
    <row r="261" spans="1:5" x14ac:dyDescent="0.3">
      <c r="A261" s="43" t="s">
        <v>435</v>
      </c>
      <c r="B261" s="44">
        <v>1</v>
      </c>
      <c r="C261" s="44">
        <v>0</v>
      </c>
      <c r="D261" s="51">
        <v>0</v>
      </c>
      <c r="E261" s="45" t="s">
        <v>26</v>
      </c>
    </row>
  </sheetData>
  <autoFilter ref="A1:E261" xr:uid="{31920689-DACD-4645-A60F-B69A04C8C76D}">
    <sortState xmlns:xlrd2="http://schemas.microsoft.com/office/spreadsheetml/2017/richdata2" ref="A2:E261">
      <sortCondition descending="1" ref="D1:D26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66FC-2838-4900-976A-608F2132A7D2}">
  <dimension ref="A1:B14"/>
  <sheetViews>
    <sheetView topLeftCell="A2" workbookViewId="0">
      <selection activeCell="B4" sqref="B4"/>
    </sheetView>
  </sheetViews>
  <sheetFormatPr defaultRowHeight="14.4" x14ac:dyDescent="0.3"/>
  <cols>
    <col min="1" max="1" width="19.109375" bestFit="1" customWidth="1"/>
    <col min="2" max="2" width="12" bestFit="1" customWidth="1"/>
  </cols>
  <sheetData>
    <row r="1" spans="1:2" x14ac:dyDescent="0.3">
      <c r="A1" s="19" t="s">
        <v>15</v>
      </c>
      <c r="B1" t="s">
        <v>19</v>
      </c>
    </row>
    <row r="3" spans="1:2" x14ac:dyDescent="0.3">
      <c r="A3" s="19" t="s">
        <v>118</v>
      </c>
      <c r="B3" t="s">
        <v>661</v>
      </c>
    </row>
    <row r="4" spans="1:2" x14ac:dyDescent="0.3">
      <c r="A4" s="20" t="s">
        <v>254</v>
      </c>
      <c r="B4" s="52">
        <v>0.65</v>
      </c>
    </row>
    <row r="5" spans="1:2" x14ac:dyDescent="0.3">
      <c r="A5" s="20" t="s">
        <v>221</v>
      </c>
      <c r="B5" s="52">
        <v>0.58064516129032262</v>
      </c>
    </row>
    <row r="6" spans="1:2" x14ac:dyDescent="0.3">
      <c r="A6" s="20" t="s">
        <v>201</v>
      </c>
      <c r="B6" s="52">
        <v>0.5714285714285714</v>
      </c>
    </row>
    <row r="7" spans="1:2" x14ac:dyDescent="0.3">
      <c r="A7" s="20" t="s">
        <v>210</v>
      </c>
      <c r="B7" s="52">
        <v>0.5</v>
      </c>
    </row>
    <row r="8" spans="1:2" x14ac:dyDescent="0.3">
      <c r="A8" s="20" t="s">
        <v>238</v>
      </c>
      <c r="B8" s="52">
        <v>0.46938775510204084</v>
      </c>
    </row>
    <row r="9" spans="1:2" x14ac:dyDescent="0.3">
      <c r="A9" s="20" t="s">
        <v>224</v>
      </c>
      <c r="B9" s="52">
        <v>0.45901639344262296</v>
      </c>
    </row>
    <row r="10" spans="1:2" x14ac:dyDescent="0.3">
      <c r="A10" s="20" t="s">
        <v>326</v>
      </c>
      <c r="B10" s="52">
        <v>0.45454545454545453</v>
      </c>
    </row>
    <row r="11" spans="1:2" x14ac:dyDescent="0.3">
      <c r="A11" s="20" t="s">
        <v>215</v>
      </c>
      <c r="B11" s="52">
        <v>0.43478260869565216</v>
      </c>
    </row>
    <row r="12" spans="1:2" x14ac:dyDescent="0.3">
      <c r="A12" s="20" t="s">
        <v>325</v>
      </c>
      <c r="B12" s="52">
        <v>0.41176470588235292</v>
      </c>
    </row>
    <row r="13" spans="1:2" x14ac:dyDescent="0.3">
      <c r="A13" s="20" t="s">
        <v>209</v>
      </c>
      <c r="B13" s="52">
        <v>0.41176470588235292</v>
      </c>
    </row>
    <row r="14" spans="1:2" x14ac:dyDescent="0.3">
      <c r="A14" s="20" t="s">
        <v>149</v>
      </c>
      <c r="B14" s="99">
        <v>0.49433353562693699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9FE98-8272-428E-BD00-37997E8140AF}">
  <sheetPr filterMode="1"/>
  <dimension ref="A1:L541"/>
  <sheetViews>
    <sheetView workbookViewId="0">
      <selection activeCell="K25" sqref="K25"/>
    </sheetView>
  </sheetViews>
  <sheetFormatPr defaultRowHeight="14.4" x14ac:dyDescent="0.3"/>
  <cols>
    <col min="1" max="1" width="17.33203125" bestFit="1" customWidth="1"/>
    <col min="2" max="2" width="12" bestFit="1" customWidth="1"/>
    <col min="3" max="3" width="14.33203125" bestFit="1" customWidth="1"/>
    <col min="4" max="4" width="10.21875" bestFit="1" customWidth="1"/>
    <col min="5" max="5" width="8.33203125" style="33" bestFit="1" customWidth="1"/>
    <col min="6" max="6" width="6.77734375" bestFit="1" customWidth="1"/>
    <col min="7" max="7" width="9.33203125" bestFit="1" customWidth="1"/>
  </cols>
  <sheetData>
    <row r="1" spans="1:12" x14ac:dyDescent="0.3">
      <c r="A1" t="s">
        <v>10</v>
      </c>
      <c r="B1" t="s">
        <v>11</v>
      </c>
      <c r="C1" s="16" t="s">
        <v>12</v>
      </c>
      <c r="D1" s="17" t="s">
        <v>13</v>
      </c>
      <c r="E1" s="32" t="s">
        <v>14</v>
      </c>
      <c r="F1" s="17" t="s">
        <v>15</v>
      </c>
      <c r="G1" s="17" t="s">
        <v>16</v>
      </c>
      <c r="H1" s="17" t="s">
        <v>154</v>
      </c>
      <c r="L1" s="37">
        <f>_xlfn.MAXIFS(hero_lane_summary!E:E, F:F, "Yes")</f>
        <v>0.81818181818181801</v>
      </c>
    </row>
    <row r="2" spans="1:12" x14ac:dyDescent="0.3">
      <c r="A2" t="s">
        <v>82</v>
      </c>
      <c r="B2" t="s">
        <v>155</v>
      </c>
      <c r="C2">
        <v>22</v>
      </c>
      <c r="D2">
        <v>18</v>
      </c>
      <c r="E2" s="33">
        <v>0.81818181818181801</v>
      </c>
      <c r="F2" t="s">
        <v>19</v>
      </c>
      <c r="G2">
        <v>1</v>
      </c>
      <c r="H2" t="str" cm="1">
        <f t="array" ref="H2:H541">IF(F2:F541="No","N/A",
IF(E2:E541&gt;=0.65,"S",
IF(E2:E541&gt;=0.55,"A",
IF(E2:E541&gt;=0.48,"B",
IF(E2:E541&gt;=0.35,"C",
"D")
)
)
)
)</f>
        <v>S</v>
      </c>
      <c r="L2" s="37">
        <f>_xlfn.MINIFS(hero_lane_summary!E:E, F:F, "Yes")</f>
        <v>0.21428571428571427</v>
      </c>
    </row>
    <row r="3" spans="1:12" ht="13.8" customHeight="1" x14ac:dyDescent="0.3">
      <c r="A3" t="s">
        <v>17</v>
      </c>
      <c r="B3" t="s">
        <v>18</v>
      </c>
      <c r="C3">
        <v>21</v>
      </c>
      <c r="D3">
        <v>7</v>
      </c>
      <c r="E3" s="33">
        <v>0.33333333333333331</v>
      </c>
      <c r="F3" t="s">
        <v>19</v>
      </c>
      <c r="G3">
        <v>38</v>
      </c>
      <c r="H3" t="str">
        <v>D</v>
      </c>
      <c r="L3" s="38">
        <f>AVERAGE(hero_lane_summary!E:E)</f>
        <v>0.47856184660843942</v>
      </c>
    </row>
    <row r="4" spans="1:12" hidden="1" x14ac:dyDescent="0.3">
      <c r="A4" t="s">
        <v>17</v>
      </c>
      <c r="B4" t="s">
        <v>156</v>
      </c>
      <c r="C4">
        <v>9</v>
      </c>
      <c r="D4">
        <v>3</v>
      </c>
      <c r="E4" s="33">
        <v>0.33333333333333331</v>
      </c>
      <c r="F4" t="s">
        <v>26</v>
      </c>
      <c r="G4" t="s">
        <v>27</v>
      </c>
      <c r="H4" t="str">
        <v>N/A</v>
      </c>
    </row>
    <row r="5" spans="1:12" hidden="1" x14ac:dyDescent="0.3">
      <c r="A5" t="s">
        <v>17</v>
      </c>
      <c r="B5" t="s">
        <v>157</v>
      </c>
      <c r="C5">
        <v>3</v>
      </c>
      <c r="D5">
        <v>2</v>
      </c>
      <c r="E5" s="33">
        <v>0.66666666666666663</v>
      </c>
      <c r="F5" t="s">
        <v>26</v>
      </c>
      <c r="G5" t="s">
        <v>27</v>
      </c>
      <c r="H5" t="str">
        <v>N/A</v>
      </c>
    </row>
    <row r="6" spans="1:12" x14ac:dyDescent="0.3">
      <c r="A6" t="s">
        <v>20</v>
      </c>
      <c r="B6" t="s">
        <v>158</v>
      </c>
      <c r="C6">
        <v>24</v>
      </c>
      <c r="D6">
        <v>15</v>
      </c>
      <c r="E6" s="33">
        <v>0.625</v>
      </c>
      <c r="F6" t="s">
        <v>19</v>
      </c>
      <c r="G6">
        <v>2</v>
      </c>
      <c r="H6" t="str">
        <v>A</v>
      </c>
    </row>
    <row r="7" spans="1:12" x14ac:dyDescent="0.3">
      <c r="A7" t="s">
        <v>80</v>
      </c>
      <c r="B7" t="s">
        <v>155</v>
      </c>
      <c r="C7">
        <v>10</v>
      </c>
      <c r="D7">
        <v>7</v>
      </c>
      <c r="E7" s="33">
        <v>0.7</v>
      </c>
      <c r="F7" t="s">
        <v>19</v>
      </c>
      <c r="G7">
        <v>2</v>
      </c>
      <c r="H7" t="str">
        <v>S</v>
      </c>
    </row>
    <row r="8" spans="1:12" hidden="1" x14ac:dyDescent="0.3">
      <c r="A8" t="s">
        <v>20</v>
      </c>
      <c r="B8" t="s">
        <v>157</v>
      </c>
      <c r="C8">
        <v>4</v>
      </c>
      <c r="D8">
        <v>2</v>
      </c>
      <c r="E8" s="33">
        <v>0.5</v>
      </c>
      <c r="F8" t="s">
        <v>26</v>
      </c>
      <c r="G8" t="s">
        <v>27</v>
      </c>
      <c r="H8" t="str">
        <v>N/A</v>
      </c>
    </row>
    <row r="9" spans="1:12" x14ac:dyDescent="0.3">
      <c r="A9" t="s">
        <v>20</v>
      </c>
      <c r="B9" t="s">
        <v>18</v>
      </c>
      <c r="C9">
        <v>28</v>
      </c>
      <c r="D9">
        <v>16</v>
      </c>
      <c r="E9" s="33">
        <v>0.5714285714285714</v>
      </c>
      <c r="F9" t="s">
        <v>19</v>
      </c>
      <c r="G9">
        <v>6</v>
      </c>
      <c r="H9" t="str">
        <v>A</v>
      </c>
    </row>
    <row r="10" spans="1:12" hidden="1" x14ac:dyDescent="0.3">
      <c r="A10" t="s">
        <v>20</v>
      </c>
      <c r="B10" t="s">
        <v>159</v>
      </c>
      <c r="C10">
        <v>1</v>
      </c>
      <c r="D10">
        <v>1</v>
      </c>
      <c r="E10" s="33">
        <v>1</v>
      </c>
      <c r="F10" t="s">
        <v>26</v>
      </c>
      <c r="G10" t="s">
        <v>27</v>
      </c>
      <c r="H10" t="str">
        <v>N/A</v>
      </c>
    </row>
    <row r="11" spans="1:12" x14ac:dyDescent="0.3">
      <c r="A11" t="s">
        <v>119</v>
      </c>
      <c r="B11" t="s">
        <v>156</v>
      </c>
      <c r="C11">
        <v>33</v>
      </c>
      <c r="D11">
        <v>16</v>
      </c>
      <c r="E11" s="33">
        <v>0.48484848484848486</v>
      </c>
      <c r="F11" t="s">
        <v>19</v>
      </c>
      <c r="G11">
        <v>21</v>
      </c>
      <c r="H11" t="str">
        <v>B</v>
      </c>
    </row>
    <row r="12" spans="1:12" x14ac:dyDescent="0.3">
      <c r="A12" t="s">
        <v>119</v>
      </c>
      <c r="B12" t="s">
        <v>157</v>
      </c>
      <c r="C12">
        <v>25</v>
      </c>
      <c r="D12">
        <v>9</v>
      </c>
      <c r="E12" s="33">
        <v>0.36</v>
      </c>
      <c r="F12" t="s">
        <v>19</v>
      </c>
      <c r="G12">
        <v>38</v>
      </c>
      <c r="H12" t="str">
        <v>C</v>
      </c>
    </row>
    <row r="13" spans="1:12" hidden="1" x14ac:dyDescent="0.3">
      <c r="A13" t="s">
        <v>119</v>
      </c>
      <c r="B13" t="s">
        <v>159</v>
      </c>
      <c r="C13">
        <v>7</v>
      </c>
      <c r="D13">
        <v>4</v>
      </c>
      <c r="E13" s="33">
        <v>0.5714285714285714</v>
      </c>
      <c r="F13" t="s">
        <v>26</v>
      </c>
      <c r="G13" t="s">
        <v>27</v>
      </c>
      <c r="H13" t="str">
        <v>N/A</v>
      </c>
    </row>
    <row r="14" spans="1:12" x14ac:dyDescent="0.3">
      <c r="A14" t="s">
        <v>62</v>
      </c>
      <c r="B14" t="s">
        <v>155</v>
      </c>
      <c r="C14">
        <v>106</v>
      </c>
      <c r="D14">
        <v>69</v>
      </c>
      <c r="E14" s="33">
        <v>0.65094339622641506</v>
      </c>
      <c r="F14" t="s">
        <v>19</v>
      </c>
      <c r="G14">
        <v>3</v>
      </c>
      <c r="H14" t="str">
        <v>S</v>
      </c>
    </row>
    <row r="15" spans="1:12" x14ac:dyDescent="0.3">
      <c r="A15" t="s">
        <v>21</v>
      </c>
      <c r="B15" t="s">
        <v>18</v>
      </c>
      <c r="C15">
        <v>11</v>
      </c>
      <c r="D15">
        <v>3</v>
      </c>
      <c r="E15" s="33">
        <v>0.27272727272727271</v>
      </c>
      <c r="F15" t="s">
        <v>19</v>
      </c>
      <c r="G15">
        <v>39</v>
      </c>
      <c r="H15" t="str">
        <v>D</v>
      </c>
    </row>
    <row r="16" spans="1:12" hidden="1" x14ac:dyDescent="0.3">
      <c r="A16" t="s">
        <v>21</v>
      </c>
      <c r="B16" t="s">
        <v>158</v>
      </c>
      <c r="C16">
        <v>1</v>
      </c>
      <c r="D16">
        <v>1</v>
      </c>
      <c r="E16" s="33">
        <v>1</v>
      </c>
      <c r="F16" t="s">
        <v>26</v>
      </c>
      <c r="G16" t="s">
        <v>27</v>
      </c>
      <c r="H16" t="str">
        <v>N/A</v>
      </c>
    </row>
    <row r="17" spans="1:8" x14ac:dyDescent="0.3">
      <c r="A17" t="s">
        <v>120</v>
      </c>
      <c r="B17" t="s">
        <v>158</v>
      </c>
      <c r="C17">
        <v>13</v>
      </c>
      <c r="D17">
        <v>8</v>
      </c>
      <c r="E17" s="33">
        <v>0.61538461538461542</v>
      </c>
      <c r="F17" t="s">
        <v>19</v>
      </c>
      <c r="G17">
        <v>3</v>
      </c>
      <c r="H17" t="str">
        <v>A</v>
      </c>
    </row>
    <row r="18" spans="1:8" x14ac:dyDescent="0.3">
      <c r="A18" t="s">
        <v>22</v>
      </c>
      <c r="B18" t="s">
        <v>18</v>
      </c>
      <c r="C18">
        <v>204</v>
      </c>
      <c r="D18">
        <v>98</v>
      </c>
      <c r="E18" s="33">
        <v>0.48039215686274511</v>
      </c>
      <c r="F18" t="s">
        <v>19</v>
      </c>
      <c r="G18">
        <v>23</v>
      </c>
      <c r="H18" t="str">
        <v>B</v>
      </c>
    </row>
    <row r="19" spans="1:8" hidden="1" x14ac:dyDescent="0.3">
      <c r="A19" t="s">
        <v>22</v>
      </c>
      <c r="B19" t="s">
        <v>157</v>
      </c>
      <c r="C19">
        <v>7</v>
      </c>
      <c r="D19">
        <v>3</v>
      </c>
      <c r="E19" s="33">
        <v>0.42857142857142855</v>
      </c>
      <c r="F19" t="s">
        <v>26</v>
      </c>
      <c r="G19" t="s">
        <v>27</v>
      </c>
      <c r="H19" t="str">
        <v>N/A</v>
      </c>
    </row>
    <row r="20" spans="1:8" x14ac:dyDescent="0.3">
      <c r="A20" t="s">
        <v>121</v>
      </c>
      <c r="B20" t="s">
        <v>156</v>
      </c>
      <c r="C20">
        <v>42</v>
      </c>
      <c r="D20">
        <v>21</v>
      </c>
      <c r="E20" s="33">
        <v>0.5</v>
      </c>
      <c r="F20" t="s">
        <v>19</v>
      </c>
      <c r="G20">
        <v>19</v>
      </c>
      <c r="H20" t="str">
        <v>B</v>
      </c>
    </row>
    <row r="21" spans="1:8" x14ac:dyDescent="0.3">
      <c r="A21" t="s">
        <v>121</v>
      </c>
      <c r="B21" t="s">
        <v>157</v>
      </c>
      <c r="C21">
        <v>22</v>
      </c>
      <c r="D21">
        <v>15</v>
      </c>
      <c r="E21" s="33">
        <v>0.68181818181818177</v>
      </c>
      <c r="F21" t="s">
        <v>19</v>
      </c>
      <c r="G21">
        <v>5</v>
      </c>
      <c r="H21" t="str">
        <v>S</v>
      </c>
    </row>
    <row r="22" spans="1:8" hidden="1" x14ac:dyDescent="0.3">
      <c r="A22" t="s">
        <v>121</v>
      </c>
      <c r="B22" t="s">
        <v>159</v>
      </c>
      <c r="C22">
        <v>5</v>
      </c>
      <c r="D22">
        <v>3</v>
      </c>
      <c r="E22" s="33">
        <v>0.6</v>
      </c>
      <c r="F22" t="s">
        <v>26</v>
      </c>
      <c r="G22" t="s">
        <v>27</v>
      </c>
      <c r="H22" t="str">
        <v>N/A</v>
      </c>
    </row>
    <row r="23" spans="1:8" x14ac:dyDescent="0.3">
      <c r="A23" t="s">
        <v>23</v>
      </c>
      <c r="B23" t="s">
        <v>18</v>
      </c>
      <c r="C23">
        <v>157</v>
      </c>
      <c r="D23">
        <v>100</v>
      </c>
      <c r="E23" s="33">
        <v>0.63694267515923564</v>
      </c>
      <c r="F23" t="s">
        <v>19</v>
      </c>
      <c r="G23">
        <v>3</v>
      </c>
      <c r="H23" t="str">
        <v>A</v>
      </c>
    </row>
    <row r="24" spans="1:8" x14ac:dyDescent="0.3">
      <c r="A24" t="s">
        <v>23</v>
      </c>
      <c r="B24" t="s">
        <v>157</v>
      </c>
      <c r="C24">
        <v>63</v>
      </c>
      <c r="D24">
        <v>33</v>
      </c>
      <c r="E24" s="33">
        <v>0.52380952380952384</v>
      </c>
      <c r="F24" t="s">
        <v>19</v>
      </c>
      <c r="G24">
        <v>17</v>
      </c>
      <c r="H24" t="str">
        <v>B</v>
      </c>
    </row>
    <row r="25" spans="1:8" x14ac:dyDescent="0.3">
      <c r="A25" t="s">
        <v>23</v>
      </c>
      <c r="B25" t="s">
        <v>159</v>
      </c>
      <c r="C25">
        <v>17</v>
      </c>
      <c r="D25">
        <v>6</v>
      </c>
      <c r="E25" s="33">
        <v>0.35294117647058826</v>
      </c>
      <c r="F25" t="s">
        <v>19</v>
      </c>
      <c r="G25">
        <v>25</v>
      </c>
      <c r="H25" t="str">
        <v>C</v>
      </c>
    </row>
    <row r="26" spans="1:8" x14ac:dyDescent="0.3">
      <c r="A26" t="s">
        <v>23</v>
      </c>
      <c r="B26" t="s">
        <v>158</v>
      </c>
      <c r="C26">
        <v>28</v>
      </c>
      <c r="D26">
        <v>15</v>
      </c>
      <c r="E26" s="33">
        <v>0.5357142857142857</v>
      </c>
      <c r="F26" t="s">
        <v>19</v>
      </c>
      <c r="G26">
        <v>15</v>
      </c>
      <c r="H26" t="str">
        <v>B</v>
      </c>
    </row>
    <row r="27" spans="1:8" x14ac:dyDescent="0.3">
      <c r="A27" t="s">
        <v>23</v>
      </c>
      <c r="B27" t="s">
        <v>156</v>
      </c>
      <c r="C27">
        <v>14</v>
      </c>
      <c r="D27">
        <v>9</v>
      </c>
      <c r="E27" s="33">
        <v>0.6428571428571429</v>
      </c>
      <c r="F27" t="s">
        <v>19</v>
      </c>
      <c r="G27">
        <v>5</v>
      </c>
      <c r="H27" t="str">
        <v>A</v>
      </c>
    </row>
    <row r="28" spans="1:8" hidden="1" x14ac:dyDescent="0.3">
      <c r="A28" t="s">
        <v>23</v>
      </c>
      <c r="B28" t="s">
        <v>155</v>
      </c>
      <c r="C28">
        <v>4</v>
      </c>
      <c r="D28">
        <v>2</v>
      </c>
      <c r="E28" s="33">
        <v>0.5</v>
      </c>
      <c r="F28" t="s">
        <v>26</v>
      </c>
      <c r="G28" t="s">
        <v>27</v>
      </c>
      <c r="H28" t="str">
        <v>N/A</v>
      </c>
    </row>
    <row r="29" spans="1:8" x14ac:dyDescent="0.3">
      <c r="A29" t="s">
        <v>24</v>
      </c>
      <c r="B29" t="s">
        <v>18</v>
      </c>
      <c r="C29">
        <v>162</v>
      </c>
      <c r="D29">
        <v>80</v>
      </c>
      <c r="E29" s="33">
        <v>0.49382716049382713</v>
      </c>
      <c r="F29" t="s">
        <v>19</v>
      </c>
      <c r="G29">
        <v>22</v>
      </c>
      <c r="H29" t="str">
        <v>B</v>
      </c>
    </row>
    <row r="30" spans="1:8" x14ac:dyDescent="0.3">
      <c r="A30" t="s">
        <v>24</v>
      </c>
      <c r="B30" t="s">
        <v>158</v>
      </c>
      <c r="C30">
        <v>151</v>
      </c>
      <c r="D30">
        <v>72</v>
      </c>
      <c r="E30" s="33">
        <v>0.47682119205298013</v>
      </c>
      <c r="F30" t="s">
        <v>19</v>
      </c>
      <c r="G30">
        <v>28</v>
      </c>
      <c r="H30" t="str">
        <v>C</v>
      </c>
    </row>
    <row r="31" spans="1:8" x14ac:dyDescent="0.3">
      <c r="A31" t="s">
        <v>72</v>
      </c>
      <c r="B31" t="s">
        <v>155</v>
      </c>
      <c r="C31">
        <v>30</v>
      </c>
      <c r="D31">
        <v>19</v>
      </c>
      <c r="E31" s="33">
        <v>0.6333333333333333</v>
      </c>
      <c r="F31" t="s">
        <v>19</v>
      </c>
      <c r="G31">
        <v>4</v>
      </c>
      <c r="H31" t="str">
        <v>A</v>
      </c>
    </row>
    <row r="32" spans="1:8" hidden="1" x14ac:dyDescent="0.3">
      <c r="A32" t="s">
        <v>24</v>
      </c>
      <c r="B32" t="s">
        <v>157</v>
      </c>
      <c r="C32">
        <v>3</v>
      </c>
      <c r="D32">
        <v>1</v>
      </c>
      <c r="E32" s="33">
        <v>0.33333333333333331</v>
      </c>
      <c r="F32" t="s">
        <v>26</v>
      </c>
      <c r="G32" t="s">
        <v>27</v>
      </c>
      <c r="H32" t="str">
        <v>N/A</v>
      </c>
    </row>
    <row r="33" spans="1:8" x14ac:dyDescent="0.3">
      <c r="A33" t="s">
        <v>96</v>
      </c>
      <c r="B33" t="s">
        <v>155</v>
      </c>
      <c r="C33">
        <v>51</v>
      </c>
      <c r="D33">
        <v>31</v>
      </c>
      <c r="E33" s="33">
        <v>0.60784313725490191</v>
      </c>
      <c r="F33" t="s">
        <v>19</v>
      </c>
      <c r="G33">
        <v>5</v>
      </c>
      <c r="H33" t="str">
        <v>A</v>
      </c>
    </row>
    <row r="34" spans="1:8" hidden="1" x14ac:dyDescent="0.3">
      <c r="A34" t="s">
        <v>25</v>
      </c>
      <c r="B34" t="s">
        <v>18</v>
      </c>
      <c r="C34">
        <v>1</v>
      </c>
      <c r="D34">
        <v>1</v>
      </c>
      <c r="E34" s="33">
        <v>1</v>
      </c>
      <c r="F34" t="s">
        <v>26</v>
      </c>
      <c r="G34" t="s">
        <v>27</v>
      </c>
      <c r="H34" t="str">
        <v>N/A</v>
      </c>
    </row>
    <row r="35" spans="1:8" x14ac:dyDescent="0.3">
      <c r="A35" t="s">
        <v>28</v>
      </c>
      <c r="B35" t="s">
        <v>159</v>
      </c>
      <c r="C35">
        <v>14</v>
      </c>
      <c r="D35">
        <v>8</v>
      </c>
      <c r="E35" s="33">
        <v>0.5714285714285714</v>
      </c>
      <c r="F35" t="s">
        <v>19</v>
      </c>
      <c r="G35">
        <v>5</v>
      </c>
      <c r="H35" t="str">
        <v>A</v>
      </c>
    </row>
    <row r="36" spans="1:8" x14ac:dyDescent="0.3">
      <c r="A36" t="s">
        <v>28</v>
      </c>
      <c r="B36" t="s">
        <v>157</v>
      </c>
      <c r="C36">
        <v>16</v>
      </c>
      <c r="D36">
        <v>12</v>
      </c>
      <c r="E36" s="33">
        <v>0.75</v>
      </c>
      <c r="F36" t="s">
        <v>19</v>
      </c>
      <c r="G36">
        <v>1</v>
      </c>
      <c r="H36" t="str">
        <v>S</v>
      </c>
    </row>
    <row r="37" spans="1:8" hidden="1" x14ac:dyDescent="0.3">
      <c r="A37" t="s">
        <v>28</v>
      </c>
      <c r="B37" t="s">
        <v>158</v>
      </c>
      <c r="C37">
        <v>2</v>
      </c>
      <c r="D37">
        <v>0</v>
      </c>
      <c r="E37" s="33">
        <v>0</v>
      </c>
      <c r="F37" t="s">
        <v>26</v>
      </c>
      <c r="G37" t="s">
        <v>27</v>
      </c>
      <c r="H37" t="str">
        <v>N/A</v>
      </c>
    </row>
    <row r="38" spans="1:8" hidden="1" x14ac:dyDescent="0.3">
      <c r="A38" t="s">
        <v>28</v>
      </c>
      <c r="B38" t="s">
        <v>156</v>
      </c>
      <c r="C38">
        <v>6</v>
      </c>
      <c r="D38">
        <v>2</v>
      </c>
      <c r="E38" s="33">
        <v>0.33333333333333331</v>
      </c>
      <c r="F38" t="s">
        <v>26</v>
      </c>
      <c r="G38" t="s">
        <v>27</v>
      </c>
      <c r="H38" t="str">
        <v>N/A</v>
      </c>
    </row>
    <row r="39" spans="1:8" hidden="1" x14ac:dyDescent="0.3">
      <c r="A39" t="s">
        <v>28</v>
      </c>
      <c r="B39" t="s">
        <v>18</v>
      </c>
      <c r="C39">
        <v>3</v>
      </c>
      <c r="D39">
        <v>3</v>
      </c>
      <c r="E39" s="33">
        <v>1</v>
      </c>
      <c r="F39" t="s">
        <v>26</v>
      </c>
      <c r="G39" t="s">
        <v>27</v>
      </c>
      <c r="H39" t="str">
        <v>N/A</v>
      </c>
    </row>
    <row r="40" spans="1:8" x14ac:dyDescent="0.3">
      <c r="A40" t="s">
        <v>29</v>
      </c>
      <c r="B40" t="s">
        <v>18</v>
      </c>
      <c r="C40">
        <v>111</v>
      </c>
      <c r="D40">
        <v>47</v>
      </c>
      <c r="E40" s="33">
        <v>0.42342342342342343</v>
      </c>
      <c r="F40" t="s">
        <v>19</v>
      </c>
      <c r="G40">
        <v>31</v>
      </c>
      <c r="H40" t="str">
        <v>C</v>
      </c>
    </row>
    <row r="41" spans="1:8" hidden="1" x14ac:dyDescent="0.3">
      <c r="A41" t="s">
        <v>29</v>
      </c>
      <c r="B41" t="s">
        <v>158</v>
      </c>
      <c r="C41">
        <v>1</v>
      </c>
      <c r="D41">
        <v>0</v>
      </c>
      <c r="E41" s="33">
        <v>0</v>
      </c>
      <c r="F41" t="s">
        <v>26</v>
      </c>
      <c r="G41" t="s">
        <v>27</v>
      </c>
      <c r="H41" t="str">
        <v>N/A</v>
      </c>
    </row>
    <row r="42" spans="1:8" hidden="1" x14ac:dyDescent="0.3">
      <c r="A42" t="s">
        <v>29</v>
      </c>
      <c r="B42" t="s">
        <v>155</v>
      </c>
      <c r="C42">
        <v>2</v>
      </c>
      <c r="D42">
        <v>1</v>
      </c>
      <c r="E42" s="33">
        <v>0.5</v>
      </c>
      <c r="F42" t="s">
        <v>26</v>
      </c>
      <c r="G42" t="s">
        <v>27</v>
      </c>
      <c r="H42" t="str">
        <v>N/A</v>
      </c>
    </row>
    <row r="43" spans="1:8" hidden="1" x14ac:dyDescent="0.3">
      <c r="A43" t="s">
        <v>29</v>
      </c>
      <c r="B43" t="s">
        <v>157</v>
      </c>
      <c r="C43">
        <v>3</v>
      </c>
      <c r="D43">
        <v>2</v>
      </c>
      <c r="E43" s="33">
        <v>0.66666666666666663</v>
      </c>
      <c r="F43" t="s">
        <v>26</v>
      </c>
      <c r="G43" t="s">
        <v>27</v>
      </c>
      <c r="H43" t="str">
        <v>N/A</v>
      </c>
    </row>
    <row r="44" spans="1:8" x14ac:dyDescent="0.3">
      <c r="A44" t="s">
        <v>30</v>
      </c>
      <c r="B44" t="s">
        <v>18</v>
      </c>
      <c r="C44">
        <v>309</v>
      </c>
      <c r="D44">
        <v>147</v>
      </c>
      <c r="E44" s="33">
        <v>0.47572815533980584</v>
      </c>
      <c r="F44" t="s">
        <v>19</v>
      </c>
      <c r="G44">
        <v>24</v>
      </c>
      <c r="H44" t="str">
        <v>C</v>
      </c>
    </row>
    <row r="45" spans="1:8" x14ac:dyDescent="0.3">
      <c r="A45" t="s">
        <v>74</v>
      </c>
      <c r="B45" t="s">
        <v>155</v>
      </c>
      <c r="C45">
        <v>28</v>
      </c>
      <c r="D45">
        <v>17</v>
      </c>
      <c r="E45" s="33">
        <v>0.6071428571428571</v>
      </c>
      <c r="F45" t="s">
        <v>19</v>
      </c>
      <c r="G45">
        <v>5</v>
      </c>
      <c r="H45" t="str">
        <v>A</v>
      </c>
    </row>
    <row r="46" spans="1:8" x14ac:dyDescent="0.3">
      <c r="A46" t="s">
        <v>30</v>
      </c>
      <c r="B46" t="s">
        <v>158</v>
      </c>
      <c r="C46">
        <v>11</v>
      </c>
      <c r="D46">
        <v>8</v>
      </c>
      <c r="E46" s="33">
        <v>0.72727272727272729</v>
      </c>
      <c r="F46" t="s">
        <v>19</v>
      </c>
      <c r="G46">
        <v>1</v>
      </c>
      <c r="H46" t="str">
        <v>S</v>
      </c>
    </row>
    <row r="47" spans="1:8" hidden="1" x14ac:dyDescent="0.3">
      <c r="A47" t="s">
        <v>30</v>
      </c>
      <c r="B47" t="s">
        <v>156</v>
      </c>
      <c r="C47">
        <v>1</v>
      </c>
      <c r="D47">
        <v>1</v>
      </c>
      <c r="E47" s="33">
        <v>1</v>
      </c>
      <c r="F47" t="s">
        <v>26</v>
      </c>
      <c r="G47" t="s">
        <v>27</v>
      </c>
      <c r="H47" t="str">
        <v>N/A</v>
      </c>
    </row>
    <row r="48" spans="1:8" hidden="1" x14ac:dyDescent="0.3">
      <c r="A48" t="s">
        <v>30</v>
      </c>
      <c r="B48" t="s">
        <v>157</v>
      </c>
      <c r="C48">
        <v>1</v>
      </c>
      <c r="D48">
        <v>0</v>
      </c>
      <c r="E48" s="33">
        <v>0</v>
      </c>
      <c r="F48" t="s">
        <v>26</v>
      </c>
      <c r="G48" t="s">
        <v>27</v>
      </c>
      <c r="H48" t="str">
        <v>N/A</v>
      </c>
    </row>
    <row r="49" spans="1:8" x14ac:dyDescent="0.3">
      <c r="A49" t="s">
        <v>31</v>
      </c>
      <c r="B49" t="s">
        <v>18</v>
      </c>
      <c r="C49">
        <v>10</v>
      </c>
      <c r="D49">
        <v>5</v>
      </c>
      <c r="E49" s="33">
        <v>0.5</v>
      </c>
      <c r="F49" t="s">
        <v>19</v>
      </c>
      <c r="G49">
        <v>21</v>
      </c>
      <c r="H49" t="str">
        <v>B</v>
      </c>
    </row>
    <row r="50" spans="1:8" x14ac:dyDescent="0.3">
      <c r="A50" t="s">
        <v>145</v>
      </c>
      <c r="B50" t="s">
        <v>155</v>
      </c>
      <c r="C50">
        <v>148</v>
      </c>
      <c r="D50">
        <v>87</v>
      </c>
      <c r="E50" s="33">
        <v>0.58783783783783783</v>
      </c>
      <c r="F50" t="s">
        <v>19</v>
      </c>
      <c r="G50">
        <v>6</v>
      </c>
      <c r="H50" t="str">
        <v>A</v>
      </c>
    </row>
    <row r="51" spans="1:8" hidden="1" x14ac:dyDescent="0.3">
      <c r="A51" t="s">
        <v>31</v>
      </c>
      <c r="B51" t="s">
        <v>158</v>
      </c>
      <c r="C51">
        <v>8</v>
      </c>
      <c r="D51">
        <v>4</v>
      </c>
      <c r="E51" s="33">
        <v>0.5</v>
      </c>
      <c r="F51" t="s">
        <v>26</v>
      </c>
      <c r="G51" t="s">
        <v>27</v>
      </c>
      <c r="H51" t="str">
        <v>N/A</v>
      </c>
    </row>
    <row r="52" spans="1:8" x14ac:dyDescent="0.3">
      <c r="A52" t="s">
        <v>32</v>
      </c>
      <c r="B52" t="s">
        <v>157</v>
      </c>
      <c r="C52">
        <v>14</v>
      </c>
      <c r="D52">
        <v>3</v>
      </c>
      <c r="E52" s="33">
        <v>0.21428571428571427</v>
      </c>
      <c r="F52" t="s">
        <v>19</v>
      </c>
      <c r="G52">
        <v>41</v>
      </c>
      <c r="H52" t="str">
        <v>D</v>
      </c>
    </row>
    <row r="53" spans="1:8" x14ac:dyDescent="0.3">
      <c r="A53" t="s">
        <v>32</v>
      </c>
      <c r="B53" t="s">
        <v>18</v>
      </c>
      <c r="C53">
        <v>135</v>
      </c>
      <c r="D53">
        <v>63</v>
      </c>
      <c r="E53" s="33">
        <v>0.46666666666666667</v>
      </c>
      <c r="F53" t="s">
        <v>19</v>
      </c>
      <c r="G53">
        <v>27</v>
      </c>
      <c r="H53" t="str">
        <v>C</v>
      </c>
    </row>
    <row r="54" spans="1:8" hidden="1" x14ac:dyDescent="0.3">
      <c r="A54" t="s">
        <v>32</v>
      </c>
      <c r="B54" t="s">
        <v>156</v>
      </c>
      <c r="C54">
        <v>1</v>
      </c>
      <c r="D54">
        <v>1</v>
      </c>
      <c r="E54" s="33">
        <v>1</v>
      </c>
      <c r="F54" t="s">
        <v>26</v>
      </c>
      <c r="G54" t="s">
        <v>27</v>
      </c>
      <c r="H54" t="str">
        <v>N/A</v>
      </c>
    </row>
    <row r="55" spans="1:8" hidden="1" x14ac:dyDescent="0.3">
      <c r="A55" t="s">
        <v>32</v>
      </c>
      <c r="B55" t="s">
        <v>158</v>
      </c>
      <c r="C55">
        <v>5</v>
      </c>
      <c r="D55">
        <v>1</v>
      </c>
      <c r="E55" s="33">
        <v>0.2</v>
      </c>
      <c r="F55" t="s">
        <v>26</v>
      </c>
      <c r="G55" t="s">
        <v>27</v>
      </c>
      <c r="H55" t="str">
        <v>N/A</v>
      </c>
    </row>
    <row r="56" spans="1:8" hidden="1" x14ac:dyDescent="0.3">
      <c r="A56" t="s">
        <v>32</v>
      </c>
      <c r="B56" t="s">
        <v>155</v>
      </c>
      <c r="C56">
        <v>2</v>
      </c>
      <c r="D56">
        <v>1</v>
      </c>
      <c r="E56" s="33">
        <v>0.5</v>
      </c>
      <c r="F56" t="s">
        <v>26</v>
      </c>
      <c r="G56" t="s">
        <v>27</v>
      </c>
      <c r="H56" t="str">
        <v>N/A</v>
      </c>
    </row>
    <row r="57" spans="1:8" x14ac:dyDescent="0.3">
      <c r="A57" t="s">
        <v>114</v>
      </c>
      <c r="B57" t="s">
        <v>155</v>
      </c>
      <c r="C57">
        <v>60</v>
      </c>
      <c r="D57">
        <v>35</v>
      </c>
      <c r="E57" s="33">
        <v>0.58333333333333337</v>
      </c>
      <c r="F57" t="s">
        <v>19</v>
      </c>
      <c r="G57">
        <v>6</v>
      </c>
      <c r="H57" t="str">
        <v>A</v>
      </c>
    </row>
    <row r="58" spans="1:8" x14ac:dyDescent="0.3">
      <c r="A58" t="s">
        <v>33</v>
      </c>
      <c r="B58" t="s">
        <v>18</v>
      </c>
      <c r="C58">
        <v>51</v>
      </c>
      <c r="D58">
        <v>27</v>
      </c>
      <c r="E58" s="33">
        <v>0.52941176470588236</v>
      </c>
      <c r="F58" t="s">
        <v>19</v>
      </c>
      <c r="G58">
        <v>14</v>
      </c>
      <c r="H58" t="str">
        <v>B</v>
      </c>
    </row>
    <row r="59" spans="1:8" hidden="1" x14ac:dyDescent="0.3">
      <c r="A59" t="s">
        <v>33</v>
      </c>
      <c r="B59" t="s">
        <v>158</v>
      </c>
      <c r="C59">
        <v>1</v>
      </c>
      <c r="D59">
        <v>0</v>
      </c>
      <c r="E59" s="33">
        <v>0</v>
      </c>
      <c r="F59" t="s">
        <v>26</v>
      </c>
      <c r="G59" t="s">
        <v>27</v>
      </c>
      <c r="H59" t="str">
        <v>N/A</v>
      </c>
    </row>
    <row r="60" spans="1:8" hidden="1" x14ac:dyDescent="0.3">
      <c r="A60" t="s">
        <v>33</v>
      </c>
      <c r="B60" t="s">
        <v>157</v>
      </c>
      <c r="C60">
        <v>5</v>
      </c>
      <c r="D60">
        <v>1</v>
      </c>
      <c r="E60" s="33">
        <v>0.2</v>
      </c>
      <c r="F60" t="s">
        <v>26</v>
      </c>
      <c r="G60" t="s">
        <v>27</v>
      </c>
      <c r="H60" t="str">
        <v>N/A</v>
      </c>
    </row>
    <row r="61" spans="1:8" hidden="1" x14ac:dyDescent="0.3">
      <c r="A61" t="s">
        <v>33</v>
      </c>
      <c r="B61" t="s">
        <v>156</v>
      </c>
      <c r="C61">
        <v>1</v>
      </c>
      <c r="D61">
        <v>0</v>
      </c>
      <c r="E61" s="33">
        <v>0</v>
      </c>
      <c r="F61" t="s">
        <v>26</v>
      </c>
      <c r="G61" t="s">
        <v>27</v>
      </c>
      <c r="H61" t="str">
        <v>N/A</v>
      </c>
    </row>
    <row r="62" spans="1:8" x14ac:dyDescent="0.3">
      <c r="A62" t="s">
        <v>34</v>
      </c>
      <c r="B62" t="s">
        <v>156</v>
      </c>
      <c r="C62">
        <v>15</v>
      </c>
      <c r="D62">
        <v>9</v>
      </c>
      <c r="E62" s="33">
        <v>0.6</v>
      </c>
      <c r="F62" t="s">
        <v>19</v>
      </c>
      <c r="G62">
        <v>7</v>
      </c>
      <c r="H62" t="str">
        <v>A</v>
      </c>
    </row>
    <row r="63" spans="1:8" x14ac:dyDescent="0.3">
      <c r="A63" t="s">
        <v>34</v>
      </c>
      <c r="B63" t="s">
        <v>157</v>
      </c>
      <c r="C63">
        <v>46</v>
      </c>
      <c r="D63">
        <v>27</v>
      </c>
      <c r="E63" s="33">
        <v>0.58695652173913049</v>
      </c>
      <c r="F63" t="s">
        <v>19</v>
      </c>
      <c r="G63">
        <v>8</v>
      </c>
      <c r="H63" t="str">
        <v>A</v>
      </c>
    </row>
    <row r="64" spans="1:8" hidden="1" x14ac:dyDescent="0.3">
      <c r="A64" t="s">
        <v>34</v>
      </c>
      <c r="B64" t="s">
        <v>159</v>
      </c>
      <c r="C64">
        <v>4</v>
      </c>
      <c r="D64">
        <v>2</v>
      </c>
      <c r="E64" s="33">
        <v>0.5</v>
      </c>
      <c r="F64" t="s">
        <v>26</v>
      </c>
      <c r="G64" t="s">
        <v>27</v>
      </c>
      <c r="H64" t="str">
        <v>N/A</v>
      </c>
    </row>
    <row r="65" spans="1:8" hidden="1" x14ac:dyDescent="0.3">
      <c r="A65" t="s">
        <v>34</v>
      </c>
      <c r="B65" t="s">
        <v>18</v>
      </c>
      <c r="C65">
        <v>1</v>
      </c>
      <c r="D65">
        <v>0</v>
      </c>
      <c r="E65" s="33">
        <v>0</v>
      </c>
      <c r="F65" t="s">
        <v>26</v>
      </c>
      <c r="G65" t="s">
        <v>27</v>
      </c>
      <c r="H65" t="str">
        <v>N/A</v>
      </c>
    </row>
    <row r="66" spans="1:8" hidden="1" x14ac:dyDescent="0.3">
      <c r="A66" t="s">
        <v>34</v>
      </c>
      <c r="B66" t="s">
        <v>155</v>
      </c>
      <c r="C66">
        <v>1</v>
      </c>
      <c r="D66">
        <v>0</v>
      </c>
      <c r="E66" s="33">
        <v>0</v>
      </c>
      <c r="F66" t="s">
        <v>26</v>
      </c>
      <c r="G66" t="s">
        <v>27</v>
      </c>
      <c r="H66" t="str">
        <v>N/A</v>
      </c>
    </row>
    <row r="67" spans="1:8" x14ac:dyDescent="0.3">
      <c r="A67" t="s">
        <v>35</v>
      </c>
      <c r="B67" t="s">
        <v>158</v>
      </c>
      <c r="C67">
        <v>13</v>
      </c>
      <c r="D67">
        <v>8</v>
      </c>
      <c r="E67" s="33">
        <v>0.61538461538461542</v>
      </c>
      <c r="F67" t="s">
        <v>19</v>
      </c>
      <c r="G67">
        <v>3</v>
      </c>
      <c r="H67" t="str">
        <v>A</v>
      </c>
    </row>
    <row r="68" spans="1:8" x14ac:dyDescent="0.3">
      <c r="A68" t="s">
        <v>55</v>
      </c>
      <c r="B68" t="s">
        <v>155</v>
      </c>
      <c r="C68">
        <v>115</v>
      </c>
      <c r="D68">
        <v>67</v>
      </c>
      <c r="E68" s="33">
        <v>0.58260869565217388</v>
      </c>
      <c r="F68" t="s">
        <v>19</v>
      </c>
      <c r="G68">
        <v>6</v>
      </c>
      <c r="H68" t="str">
        <v>A</v>
      </c>
    </row>
    <row r="69" spans="1:8" hidden="1" x14ac:dyDescent="0.3">
      <c r="A69" t="s">
        <v>35</v>
      </c>
      <c r="B69" t="s">
        <v>157</v>
      </c>
      <c r="C69">
        <v>2</v>
      </c>
      <c r="D69">
        <v>0</v>
      </c>
      <c r="E69" s="33">
        <v>0</v>
      </c>
      <c r="F69" t="s">
        <v>26</v>
      </c>
      <c r="G69" t="s">
        <v>27</v>
      </c>
      <c r="H69" t="str">
        <v>N/A</v>
      </c>
    </row>
    <row r="70" spans="1:8" hidden="1" x14ac:dyDescent="0.3">
      <c r="A70" t="s">
        <v>35</v>
      </c>
      <c r="B70" t="s">
        <v>18</v>
      </c>
      <c r="C70">
        <v>1</v>
      </c>
      <c r="D70">
        <v>0</v>
      </c>
      <c r="E70" s="33">
        <v>0</v>
      </c>
      <c r="F70" t="s">
        <v>26</v>
      </c>
      <c r="G70" t="s">
        <v>27</v>
      </c>
      <c r="H70" t="str">
        <v>N/A</v>
      </c>
    </row>
    <row r="71" spans="1:8" x14ac:dyDescent="0.3">
      <c r="A71" t="s">
        <v>36</v>
      </c>
      <c r="B71" t="s">
        <v>157</v>
      </c>
      <c r="C71">
        <v>28</v>
      </c>
      <c r="D71">
        <v>14</v>
      </c>
      <c r="E71" s="33">
        <v>0.5</v>
      </c>
      <c r="F71" t="s">
        <v>19</v>
      </c>
      <c r="G71">
        <v>22</v>
      </c>
      <c r="H71" t="str">
        <v>B</v>
      </c>
    </row>
    <row r="72" spans="1:8" hidden="1" x14ac:dyDescent="0.3">
      <c r="A72" t="s">
        <v>36</v>
      </c>
      <c r="B72" t="s">
        <v>18</v>
      </c>
      <c r="C72">
        <v>9</v>
      </c>
      <c r="D72">
        <v>6</v>
      </c>
      <c r="E72" s="33">
        <v>0.66666666666666663</v>
      </c>
      <c r="F72" t="s">
        <v>26</v>
      </c>
      <c r="G72" t="s">
        <v>27</v>
      </c>
      <c r="H72" t="str">
        <v>N/A</v>
      </c>
    </row>
    <row r="73" spans="1:8" x14ac:dyDescent="0.3">
      <c r="A73" t="s">
        <v>36</v>
      </c>
      <c r="B73" t="s">
        <v>159</v>
      </c>
      <c r="C73">
        <v>19</v>
      </c>
      <c r="D73">
        <v>9</v>
      </c>
      <c r="E73" s="33">
        <v>0.47368421052631576</v>
      </c>
      <c r="F73" t="s">
        <v>19</v>
      </c>
      <c r="G73">
        <v>17</v>
      </c>
      <c r="H73" t="str">
        <v>C</v>
      </c>
    </row>
    <row r="74" spans="1:8" x14ac:dyDescent="0.3">
      <c r="A74" t="s">
        <v>36</v>
      </c>
      <c r="B74" t="s">
        <v>156</v>
      </c>
      <c r="C74">
        <v>67</v>
      </c>
      <c r="D74">
        <v>40</v>
      </c>
      <c r="E74" s="33">
        <v>0.59701492537313428</v>
      </c>
      <c r="F74" t="s">
        <v>19</v>
      </c>
      <c r="G74">
        <v>9</v>
      </c>
      <c r="H74" t="str">
        <v>A</v>
      </c>
    </row>
    <row r="75" spans="1:8" x14ac:dyDescent="0.3">
      <c r="A75" t="s">
        <v>122</v>
      </c>
      <c r="B75" t="s">
        <v>156</v>
      </c>
      <c r="C75">
        <v>110</v>
      </c>
      <c r="D75">
        <v>61</v>
      </c>
      <c r="E75" s="33">
        <v>0.55454545454545456</v>
      </c>
      <c r="F75" t="s">
        <v>19</v>
      </c>
      <c r="G75">
        <v>10</v>
      </c>
      <c r="H75" t="str">
        <v>A</v>
      </c>
    </row>
    <row r="76" spans="1:8" x14ac:dyDescent="0.3">
      <c r="A76" t="s">
        <v>122</v>
      </c>
      <c r="B76" t="s">
        <v>157</v>
      </c>
      <c r="C76">
        <v>71</v>
      </c>
      <c r="D76">
        <v>35</v>
      </c>
      <c r="E76" s="33">
        <v>0.49295774647887325</v>
      </c>
      <c r="F76" t="s">
        <v>19</v>
      </c>
      <c r="G76">
        <v>26</v>
      </c>
      <c r="H76" t="str">
        <v>B</v>
      </c>
    </row>
    <row r="77" spans="1:8" x14ac:dyDescent="0.3">
      <c r="A77" t="s">
        <v>122</v>
      </c>
      <c r="B77" t="s">
        <v>159</v>
      </c>
      <c r="C77">
        <v>11</v>
      </c>
      <c r="D77">
        <v>7</v>
      </c>
      <c r="E77" s="33">
        <v>0.63636363636363635</v>
      </c>
      <c r="F77" t="s">
        <v>19</v>
      </c>
      <c r="G77">
        <v>3</v>
      </c>
      <c r="H77" t="str">
        <v>A</v>
      </c>
    </row>
    <row r="78" spans="1:8" hidden="1" x14ac:dyDescent="0.3">
      <c r="A78" t="s">
        <v>122</v>
      </c>
      <c r="B78" t="s">
        <v>155</v>
      </c>
      <c r="C78">
        <v>2</v>
      </c>
      <c r="D78">
        <v>1</v>
      </c>
      <c r="E78" s="33">
        <v>0.5</v>
      </c>
      <c r="F78" t="s">
        <v>26</v>
      </c>
      <c r="G78" t="s">
        <v>27</v>
      </c>
      <c r="H78" t="str">
        <v>N/A</v>
      </c>
    </row>
    <row r="79" spans="1:8" x14ac:dyDescent="0.3">
      <c r="A79" t="s">
        <v>37</v>
      </c>
      <c r="B79" t="s">
        <v>18</v>
      </c>
      <c r="C79">
        <v>42</v>
      </c>
      <c r="D79">
        <v>15</v>
      </c>
      <c r="E79" s="33">
        <v>0.35714285714285715</v>
      </c>
      <c r="F79" t="s">
        <v>19</v>
      </c>
      <c r="G79">
        <v>37</v>
      </c>
      <c r="H79" t="str">
        <v>C</v>
      </c>
    </row>
    <row r="80" spans="1:8" hidden="1" x14ac:dyDescent="0.3">
      <c r="A80" t="s">
        <v>37</v>
      </c>
      <c r="B80" t="s">
        <v>157</v>
      </c>
      <c r="C80">
        <v>3</v>
      </c>
      <c r="D80">
        <v>2</v>
      </c>
      <c r="E80" s="33">
        <v>0.66666666666666663</v>
      </c>
      <c r="F80" t="s">
        <v>26</v>
      </c>
      <c r="G80" t="s">
        <v>27</v>
      </c>
      <c r="H80" t="str">
        <v>N/A</v>
      </c>
    </row>
    <row r="81" spans="1:8" hidden="1" x14ac:dyDescent="0.3">
      <c r="A81" t="s">
        <v>37</v>
      </c>
      <c r="B81" t="s">
        <v>155</v>
      </c>
      <c r="C81">
        <v>1</v>
      </c>
      <c r="D81">
        <v>1</v>
      </c>
      <c r="E81" s="33">
        <v>1</v>
      </c>
      <c r="F81" t="s">
        <v>26</v>
      </c>
      <c r="G81" t="s">
        <v>27</v>
      </c>
      <c r="H81" t="str">
        <v>N/A</v>
      </c>
    </row>
    <row r="82" spans="1:8" x14ac:dyDescent="0.3">
      <c r="A82" t="s">
        <v>123</v>
      </c>
      <c r="B82" t="s">
        <v>157</v>
      </c>
      <c r="C82">
        <v>60</v>
      </c>
      <c r="D82">
        <v>17</v>
      </c>
      <c r="E82" s="33">
        <v>0.28333333333333333</v>
      </c>
      <c r="F82" t="s">
        <v>19</v>
      </c>
      <c r="G82">
        <v>40</v>
      </c>
      <c r="H82" t="str">
        <v>D</v>
      </c>
    </row>
    <row r="83" spans="1:8" x14ac:dyDescent="0.3">
      <c r="A83" t="s">
        <v>123</v>
      </c>
      <c r="B83" t="s">
        <v>156</v>
      </c>
      <c r="C83">
        <v>69</v>
      </c>
      <c r="D83">
        <v>30</v>
      </c>
      <c r="E83" s="33">
        <v>0.43478260869565216</v>
      </c>
      <c r="F83" t="s">
        <v>19</v>
      </c>
      <c r="G83">
        <v>29</v>
      </c>
      <c r="H83" t="str">
        <v>C</v>
      </c>
    </row>
    <row r="84" spans="1:8" x14ac:dyDescent="0.3">
      <c r="A84" t="s">
        <v>123</v>
      </c>
      <c r="B84" t="s">
        <v>159</v>
      </c>
      <c r="C84">
        <v>18</v>
      </c>
      <c r="D84">
        <v>10</v>
      </c>
      <c r="E84" s="33">
        <v>0.55555555555555558</v>
      </c>
      <c r="F84" t="s">
        <v>19</v>
      </c>
      <c r="G84">
        <v>7</v>
      </c>
      <c r="H84" t="str">
        <v>A</v>
      </c>
    </row>
    <row r="85" spans="1:8" hidden="1" x14ac:dyDescent="0.3">
      <c r="A85" t="s">
        <v>123</v>
      </c>
      <c r="B85" t="s">
        <v>155</v>
      </c>
      <c r="C85">
        <v>1</v>
      </c>
      <c r="D85">
        <v>1</v>
      </c>
      <c r="E85" s="33">
        <v>1</v>
      </c>
      <c r="F85" t="s">
        <v>26</v>
      </c>
      <c r="G85" t="s">
        <v>27</v>
      </c>
      <c r="H85" t="str">
        <v>N/A</v>
      </c>
    </row>
    <row r="86" spans="1:8" hidden="1" x14ac:dyDescent="0.3">
      <c r="A86" t="s">
        <v>123</v>
      </c>
      <c r="B86" t="s">
        <v>158</v>
      </c>
      <c r="C86">
        <v>1</v>
      </c>
      <c r="D86">
        <v>1</v>
      </c>
      <c r="E86" s="33">
        <v>1</v>
      </c>
      <c r="F86" t="s">
        <v>26</v>
      </c>
      <c r="G86" t="s">
        <v>27</v>
      </c>
      <c r="H86" t="str">
        <v>N/A</v>
      </c>
    </row>
    <row r="87" spans="1:8" x14ac:dyDescent="0.3">
      <c r="A87" t="s">
        <v>38</v>
      </c>
      <c r="B87" t="s">
        <v>18</v>
      </c>
      <c r="C87">
        <v>231</v>
      </c>
      <c r="D87">
        <v>120</v>
      </c>
      <c r="E87" s="33">
        <v>0.51948051948051943</v>
      </c>
      <c r="F87" t="s">
        <v>19</v>
      </c>
      <c r="G87">
        <v>18</v>
      </c>
      <c r="H87" t="str">
        <v>B</v>
      </c>
    </row>
    <row r="88" spans="1:8" x14ac:dyDescent="0.3">
      <c r="A88" t="s">
        <v>70</v>
      </c>
      <c r="B88" t="s">
        <v>155</v>
      </c>
      <c r="C88">
        <v>262</v>
      </c>
      <c r="D88">
        <v>152</v>
      </c>
      <c r="E88" s="33">
        <v>0.58015267175572516</v>
      </c>
      <c r="F88" t="s">
        <v>19</v>
      </c>
      <c r="G88">
        <v>7</v>
      </c>
      <c r="H88" t="str">
        <v>A</v>
      </c>
    </row>
    <row r="89" spans="1:8" hidden="1" x14ac:dyDescent="0.3">
      <c r="A89" t="s">
        <v>38</v>
      </c>
      <c r="B89" t="s">
        <v>157</v>
      </c>
      <c r="C89">
        <v>5</v>
      </c>
      <c r="D89">
        <v>2</v>
      </c>
      <c r="E89" s="33">
        <v>0.4</v>
      </c>
      <c r="F89" t="s">
        <v>26</v>
      </c>
      <c r="G89" t="s">
        <v>27</v>
      </c>
      <c r="H89" t="str">
        <v>N/A</v>
      </c>
    </row>
    <row r="90" spans="1:8" hidden="1" x14ac:dyDescent="0.3">
      <c r="A90" t="s">
        <v>38</v>
      </c>
      <c r="B90" t="s">
        <v>158</v>
      </c>
      <c r="C90">
        <v>7</v>
      </c>
      <c r="D90">
        <v>2</v>
      </c>
      <c r="E90" s="33">
        <v>0.2857142857142857</v>
      </c>
      <c r="F90" t="s">
        <v>26</v>
      </c>
      <c r="G90" t="s">
        <v>27</v>
      </c>
      <c r="H90" t="str">
        <v>N/A</v>
      </c>
    </row>
    <row r="91" spans="1:8" hidden="1" x14ac:dyDescent="0.3">
      <c r="A91" t="s">
        <v>38</v>
      </c>
      <c r="B91" t="s">
        <v>159</v>
      </c>
      <c r="C91">
        <v>1</v>
      </c>
      <c r="D91">
        <v>0</v>
      </c>
      <c r="E91" s="33">
        <v>0</v>
      </c>
      <c r="F91" t="s">
        <v>26</v>
      </c>
      <c r="G91" t="s">
        <v>27</v>
      </c>
      <c r="H91" t="str">
        <v>N/A</v>
      </c>
    </row>
    <row r="92" spans="1:8" hidden="1" x14ac:dyDescent="0.3">
      <c r="A92" t="s">
        <v>38</v>
      </c>
      <c r="B92" t="s">
        <v>156</v>
      </c>
      <c r="C92">
        <v>1</v>
      </c>
      <c r="D92">
        <v>0</v>
      </c>
      <c r="E92" s="33">
        <v>0</v>
      </c>
      <c r="F92" t="s">
        <v>26</v>
      </c>
      <c r="G92" t="s">
        <v>27</v>
      </c>
      <c r="H92" t="str">
        <v>N/A</v>
      </c>
    </row>
    <row r="93" spans="1:8" x14ac:dyDescent="0.3">
      <c r="A93" t="s">
        <v>124</v>
      </c>
      <c r="B93" t="s">
        <v>156</v>
      </c>
      <c r="C93">
        <v>39</v>
      </c>
      <c r="D93">
        <v>17</v>
      </c>
      <c r="E93" s="33">
        <v>0.4358974358974359</v>
      </c>
      <c r="F93" t="s">
        <v>19</v>
      </c>
      <c r="G93">
        <v>28</v>
      </c>
      <c r="H93" t="str">
        <v>C</v>
      </c>
    </row>
    <row r="94" spans="1:8" x14ac:dyDescent="0.3">
      <c r="A94" t="s">
        <v>124</v>
      </c>
      <c r="B94" t="s">
        <v>159</v>
      </c>
      <c r="C94">
        <v>13</v>
      </c>
      <c r="D94">
        <v>6</v>
      </c>
      <c r="E94" s="33">
        <v>0.46153846153846156</v>
      </c>
      <c r="F94" t="s">
        <v>19</v>
      </c>
      <c r="G94">
        <v>20</v>
      </c>
      <c r="H94" t="str">
        <v>C</v>
      </c>
    </row>
    <row r="95" spans="1:8" x14ac:dyDescent="0.3">
      <c r="A95" t="s">
        <v>124</v>
      </c>
      <c r="B95" t="s">
        <v>157</v>
      </c>
      <c r="C95">
        <v>22</v>
      </c>
      <c r="D95">
        <v>13</v>
      </c>
      <c r="E95" s="33">
        <v>0.59090909090909094</v>
      </c>
      <c r="F95" t="s">
        <v>19</v>
      </c>
      <c r="G95">
        <v>7</v>
      </c>
      <c r="H95" t="str">
        <v>A</v>
      </c>
    </row>
    <row r="96" spans="1:8" hidden="1" x14ac:dyDescent="0.3">
      <c r="A96" t="s">
        <v>124</v>
      </c>
      <c r="B96" t="s">
        <v>158</v>
      </c>
      <c r="C96">
        <v>3</v>
      </c>
      <c r="D96">
        <v>1</v>
      </c>
      <c r="E96" s="33">
        <v>0.33333333333333331</v>
      </c>
      <c r="F96" t="s">
        <v>26</v>
      </c>
      <c r="G96" t="s">
        <v>27</v>
      </c>
      <c r="H96" t="str">
        <v>N/A</v>
      </c>
    </row>
    <row r="97" spans="1:8" x14ac:dyDescent="0.3">
      <c r="A97" t="s">
        <v>39</v>
      </c>
      <c r="B97" t="s">
        <v>18</v>
      </c>
      <c r="C97">
        <v>46</v>
      </c>
      <c r="D97">
        <v>24</v>
      </c>
      <c r="E97" s="33">
        <v>0.52173913043478259</v>
      </c>
      <c r="F97" t="s">
        <v>19</v>
      </c>
      <c r="G97">
        <v>16</v>
      </c>
      <c r="H97" t="str">
        <v>B</v>
      </c>
    </row>
    <row r="98" spans="1:8" x14ac:dyDescent="0.3">
      <c r="A98" t="s">
        <v>39</v>
      </c>
      <c r="B98" t="s">
        <v>158</v>
      </c>
      <c r="C98">
        <v>56</v>
      </c>
      <c r="D98">
        <v>28</v>
      </c>
      <c r="E98" s="33">
        <v>0.5</v>
      </c>
      <c r="F98" t="s">
        <v>19</v>
      </c>
      <c r="G98">
        <v>21</v>
      </c>
      <c r="H98" t="str">
        <v>B</v>
      </c>
    </row>
    <row r="99" spans="1:8" hidden="1" x14ac:dyDescent="0.3">
      <c r="A99" t="s">
        <v>39</v>
      </c>
      <c r="B99" t="s">
        <v>157</v>
      </c>
      <c r="C99">
        <v>4</v>
      </c>
      <c r="D99">
        <v>3</v>
      </c>
      <c r="E99" s="33">
        <v>0.75</v>
      </c>
      <c r="F99" t="s">
        <v>26</v>
      </c>
      <c r="G99" t="s">
        <v>27</v>
      </c>
      <c r="H99" t="str">
        <v>N/A</v>
      </c>
    </row>
    <row r="100" spans="1:8" hidden="1" x14ac:dyDescent="0.3">
      <c r="A100" t="s">
        <v>39</v>
      </c>
      <c r="B100" t="s">
        <v>159</v>
      </c>
      <c r="C100">
        <v>1</v>
      </c>
      <c r="D100">
        <v>1</v>
      </c>
      <c r="E100" s="33">
        <v>1</v>
      </c>
      <c r="F100" t="s">
        <v>26</v>
      </c>
      <c r="G100" t="s">
        <v>27</v>
      </c>
      <c r="H100" t="str">
        <v>N/A</v>
      </c>
    </row>
    <row r="101" spans="1:8" x14ac:dyDescent="0.3">
      <c r="A101" t="s">
        <v>40</v>
      </c>
      <c r="B101" t="s">
        <v>156</v>
      </c>
      <c r="C101">
        <v>298</v>
      </c>
      <c r="D101">
        <v>136</v>
      </c>
      <c r="E101" s="33">
        <v>0.4563758389261745</v>
      </c>
      <c r="F101" t="s">
        <v>19</v>
      </c>
      <c r="G101">
        <v>25</v>
      </c>
      <c r="H101" t="str">
        <v>C</v>
      </c>
    </row>
    <row r="102" spans="1:8" x14ac:dyDescent="0.3">
      <c r="A102" t="s">
        <v>40</v>
      </c>
      <c r="B102" t="s">
        <v>157</v>
      </c>
      <c r="C102">
        <v>108</v>
      </c>
      <c r="D102">
        <v>50</v>
      </c>
      <c r="E102" s="33">
        <v>0.46296296296296297</v>
      </c>
      <c r="F102" t="s">
        <v>19</v>
      </c>
      <c r="G102">
        <v>32</v>
      </c>
      <c r="H102" t="str">
        <v>C</v>
      </c>
    </row>
    <row r="103" spans="1:8" x14ac:dyDescent="0.3">
      <c r="A103" t="s">
        <v>40</v>
      </c>
      <c r="B103" t="s">
        <v>159</v>
      </c>
      <c r="C103">
        <v>43</v>
      </c>
      <c r="D103">
        <v>20</v>
      </c>
      <c r="E103" s="33">
        <v>0.46511627906976744</v>
      </c>
      <c r="F103" t="s">
        <v>19</v>
      </c>
      <c r="G103">
        <v>19</v>
      </c>
      <c r="H103" t="str">
        <v>C</v>
      </c>
    </row>
    <row r="104" spans="1:8" hidden="1" x14ac:dyDescent="0.3">
      <c r="A104" t="s">
        <v>40</v>
      </c>
      <c r="B104" t="s">
        <v>18</v>
      </c>
      <c r="C104">
        <v>1</v>
      </c>
      <c r="D104">
        <v>0</v>
      </c>
      <c r="E104" s="33">
        <v>0</v>
      </c>
      <c r="F104" t="s">
        <v>26</v>
      </c>
      <c r="G104" t="s">
        <v>27</v>
      </c>
      <c r="H104" t="str">
        <v>N/A</v>
      </c>
    </row>
    <row r="105" spans="1:8" x14ac:dyDescent="0.3">
      <c r="A105" t="s">
        <v>41</v>
      </c>
      <c r="B105" t="s">
        <v>18</v>
      </c>
      <c r="C105">
        <v>252</v>
      </c>
      <c r="D105">
        <v>138</v>
      </c>
      <c r="E105" s="33">
        <v>0.54761904761904767</v>
      </c>
      <c r="F105" t="s">
        <v>19</v>
      </c>
      <c r="G105">
        <v>11</v>
      </c>
      <c r="H105" t="str">
        <v>B</v>
      </c>
    </row>
    <row r="106" spans="1:8" x14ac:dyDescent="0.3">
      <c r="A106" t="s">
        <v>129</v>
      </c>
      <c r="B106" t="s">
        <v>155</v>
      </c>
      <c r="C106">
        <v>92</v>
      </c>
      <c r="D106">
        <v>53</v>
      </c>
      <c r="E106" s="33">
        <v>0.57608695652173914</v>
      </c>
      <c r="F106" t="s">
        <v>19</v>
      </c>
      <c r="G106">
        <v>8</v>
      </c>
      <c r="H106" t="str">
        <v>A</v>
      </c>
    </row>
    <row r="107" spans="1:8" hidden="1" x14ac:dyDescent="0.3">
      <c r="A107" t="s">
        <v>41</v>
      </c>
      <c r="B107" t="s">
        <v>157</v>
      </c>
      <c r="C107">
        <v>2</v>
      </c>
      <c r="D107">
        <v>1</v>
      </c>
      <c r="E107" s="33">
        <v>0.5</v>
      </c>
      <c r="F107" t="s">
        <v>26</v>
      </c>
      <c r="G107" t="s">
        <v>27</v>
      </c>
      <c r="H107" t="str">
        <v>N/A</v>
      </c>
    </row>
    <row r="108" spans="1:8" hidden="1" x14ac:dyDescent="0.3">
      <c r="A108" t="s">
        <v>41</v>
      </c>
      <c r="B108" t="s">
        <v>158</v>
      </c>
      <c r="C108">
        <v>6</v>
      </c>
      <c r="D108">
        <v>3</v>
      </c>
      <c r="E108" s="33">
        <v>0.5</v>
      </c>
      <c r="F108" t="s">
        <v>26</v>
      </c>
      <c r="G108" t="s">
        <v>27</v>
      </c>
      <c r="H108" t="str">
        <v>N/A</v>
      </c>
    </row>
    <row r="109" spans="1:8" hidden="1" x14ac:dyDescent="0.3">
      <c r="A109" t="s">
        <v>41</v>
      </c>
      <c r="B109" t="s">
        <v>156</v>
      </c>
      <c r="C109">
        <v>1</v>
      </c>
      <c r="D109">
        <v>1</v>
      </c>
      <c r="E109" s="33">
        <v>1</v>
      </c>
      <c r="F109" t="s">
        <v>26</v>
      </c>
      <c r="G109" t="s">
        <v>27</v>
      </c>
      <c r="H109" t="str">
        <v>N/A</v>
      </c>
    </row>
    <row r="110" spans="1:8" x14ac:dyDescent="0.3">
      <c r="A110" t="s">
        <v>110</v>
      </c>
      <c r="B110" t="s">
        <v>155</v>
      </c>
      <c r="C110">
        <v>18</v>
      </c>
      <c r="D110">
        <v>10</v>
      </c>
      <c r="E110" s="33">
        <v>0.55555555555555558</v>
      </c>
      <c r="F110" t="s">
        <v>19</v>
      </c>
      <c r="G110">
        <v>9</v>
      </c>
      <c r="H110" t="str">
        <v>A</v>
      </c>
    </row>
    <row r="111" spans="1:8" x14ac:dyDescent="0.3">
      <c r="A111" t="s">
        <v>42</v>
      </c>
      <c r="B111" t="s">
        <v>18</v>
      </c>
      <c r="C111">
        <v>34</v>
      </c>
      <c r="D111">
        <v>16</v>
      </c>
      <c r="E111" s="33">
        <v>0.47058823529411764</v>
      </c>
      <c r="F111" t="s">
        <v>19</v>
      </c>
      <c r="G111">
        <v>26</v>
      </c>
      <c r="H111" t="str">
        <v>C</v>
      </c>
    </row>
    <row r="112" spans="1:8" x14ac:dyDescent="0.3">
      <c r="A112" t="s">
        <v>42</v>
      </c>
      <c r="B112" t="s">
        <v>158</v>
      </c>
      <c r="C112">
        <v>40</v>
      </c>
      <c r="D112">
        <v>24</v>
      </c>
      <c r="E112" s="33">
        <v>0.6</v>
      </c>
      <c r="F112" t="s">
        <v>19</v>
      </c>
      <c r="G112">
        <v>7</v>
      </c>
      <c r="H112" t="str">
        <v>A</v>
      </c>
    </row>
    <row r="113" spans="1:8" hidden="1" x14ac:dyDescent="0.3">
      <c r="A113" t="s">
        <v>42</v>
      </c>
      <c r="B113" t="s">
        <v>157</v>
      </c>
      <c r="C113">
        <v>3</v>
      </c>
      <c r="D113">
        <v>0</v>
      </c>
      <c r="E113" s="33">
        <v>0</v>
      </c>
      <c r="F113" t="s">
        <v>26</v>
      </c>
      <c r="G113" t="s">
        <v>27</v>
      </c>
      <c r="H113" t="str">
        <v>N/A</v>
      </c>
    </row>
    <row r="114" spans="1:8" x14ac:dyDescent="0.3">
      <c r="A114" t="s">
        <v>21</v>
      </c>
      <c r="B114" t="s">
        <v>155</v>
      </c>
      <c r="C114">
        <v>59</v>
      </c>
      <c r="D114">
        <v>32</v>
      </c>
      <c r="E114" s="33">
        <v>0.5423728813559322</v>
      </c>
      <c r="F114" t="s">
        <v>19</v>
      </c>
      <c r="G114">
        <v>9</v>
      </c>
      <c r="H114" t="str">
        <v>B</v>
      </c>
    </row>
    <row r="115" spans="1:8" hidden="1" x14ac:dyDescent="0.3">
      <c r="A115" t="s">
        <v>125</v>
      </c>
      <c r="B115" t="s">
        <v>158</v>
      </c>
      <c r="C115">
        <v>4</v>
      </c>
      <c r="D115">
        <v>2</v>
      </c>
      <c r="E115" s="33">
        <v>0.5</v>
      </c>
      <c r="F115" t="s">
        <v>26</v>
      </c>
      <c r="G115" t="s">
        <v>27</v>
      </c>
      <c r="H115" t="str">
        <v>N/A</v>
      </c>
    </row>
    <row r="116" spans="1:8" hidden="1" x14ac:dyDescent="0.3">
      <c r="A116" t="s">
        <v>125</v>
      </c>
      <c r="B116" t="s">
        <v>156</v>
      </c>
      <c r="C116">
        <v>1</v>
      </c>
      <c r="D116">
        <v>1</v>
      </c>
      <c r="E116" s="33">
        <v>1</v>
      </c>
      <c r="F116" t="s">
        <v>26</v>
      </c>
      <c r="G116" t="s">
        <v>27</v>
      </c>
      <c r="H116" t="str">
        <v>N/A</v>
      </c>
    </row>
    <row r="117" spans="1:8" x14ac:dyDescent="0.3">
      <c r="A117" t="s">
        <v>126</v>
      </c>
      <c r="B117" t="s">
        <v>158</v>
      </c>
      <c r="C117">
        <v>36</v>
      </c>
      <c r="D117">
        <v>12</v>
      </c>
      <c r="E117" s="33">
        <v>0.33333333333333331</v>
      </c>
      <c r="F117" t="s">
        <v>19</v>
      </c>
      <c r="G117">
        <v>38</v>
      </c>
      <c r="H117" t="str">
        <v>D</v>
      </c>
    </row>
    <row r="118" spans="1:8" x14ac:dyDescent="0.3">
      <c r="A118" t="s">
        <v>126</v>
      </c>
      <c r="B118" t="s">
        <v>156</v>
      </c>
      <c r="C118">
        <v>13</v>
      </c>
      <c r="D118">
        <v>7</v>
      </c>
      <c r="E118" s="33">
        <v>0.53846153846153844</v>
      </c>
      <c r="F118" t="s">
        <v>19</v>
      </c>
      <c r="G118">
        <v>13</v>
      </c>
      <c r="H118" t="str">
        <v>B</v>
      </c>
    </row>
    <row r="119" spans="1:8" x14ac:dyDescent="0.3">
      <c r="A119" t="s">
        <v>126</v>
      </c>
      <c r="B119" t="s">
        <v>157</v>
      </c>
      <c r="C119">
        <v>26</v>
      </c>
      <c r="D119">
        <v>19</v>
      </c>
      <c r="E119" s="33">
        <v>0.73076923076923073</v>
      </c>
      <c r="F119" t="s">
        <v>19</v>
      </c>
      <c r="G119">
        <v>2</v>
      </c>
      <c r="H119" t="str">
        <v>S</v>
      </c>
    </row>
    <row r="120" spans="1:8" x14ac:dyDescent="0.3">
      <c r="A120" t="s">
        <v>126</v>
      </c>
      <c r="B120" t="s">
        <v>159</v>
      </c>
      <c r="C120">
        <v>11</v>
      </c>
      <c r="D120">
        <v>5</v>
      </c>
      <c r="E120" s="33">
        <v>0.45454545454545453</v>
      </c>
      <c r="F120" t="s">
        <v>19</v>
      </c>
      <c r="G120">
        <v>21</v>
      </c>
      <c r="H120" t="str">
        <v>C</v>
      </c>
    </row>
    <row r="121" spans="1:8" x14ac:dyDescent="0.3">
      <c r="A121" t="s">
        <v>43</v>
      </c>
      <c r="B121" t="s">
        <v>158</v>
      </c>
      <c r="C121">
        <v>21</v>
      </c>
      <c r="D121">
        <v>8</v>
      </c>
      <c r="E121" s="33">
        <v>0.38095238095238093</v>
      </c>
      <c r="F121" t="s">
        <v>19</v>
      </c>
      <c r="G121">
        <v>36</v>
      </c>
      <c r="H121" t="str">
        <v>C</v>
      </c>
    </row>
    <row r="122" spans="1:8" hidden="1" x14ac:dyDescent="0.3">
      <c r="A122" t="s">
        <v>43</v>
      </c>
      <c r="B122" t="s">
        <v>157</v>
      </c>
      <c r="C122">
        <v>6</v>
      </c>
      <c r="D122">
        <v>2</v>
      </c>
      <c r="E122" s="33">
        <v>0.33333333333333331</v>
      </c>
      <c r="F122" t="s">
        <v>26</v>
      </c>
      <c r="G122" t="s">
        <v>27</v>
      </c>
      <c r="H122" t="str">
        <v>N/A</v>
      </c>
    </row>
    <row r="123" spans="1:8" x14ac:dyDescent="0.3">
      <c r="A123" t="s">
        <v>43</v>
      </c>
      <c r="B123" t="s">
        <v>18</v>
      </c>
      <c r="C123">
        <v>13</v>
      </c>
      <c r="D123">
        <v>6</v>
      </c>
      <c r="E123" s="33">
        <v>0.46153846153846156</v>
      </c>
      <c r="F123" t="s">
        <v>19</v>
      </c>
      <c r="G123">
        <v>28</v>
      </c>
      <c r="H123" t="str">
        <v>C</v>
      </c>
    </row>
    <row r="124" spans="1:8" hidden="1" x14ac:dyDescent="0.3">
      <c r="A124" t="s">
        <v>43</v>
      </c>
      <c r="B124" t="s">
        <v>156</v>
      </c>
      <c r="C124">
        <v>5</v>
      </c>
      <c r="D124">
        <v>1</v>
      </c>
      <c r="E124" s="33">
        <v>0.2</v>
      </c>
      <c r="F124" t="s">
        <v>26</v>
      </c>
      <c r="G124" t="s">
        <v>27</v>
      </c>
      <c r="H124" t="str">
        <v>N/A</v>
      </c>
    </row>
    <row r="125" spans="1:8" hidden="1" x14ac:dyDescent="0.3">
      <c r="A125" t="s">
        <v>43</v>
      </c>
      <c r="B125" t="s">
        <v>159</v>
      </c>
      <c r="C125">
        <v>2</v>
      </c>
      <c r="D125">
        <v>2</v>
      </c>
      <c r="E125" s="33">
        <v>1</v>
      </c>
      <c r="F125" t="s">
        <v>26</v>
      </c>
      <c r="G125" t="s">
        <v>27</v>
      </c>
      <c r="H125" t="str">
        <v>N/A</v>
      </c>
    </row>
    <row r="126" spans="1:8" hidden="1" x14ac:dyDescent="0.3">
      <c r="A126" t="s">
        <v>44</v>
      </c>
      <c r="B126" t="s">
        <v>156</v>
      </c>
      <c r="C126">
        <v>8</v>
      </c>
      <c r="D126">
        <v>3</v>
      </c>
      <c r="E126" s="33">
        <v>0.375</v>
      </c>
      <c r="F126" t="s">
        <v>26</v>
      </c>
      <c r="G126" t="s">
        <v>27</v>
      </c>
      <c r="H126" t="str">
        <v>N/A</v>
      </c>
    </row>
    <row r="127" spans="1:8" hidden="1" x14ac:dyDescent="0.3">
      <c r="A127" t="s">
        <v>44</v>
      </c>
      <c r="B127" t="s">
        <v>18</v>
      </c>
      <c r="C127">
        <v>4</v>
      </c>
      <c r="D127">
        <v>1</v>
      </c>
      <c r="E127" s="33">
        <v>0.25</v>
      </c>
      <c r="F127" t="s">
        <v>26</v>
      </c>
      <c r="G127" t="s">
        <v>27</v>
      </c>
      <c r="H127" t="str">
        <v>N/A</v>
      </c>
    </row>
    <row r="128" spans="1:8" hidden="1" x14ac:dyDescent="0.3">
      <c r="A128" t="s">
        <v>44</v>
      </c>
      <c r="B128" t="s">
        <v>157</v>
      </c>
      <c r="C128">
        <v>3</v>
      </c>
      <c r="D128">
        <v>0</v>
      </c>
      <c r="E128" s="33">
        <v>0</v>
      </c>
      <c r="F128" t="s">
        <v>26</v>
      </c>
      <c r="G128" t="s">
        <v>27</v>
      </c>
      <c r="H128" t="str">
        <v>N/A</v>
      </c>
    </row>
    <row r="129" spans="1:8" hidden="1" x14ac:dyDescent="0.3">
      <c r="A129" t="s">
        <v>44</v>
      </c>
      <c r="B129" t="s">
        <v>155</v>
      </c>
      <c r="C129">
        <v>1</v>
      </c>
      <c r="D129">
        <v>0</v>
      </c>
      <c r="E129" s="33">
        <v>0</v>
      </c>
      <c r="F129" t="s">
        <v>26</v>
      </c>
      <c r="G129" t="s">
        <v>27</v>
      </c>
      <c r="H129" t="str">
        <v>N/A</v>
      </c>
    </row>
    <row r="130" spans="1:8" x14ac:dyDescent="0.3">
      <c r="A130" t="s">
        <v>45</v>
      </c>
      <c r="B130" t="s">
        <v>158</v>
      </c>
      <c r="C130">
        <v>387</v>
      </c>
      <c r="D130">
        <v>191</v>
      </c>
      <c r="E130" s="33">
        <v>0.49354005167958659</v>
      </c>
      <c r="F130" t="s">
        <v>19</v>
      </c>
      <c r="G130">
        <v>24</v>
      </c>
      <c r="H130" t="str">
        <v>B</v>
      </c>
    </row>
    <row r="131" spans="1:8" hidden="1" x14ac:dyDescent="0.3">
      <c r="A131" t="s">
        <v>45</v>
      </c>
      <c r="B131" t="s">
        <v>155</v>
      </c>
      <c r="C131">
        <v>4</v>
      </c>
      <c r="D131">
        <v>3</v>
      </c>
      <c r="E131" s="33">
        <v>0.75</v>
      </c>
      <c r="F131" t="s">
        <v>26</v>
      </c>
      <c r="G131" t="s">
        <v>27</v>
      </c>
      <c r="H131" t="str">
        <v>N/A</v>
      </c>
    </row>
    <row r="132" spans="1:8" x14ac:dyDescent="0.3">
      <c r="A132" t="s">
        <v>45</v>
      </c>
      <c r="B132" t="s">
        <v>18</v>
      </c>
      <c r="C132">
        <v>11</v>
      </c>
      <c r="D132">
        <v>4</v>
      </c>
      <c r="E132" s="33">
        <v>0.36363636363636365</v>
      </c>
      <c r="F132" t="s">
        <v>19</v>
      </c>
      <c r="G132">
        <v>36</v>
      </c>
      <c r="H132" t="str">
        <v>C</v>
      </c>
    </row>
    <row r="133" spans="1:8" hidden="1" x14ac:dyDescent="0.3">
      <c r="A133" t="s">
        <v>45</v>
      </c>
      <c r="B133" t="s">
        <v>157</v>
      </c>
      <c r="C133">
        <v>3</v>
      </c>
      <c r="D133">
        <v>2</v>
      </c>
      <c r="E133" s="33">
        <v>0.66666666666666663</v>
      </c>
      <c r="F133" t="s">
        <v>26</v>
      </c>
      <c r="G133" t="s">
        <v>27</v>
      </c>
      <c r="H133" t="str">
        <v>N/A</v>
      </c>
    </row>
    <row r="134" spans="1:8" x14ac:dyDescent="0.3">
      <c r="A134" t="s">
        <v>46</v>
      </c>
      <c r="B134" t="s">
        <v>156</v>
      </c>
      <c r="C134">
        <v>69</v>
      </c>
      <c r="D134">
        <v>31</v>
      </c>
      <c r="E134" s="33">
        <v>0.44927536231884058</v>
      </c>
      <c r="F134" t="s">
        <v>19</v>
      </c>
      <c r="G134">
        <v>27</v>
      </c>
      <c r="H134" t="str">
        <v>C</v>
      </c>
    </row>
    <row r="135" spans="1:8" x14ac:dyDescent="0.3">
      <c r="A135" t="s">
        <v>46</v>
      </c>
      <c r="B135" t="s">
        <v>159</v>
      </c>
      <c r="C135">
        <v>62</v>
      </c>
      <c r="D135">
        <v>33</v>
      </c>
      <c r="E135" s="33">
        <v>0.532258064516129</v>
      </c>
      <c r="F135" t="s">
        <v>19</v>
      </c>
      <c r="G135">
        <v>10</v>
      </c>
      <c r="H135" t="str">
        <v>B</v>
      </c>
    </row>
    <row r="136" spans="1:8" x14ac:dyDescent="0.3">
      <c r="A136" t="s">
        <v>46</v>
      </c>
      <c r="B136" t="s">
        <v>157</v>
      </c>
      <c r="C136">
        <v>87</v>
      </c>
      <c r="D136">
        <v>49</v>
      </c>
      <c r="E136" s="33">
        <v>0.56321839080459768</v>
      </c>
      <c r="F136" t="s">
        <v>19</v>
      </c>
      <c r="G136">
        <v>14</v>
      </c>
      <c r="H136" t="str">
        <v>A</v>
      </c>
    </row>
    <row r="137" spans="1:8" hidden="1" x14ac:dyDescent="0.3">
      <c r="A137" t="s">
        <v>46</v>
      </c>
      <c r="B137" t="s">
        <v>18</v>
      </c>
      <c r="C137">
        <v>1</v>
      </c>
      <c r="D137">
        <v>0</v>
      </c>
      <c r="E137" s="33">
        <v>0</v>
      </c>
      <c r="F137" t="s">
        <v>26</v>
      </c>
      <c r="G137" t="s">
        <v>27</v>
      </c>
      <c r="H137" t="str">
        <v>N/A</v>
      </c>
    </row>
    <row r="138" spans="1:8" hidden="1" x14ac:dyDescent="0.3">
      <c r="A138" t="s">
        <v>46</v>
      </c>
      <c r="B138" t="s">
        <v>155</v>
      </c>
      <c r="C138">
        <v>1</v>
      </c>
      <c r="D138">
        <v>0</v>
      </c>
      <c r="E138" s="33">
        <v>0</v>
      </c>
      <c r="F138" t="s">
        <v>26</v>
      </c>
      <c r="G138" t="s">
        <v>27</v>
      </c>
      <c r="H138" t="str">
        <v>N/A</v>
      </c>
    </row>
    <row r="139" spans="1:8" x14ac:dyDescent="0.3">
      <c r="A139" t="s">
        <v>47</v>
      </c>
      <c r="B139" t="s">
        <v>18</v>
      </c>
      <c r="C139">
        <v>24</v>
      </c>
      <c r="D139">
        <v>14</v>
      </c>
      <c r="E139" s="33">
        <v>0.58333333333333337</v>
      </c>
      <c r="F139" t="s">
        <v>19</v>
      </c>
      <c r="G139">
        <v>5</v>
      </c>
      <c r="H139" t="str">
        <v>A</v>
      </c>
    </row>
    <row r="140" spans="1:8" hidden="1" x14ac:dyDescent="0.3">
      <c r="A140" t="s">
        <v>47</v>
      </c>
      <c r="B140" t="s">
        <v>156</v>
      </c>
      <c r="C140">
        <v>2</v>
      </c>
      <c r="D140">
        <v>2</v>
      </c>
      <c r="E140" s="33">
        <v>1</v>
      </c>
      <c r="F140" t="s">
        <v>26</v>
      </c>
      <c r="G140" t="s">
        <v>27</v>
      </c>
      <c r="H140" t="str">
        <v>N/A</v>
      </c>
    </row>
    <row r="141" spans="1:8" hidden="1" x14ac:dyDescent="0.3">
      <c r="A141" t="s">
        <v>47</v>
      </c>
      <c r="B141" t="s">
        <v>157</v>
      </c>
      <c r="C141">
        <v>3</v>
      </c>
      <c r="D141">
        <v>2</v>
      </c>
      <c r="E141" s="33">
        <v>0.66666666666666663</v>
      </c>
      <c r="F141" t="s">
        <v>26</v>
      </c>
      <c r="G141" t="s">
        <v>27</v>
      </c>
      <c r="H141" t="str">
        <v>N/A</v>
      </c>
    </row>
    <row r="142" spans="1:8" hidden="1" x14ac:dyDescent="0.3">
      <c r="A142" t="s">
        <v>47</v>
      </c>
      <c r="B142" t="s">
        <v>159</v>
      </c>
      <c r="C142">
        <v>1</v>
      </c>
      <c r="D142">
        <v>1</v>
      </c>
      <c r="E142" s="33">
        <v>1</v>
      </c>
      <c r="F142" t="s">
        <v>26</v>
      </c>
      <c r="G142" t="s">
        <v>27</v>
      </c>
      <c r="H142" t="str">
        <v>N/A</v>
      </c>
    </row>
    <row r="143" spans="1:8" hidden="1" x14ac:dyDescent="0.3">
      <c r="A143" t="s">
        <v>47</v>
      </c>
      <c r="B143" t="s">
        <v>155</v>
      </c>
      <c r="C143">
        <v>1</v>
      </c>
      <c r="D143">
        <v>1</v>
      </c>
      <c r="E143" s="33">
        <v>1</v>
      </c>
      <c r="F143" t="s">
        <v>26</v>
      </c>
      <c r="G143" t="s">
        <v>27</v>
      </c>
      <c r="H143" t="str">
        <v>N/A</v>
      </c>
    </row>
    <row r="144" spans="1:8" hidden="1" x14ac:dyDescent="0.3">
      <c r="A144" t="s">
        <v>47</v>
      </c>
      <c r="B144" t="s">
        <v>158</v>
      </c>
      <c r="C144">
        <v>1</v>
      </c>
      <c r="D144">
        <v>1</v>
      </c>
      <c r="E144" s="33">
        <v>1</v>
      </c>
      <c r="F144" t="s">
        <v>26</v>
      </c>
      <c r="G144" t="s">
        <v>27</v>
      </c>
      <c r="H144" t="str">
        <v>N/A</v>
      </c>
    </row>
    <row r="145" spans="1:8" x14ac:dyDescent="0.3">
      <c r="A145" t="s">
        <v>73</v>
      </c>
      <c r="B145" t="s">
        <v>155</v>
      </c>
      <c r="C145">
        <v>28</v>
      </c>
      <c r="D145">
        <v>15</v>
      </c>
      <c r="E145" s="33">
        <v>0.5357142857142857</v>
      </c>
      <c r="F145" t="s">
        <v>19</v>
      </c>
      <c r="G145">
        <v>10</v>
      </c>
      <c r="H145" t="str">
        <v>B</v>
      </c>
    </row>
    <row r="146" spans="1:8" hidden="1" x14ac:dyDescent="0.3">
      <c r="A146" t="s">
        <v>48</v>
      </c>
      <c r="B146" t="s">
        <v>156</v>
      </c>
      <c r="C146">
        <v>1</v>
      </c>
      <c r="D146">
        <v>1</v>
      </c>
      <c r="E146" s="33">
        <v>1</v>
      </c>
      <c r="F146" t="s">
        <v>26</v>
      </c>
      <c r="G146" t="s">
        <v>27</v>
      </c>
      <c r="H146" t="str">
        <v>N/A</v>
      </c>
    </row>
    <row r="147" spans="1:8" hidden="1" x14ac:dyDescent="0.3">
      <c r="A147" t="s">
        <v>48</v>
      </c>
      <c r="B147" t="s">
        <v>158</v>
      </c>
      <c r="C147">
        <v>1</v>
      </c>
      <c r="D147">
        <v>0</v>
      </c>
      <c r="E147" s="33">
        <v>0</v>
      </c>
      <c r="F147" t="s">
        <v>26</v>
      </c>
      <c r="G147" t="s">
        <v>27</v>
      </c>
      <c r="H147" t="str">
        <v>N/A</v>
      </c>
    </row>
    <row r="148" spans="1:8" hidden="1" x14ac:dyDescent="0.3">
      <c r="A148" t="s">
        <v>48</v>
      </c>
      <c r="B148" t="s">
        <v>18</v>
      </c>
      <c r="C148">
        <v>6</v>
      </c>
      <c r="D148">
        <v>1</v>
      </c>
      <c r="E148" s="33">
        <v>0.16666666666666666</v>
      </c>
      <c r="F148" t="s">
        <v>26</v>
      </c>
      <c r="G148" t="s">
        <v>27</v>
      </c>
      <c r="H148" t="str">
        <v>N/A</v>
      </c>
    </row>
    <row r="149" spans="1:8" hidden="1" x14ac:dyDescent="0.3">
      <c r="A149" t="s">
        <v>48</v>
      </c>
      <c r="B149" t="s">
        <v>157</v>
      </c>
      <c r="C149">
        <v>1</v>
      </c>
      <c r="D149">
        <v>0</v>
      </c>
      <c r="E149" s="33">
        <v>0</v>
      </c>
      <c r="F149" t="s">
        <v>26</v>
      </c>
      <c r="G149" t="s">
        <v>27</v>
      </c>
      <c r="H149" t="str">
        <v>N/A</v>
      </c>
    </row>
    <row r="150" spans="1:8" x14ac:dyDescent="0.3">
      <c r="A150" t="s">
        <v>49</v>
      </c>
      <c r="B150" t="s">
        <v>157</v>
      </c>
      <c r="C150">
        <v>91</v>
      </c>
      <c r="D150">
        <v>52</v>
      </c>
      <c r="E150" s="33">
        <v>0.5714285714285714</v>
      </c>
      <c r="F150" t="s">
        <v>19</v>
      </c>
      <c r="G150">
        <v>9</v>
      </c>
      <c r="H150" t="str">
        <v>A</v>
      </c>
    </row>
    <row r="151" spans="1:8" x14ac:dyDescent="0.3">
      <c r="A151" t="s">
        <v>49</v>
      </c>
      <c r="B151" t="s">
        <v>156</v>
      </c>
      <c r="C151">
        <v>106</v>
      </c>
      <c r="D151">
        <v>52</v>
      </c>
      <c r="E151" s="33">
        <v>0.49056603773584906</v>
      </c>
      <c r="F151" t="s">
        <v>19</v>
      </c>
      <c r="G151">
        <v>20</v>
      </c>
      <c r="H151" t="str">
        <v>B</v>
      </c>
    </row>
    <row r="152" spans="1:8" hidden="1" x14ac:dyDescent="0.3">
      <c r="A152" t="s">
        <v>49</v>
      </c>
      <c r="B152" t="s">
        <v>18</v>
      </c>
      <c r="C152">
        <v>2</v>
      </c>
      <c r="D152">
        <v>0</v>
      </c>
      <c r="E152" s="33">
        <v>0</v>
      </c>
      <c r="F152" t="s">
        <v>26</v>
      </c>
      <c r="G152" t="s">
        <v>27</v>
      </c>
      <c r="H152" t="str">
        <v>N/A</v>
      </c>
    </row>
    <row r="153" spans="1:8" x14ac:dyDescent="0.3">
      <c r="A153" t="s">
        <v>49</v>
      </c>
      <c r="B153" t="s">
        <v>159</v>
      </c>
      <c r="C153">
        <v>34</v>
      </c>
      <c r="D153">
        <v>13</v>
      </c>
      <c r="E153" s="33">
        <v>0.38235294117647056</v>
      </c>
      <c r="F153" t="s">
        <v>19</v>
      </c>
      <c r="G153">
        <v>24</v>
      </c>
      <c r="H153" t="str">
        <v>C</v>
      </c>
    </row>
    <row r="154" spans="1:8" hidden="1" x14ac:dyDescent="0.3">
      <c r="A154" t="s">
        <v>49</v>
      </c>
      <c r="B154" t="s">
        <v>158</v>
      </c>
      <c r="C154">
        <v>2</v>
      </c>
      <c r="D154">
        <v>1</v>
      </c>
      <c r="E154" s="33">
        <v>0.5</v>
      </c>
      <c r="F154" t="s">
        <v>26</v>
      </c>
      <c r="G154" t="s">
        <v>27</v>
      </c>
      <c r="H154" t="str">
        <v>N/A</v>
      </c>
    </row>
    <row r="155" spans="1:8" x14ac:dyDescent="0.3">
      <c r="A155" t="s">
        <v>102</v>
      </c>
      <c r="B155" t="s">
        <v>155</v>
      </c>
      <c r="C155">
        <v>290</v>
      </c>
      <c r="D155">
        <v>154</v>
      </c>
      <c r="E155" s="33">
        <v>0.53103448275862064</v>
      </c>
      <c r="F155" t="s">
        <v>19</v>
      </c>
      <c r="G155">
        <v>11</v>
      </c>
      <c r="H155" t="str">
        <v>B</v>
      </c>
    </row>
    <row r="156" spans="1:8" hidden="1" x14ac:dyDescent="0.3">
      <c r="A156" t="s">
        <v>127</v>
      </c>
      <c r="B156" t="s">
        <v>157</v>
      </c>
      <c r="C156">
        <v>4</v>
      </c>
      <c r="D156">
        <v>1</v>
      </c>
      <c r="E156" s="33">
        <v>0.25</v>
      </c>
      <c r="F156" t="s">
        <v>26</v>
      </c>
      <c r="G156" t="s">
        <v>27</v>
      </c>
      <c r="H156" t="str">
        <v>N/A</v>
      </c>
    </row>
    <row r="157" spans="1:8" hidden="1" x14ac:dyDescent="0.3">
      <c r="A157" t="s">
        <v>127</v>
      </c>
      <c r="B157" t="s">
        <v>159</v>
      </c>
      <c r="C157">
        <v>1</v>
      </c>
      <c r="D157">
        <v>0</v>
      </c>
      <c r="E157" s="33">
        <v>0</v>
      </c>
      <c r="F157" t="s">
        <v>26</v>
      </c>
      <c r="G157" t="s">
        <v>27</v>
      </c>
      <c r="H157" t="str">
        <v>N/A</v>
      </c>
    </row>
    <row r="158" spans="1:8" hidden="1" x14ac:dyDescent="0.3">
      <c r="A158" t="s">
        <v>127</v>
      </c>
      <c r="B158" t="s">
        <v>156</v>
      </c>
      <c r="C158">
        <v>1</v>
      </c>
      <c r="D158">
        <v>0</v>
      </c>
      <c r="E158" s="33">
        <v>0</v>
      </c>
      <c r="F158" t="s">
        <v>26</v>
      </c>
      <c r="G158" t="s">
        <v>27</v>
      </c>
      <c r="H158" t="str">
        <v>N/A</v>
      </c>
    </row>
    <row r="159" spans="1:8" x14ac:dyDescent="0.3">
      <c r="A159" t="s">
        <v>50</v>
      </c>
      <c r="B159" t="s">
        <v>157</v>
      </c>
      <c r="C159">
        <v>236</v>
      </c>
      <c r="D159">
        <v>119</v>
      </c>
      <c r="E159" s="33">
        <v>0.50423728813559321</v>
      </c>
      <c r="F159" t="s">
        <v>19</v>
      </c>
      <c r="G159">
        <v>21</v>
      </c>
      <c r="H159" t="str">
        <v>B</v>
      </c>
    </row>
    <row r="160" spans="1:8" hidden="1" x14ac:dyDescent="0.3">
      <c r="A160" t="s">
        <v>50</v>
      </c>
      <c r="B160" t="s">
        <v>158</v>
      </c>
      <c r="C160">
        <v>1</v>
      </c>
      <c r="D160">
        <v>1</v>
      </c>
      <c r="E160" s="33">
        <v>1</v>
      </c>
      <c r="F160" t="s">
        <v>26</v>
      </c>
      <c r="G160" t="s">
        <v>27</v>
      </c>
      <c r="H160" t="str">
        <v>N/A</v>
      </c>
    </row>
    <row r="161" spans="1:8" x14ac:dyDescent="0.3">
      <c r="A161" t="s">
        <v>50</v>
      </c>
      <c r="B161" t="s">
        <v>159</v>
      </c>
      <c r="C161">
        <v>139</v>
      </c>
      <c r="D161">
        <v>76</v>
      </c>
      <c r="E161" s="33">
        <v>0.5467625899280576</v>
      </c>
      <c r="F161" t="s">
        <v>19</v>
      </c>
      <c r="G161">
        <v>8</v>
      </c>
      <c r="H161" t="str">
        <v>B</v>
      </c>
    </row>
    <row r="162" spans="1:8" x14ac:dyDescent="0.3">
      <c r="A162" t="s">
        <v>50</v>
      </c>
      <c r="B162" t="s">
        <v>156</v>
      </c>
      <c r="C162">
        <v>159</v>
      </c>
      <c r="D162">
        <v>86</v>
      </c>
      <c r="E162" s="33">
        <v>0.54088050314465408</v>
      </c>
      <c r="F162" t="s">
        <v>19</v>
      </c>
      <c r="G162">
        <v>12</v>
      </c>
      <c r="H162" t="str">
        <v>B</v>
      </c>
    </row>
    <row r="163" spans="1:8" hidden="1" x14ac:dyDescent="0.3">
      <c r="A163" t="s">
        <v>50</v>
      </c>
      <c r="B163" t="s">
        <v>18</v>
      </c>
      <c r="C163">
        <v>5</v>
      </c>
      <c r="D163">
        <v>2</v>
      </c>
      <c r="E163" s="33">
        <v>0.4</v>
      </c>
      <c r="F163" t="s">
        <v>26</v>
      </c>
      <c r="G163" t="s">
        <v>27</v>
      </c>
      <c r="H163" t="str">
        <v>N/A</v>
      </c>
    </row>
    <row r="164" spans="1:8" hidden="1" x14ac:dyDescent="0.3">
      <c r="A164" t="s">
        <v>50</v>
      </c>
      <c r="B164" t="s">
        <v>155</v>
      </c>
      <c r="C164">
        <v>3</v>
      </c>
      <c r="D164">
        <v>1</v>
      </c>
      <c r="E164" s="33">
        <v>0.33333333333333331</v>
      </c>
      <c r="F164" t="s">
        <v>26</v>
      </c>
      <c r="G164" t="s">
        <v>27</v>
      </c>
      <c r="H164" t="str">
        <v>N/A</v>
      </c>
    </row>
    <row r="165" spans="1:8" x14ac:dyDescent="0.3">
      <c r="A165" t="s">
        <v>51</v>
      </c>
      <c r="B165" t="s">
        <v>158</v>
      </c>
      <c r="C165">
        <v>99</v>
      </c>
      <c r="D165">
        <v>60</v>
      </c>
      <c r="E165" s="33">
        <v>0.60606060606060608</v>
      </c>
      <c r="F165" t="s">
        <v>19</v>
      </c>
      <c r="G165">
        <v>5</v>
      </c>
      <c r="H165" t="str">
        <v>A</v>
      </c>
    </row>
    <row r="166" spans="1:8" hidden="1" x14ac:dyDescent="0.3">
      <c r="A166" t="s">
        <v>51</v>
      </c>
      <c r="B166" t="s">
        <v>155</v>
      </c>
      <c r="C166">
        <v>6</v>
      </c>
      <c r="D166">
        <v>3</v>
      </c>
      <c r="E166" s="33">
        <v>0.5</v>
      </c>
      <c r="F166" t="s">
        <v>26</v>
      </c>
      <c r="G166" t="s">
        <v>27</v>
      </c>
      <c r="H166" t="str">
        <v>N/A</v>
      </c>
    </row>
    <row r="167" spans="1:8" hidden="1" x14ac:dyDescent="0.3">
      <c r="A167" t="s">
        <v>51</v>
      </c>
      <c r="B167" t="s">
        <v>18</v>
      </c>
      <c r="C167">
        <v>3</v>
      </c>
      <c r="D167">
        <v>3</v>
      </c>
      <c r="E167" s="33">
        <v>1</v>
      </c>
      <c r="F167" t="s">
        <v>26</v>
      </c>
      <c r="G167" t="s">
        <v>27</v>
      </c>
      <c r="H167" t="str">
        <v>N/A</v>
      </c>
    </row>
    <row r="168" spans="1:8" hidden="1" x14ac:dyDescent="0.3">
      <c r="A168" t="s">
        <v>51</v>
      </c>
      <c r="B168" t="s">
        <v>157</v>
      </c>
      <c r="C168">
        <v>2</v>
      </c>
      <c r="D168">
        <v>1</v>
      </c>
      <c r="E168" s="33">
        <v>0.5</v>
      </c>
      <c r="F168" t="s">
        <v>26</v>
      </c>
      <c r="G168" t="s">
        <v>27</v>
      </c>
      <c r="H168" t="str">
        <v>N/A</v>
      </c>
    </row>
    <row r="169" spans="1:8" hidden="1" x14ac:dyDescent="0.3">
      <c r="A169" t="s">
        <v>51</v>
      </c>
      <c r="B169" t="s">
        <v>159</v>
      </c>
      <c r="C169">
        <v>1</v>
      </c>
      <c r="D169">
        <v>1</v>
      </c>
      <c r="E169" s="33">
        <v>1</v>
      </c>
      <c r="F169" t="s">
        <v>26</v>
      </c>
      <c r="G169" t="s">
        <v>27</v>
      </c>
      <c r="H169" t="str">
        <v>N/A</v>
      </c>
    </row>
    <row r="170" spans="1:8" x14ac:dyDescent="0.3">
      <c r="A170" t="s">
        <v>128</v>
      </c>
      <c r="B170" t="s">
        <v>157</v>
      </c>
      <c r="C170">
        <v>15</v>
      </c>
      <c r="D170">
        <v>7</v>
      </c>
      <c r="E170" s="33">
        <v>0.46666666666666667</v>
      </c>
      <c r="F170" t="s">
        <v>19</v>
      </c>
      <c r="G170">
        <v>31</v>
      </c>
      <c r="H170" t="str">
        <v>C</v>
      </c>
    </row>
    <row r="171" spans="1:8" x14ac:dyDescent="0.3">
      <c r="A171" t="s">
        <v>128</v>
      </c>
      <c r="B171" t="s">
        <v>158</v>
      </c>
      <c r="C171">
        <v>200</v>
      </c>
      <c r="D171">
        <v>92</v>
      </c>
      <c r="E171" s="33">
        <v>0.46</v>
      </c>
      <c r="F171" t="s">
        <v>19</v>
      </c>
      <c r="G171">
        <v>31</v>
      </c>
      <c r="H171" t="str">
        <v>C</v>
      </c>
    </row>
    <row r="172" spans="1:8" hidden="1" x14ac:dyDescent="0.3">
      <c r="A172" t="s">
        <v>128</v>
      </c>
      <c r="B172" t="s">
        <v>156</v>
      </c>
      <c r="C172">
        <v>5</v>
      </c>
      <c r="D172">
        <v>3</v>
      </c>
      <c r="E172" s="33">
        <v>0.6</v>
      </c>
      <c r="F172" t="s">
        <v>26</v>
      </c>
      <c r="G172" t="s">
        <v>27</v>
      </c>
      <c r="H172" t="str">
        <v>N/A</v>
      </c>
    </row>
    <row r="173" spans="1:8" x14ac:dyDescent="0.3">
      <c r="A173" t="s">
        <v>52</v>
      </c>
      <c r="B173" t="s">
        <v>156</v>
      </c>
      <c r="C173">
        <v>68</v>
      </c>
      <c r="D173">
        <v>37</v>
      </c>
      <c r="E173" s="33">
        <v>0.54411764705882348</v>
      </c>
      <c r="F173" t="s">
        <v>19</v>
      </c>
      <c r="G173">
        <v>11</v>
      </c>
      <c r="H173" t="str">
        <v>B</v>
      </c>
    </row>
    <row r="174" spans="1:8" x14ac:dyDescent="0.3">
      <c r="A174" t="s">
        <v>52</v>
      </c>
      <c r="B174" t="s">
        <v>157</v>
      </c>
      <c r="C174">
        <v>60</v>
      </c>
      <c r="D174">
        <v>34</v>
      </c>
      <c r="E174" s="33">
        <v>0.56666666666666665</v>
      </c>
      <c r="F174" t="s">
        <v>19</v>
      </c>
      <c r="G174">
        <v>13</v>
      </c>
      <c r="H174" t="str">
        <v>A</v>
      </c>
    </row>
    <row r="175" spans="1:8" hidden="1" x14ac:dyDescent="0.3">
      <c r="A175" t="s">
        <v>52</v>
      </c>
      <c r="B175" t="s">
        <v>158</v>
      </c>
      <c r="C175">
        <v>1</v>
      </c>
      <c r="D175">
        <v>0</v>
      </c>
      <c r="E175" s="33">
        <v>0</v>
      </c>
      <c r="F175" t="s">
        <v>26</v>
      </c>
      <c r="G175" t="s">
        <v>27</v>
      </c>
      <c r="H175" t="str">
        <v>N/A</v>
      </c>
    </row>
    <row r="176" spans="1:8" hidden="1" x14ac:dyDescent="0.3">
      <c r="A176" t="s">
        <v>52</v>
      </c>
      <c r="B176" t="s">
        <v>159</v>
      </c>
      <c r="C176">
        <v>8</v>
      </c>
      <c r="D176">
        <v>5</v>
      </c>
      <c r="E176" s="33">
        <v>0.625</v>
      </c>
      <c r="F176" t="s">
        <v>26</v>
      </c>
      <c r="G176" t="s">
        <v>27</v>
      </c>
      <c r="H176" t="str">
        <v>N/A</v>
      </c>
    </row>
    <row r="177" spans="1:8" hidden="1" x14ac:dyDescent="0.3">
      <c r="A177" t="s">
        <v>52</v>
      </c>
      <c r="B177" t="s">
        <v>18</v>
      </c>
      <c r="C177">
        <v>1</v>
      </c>
      <c r="D177">
        <v>0</v>
      </c>
      <c r="E177" s="33">
        <v>0</v>
      </c>
      <c r="F177" t="s">
        <v>26</v>
      </c>
      <c r="G177" t="s">
        <v>27</v>
      </c>
      <c r="H177" t="str">
        <v>N/A</v>
      </c>
    </row>
    <row r="178" spans="1:8" hidden="1" x14ac:dyDescent="0.3">
      <c r="A178" t="s">
        <v>52</v>
      </c>
      <c r="B178" t="s">
        <v>155</v>
      </c>
      <c r="C178">
        <v>1</v>
      </c>
      <c r="D178">
        <v>1</v>
      </c>
      <c r="E178" s="33">
        <v>1</v>
      </c>
      <c r="F178" t="s">
        <v>26</v>
      </c>
      <c r="G178" t="s">
        <v>27</v>
      </c>
      <c r="H178" t="str">
        <v>N/A</v>
      </c>
    </row>
    <row r="179" spans="1:8" x14ac:dyDescent="0.3">
      <c r="A179" t="s">
        <v>53</v>
      </c>
      <c r="B179" t="s">
        <v>156</v>
      </c>
      <c r="C179">
        <v>208</v>
      </c>
      <c r="D179">
        <v>107</v>
      </c>
      <c r="E179" s="33">
        <v>0.51442307692307687</v>
      </c>
      <c r="F179" t="s">
        <v>19</v>
      </c>
      <c r="G179">
        <v>17</v>
      </c>
      <c r="H179" t="str">
        <v>B</v>
      </c>
    </row>
    <row r="180" spans="1:8" x14ac:dyDescent="0.3">
      <c r="A180" t="s">
        <v>53</v>
      </c>
      <c r="B180" t="s">
        <v>157</v>
      </c>
      <c r="C180">
        <v>159</v>
      </c>
      <c r="D180">
        <v>78</v>
      </c>
      <c r="E180" s="33">
        <v>0.49056603773584906</v>
      </c>
      <c r="F180" t="s">
        <v>19</v>
      </c>
      <c r="G180">
        <v>27</v>
      </c>
      <c r="H180" t="str">
        <v>B</v>
      </c>
    </row>
    <row r="181" spans="1:8" x14ac:dyDescent="0.3">
      <c r="A181" t="s">
        <v>53</v>
      </c>
      <c r="B181" t="s">
        <v>159</v>
      </c>
      <c r="C181">
        <v>57</v>
      </c>
      <c r="D181">
        <v>29</v>
      </c>
      <c r="E181" s="33">
        <v>0.50877192982456143</v>
      </c>
      <c r="F181" t="s">
        <v>19</v>
      </c>
      <c r="G181">
        <v>11</v>
      </c>
      <c r="H181" t="str">
        <v>B</v>
      </c>
    </row>
    <row r="182" spans="1:8" hidden="1" x14ac:dyDescent="0.3">
      <c r="A182" t="s">
        <v>53</v>
      </c>
      <c r="B182" t="s">
        <v>155</v>
      </c>
      <c r="C182">
        <v>1</v>
      </c>
      <c r="D182">
        <v>0</v>
      </c>
      <c r="E182" s="33">
        <v>0</v>
      </c>
      <c r="F182" t="s">
        <v>26</v>
      </c>
      <c r="G182" t="s">
        <v>27</v>
      </c>
      <c r="H182" t="str">
        <v>N/A</v>
      </c>
    </row>
    <row r="183" spans="1:8" hidden="1" x14ac:dyDescent="0.3">
      <c r="A183" t="s">
        <v>53</v>
      </c>
      <c r="B183" t="s">
        <v>18</v>
      </c>
      <c r="C183">
        <v>3</v>
      </c>
      <c r="D183">
        <v>1</v>
      </c>
      <c r="E183" s="33">
        <v>0.33333333333333331</v>
      </c>
      <c r="F183" t="s">
        <v>26</v>
      </c>
      <c r="G183" t="s">
        <v>27</v>
      </c>
      <c r="H183" t="str">
        <v>N/A</v>
      </c>
    </row>
    <row r="184" spans="1:8" hidden="1" x14ac:dyDescent="0.3">
      <c r="A184" t="s">
        <v>53</v>
      </c>
      <c r="B184" t="s">
        <v>158</v>
      </c>
      <c r="C184">
        <v>1</v>
      </c>
      <c r="D184">
        <v>0</v>
      </c>
      <c r="E184" s="33">
        <v>0</v>
      </c>
      <c r="F184" t="s">
        <v>26</v>
      </c>
      <c r="G184" t="s">
        <v>27</v>
      </c>
      <c r="H184" t="str">
        <v>N/A</v>
      </c>
    </row>
    <row r="185" spans="1:8" x14ac:dyDescent="0.3">
      <c r="A185" t="s">
        <v>42</v>
      </c>
      <c r="B185" t="s">
        <v>155</v>
      </c>
      <c r="C185">
        <v>52</v>
      </c>
      <c r="D185">
        <v>27</v>
      </c>
      <c r="E185" s="33">
        <v>0.51923076923076927</v>
      </c>
      <c r="F185" t="s">
        <v>19</v>
      </c>
      <c r="G185">
        <v>11</v>
      </c>
      <c r="H185" t="str">
        <v>B</v>
      </c>
    </row>
    <row r="186" spans="1:8" x14ac:dyDescent="0.3">
      <c r="A186" t="s">
        <v>54</v>
      </c>
      <c r="B186" t="s">
        <v>157</v>
      </c>
      <c r="C186">
        <v>54</v>
      </c>
      <c r="D186">
        <v>27</v>
      </c>
      <c r="E186" s="33">
        <v>0.5</v>
      </c>
      <c r="F186" t="s">
        <v>19</v>
      </c>
      <c r="G186">
        <v>22</v>
      </c>
      <c r="H186" t="str">
        <v>B</v>
      </c>
    </row>
    <row r="187" spans="1:8" x14ac:dyDescent="0.3">
      <c r="A187" t="s">
        <v>54</v>
      </c>
      <c r="B187" t="s">
        <v>158</v>
      </c>
      <c r="C187">
        <v>76</v>
      </c>
      <c r="D187">
        <v>40</v>
      </c>
      <c r="E187" s="33">
        <v>0.52631578947368418</v>
      </c>
      <c r="F187" t="s">
        <v>19</v>
      </c>
      <c r="G187">
        <v>18</v>
      </c>
      <c r="H187" t="str">
        <v>B</v>
      </c>
    </row>
    <row r="188" spans="1:8" x14ac:dyDescent="0.3">
      <c r="A188" t="s">
        <v>54</v>
      </c>
      <c r="B188" t="s">
        <v>159</v>
      </c>
      <c r="C188">
        <v>18</v>
      </c>
      <c r="D188">
        <v>9</v>
      </c>
      <c r="E188" s="33">
        <v>0.5</v>
      </c>
      <c r="F188" t="s">
        <v>19</v>
      </c>
      <c r="G188">
        <v>12</v>
      </c>
      <c r="H188" t="str">
        <v>B</v>
      </c>
    </row>
    <row r="189" spans="1:8" x14ac:dyDescent="0.3">
      <c r="A189" t="s">
        <v>54</v>
      </c>
      <c r="B189" t="s">
        <v>156</v>
      </c>
      <c r="C189">
        <v>15</v>
      </c>
      <c r="D189">
        <v>11</v>
      </c>
      <c r="E189" s="33">
        <v>0.73333333333333328</v>
      </c>
      <c r="F189" t="s">
        <v>19</v>
      </c>
      <c r="G189">
        <v>2</v>
      </c>
      <c r="H189" t="str">
        <v>S</v>
      </c>
    </row>
    <row r="190" spans="1:8" hidden="1" x14ac:dyDescent="0.3">
      <c r="A190" t="s">
        <v>54</v>
      </c>
      <c r="B190" t="s">
        <v>18</v>
      </c>
      <c r="C190">
        <v>5</v>
      </c>
      <c r="D190">
        <v>3</v>
      </c>
      <c r="E190" s="33">
        <v>0.6</v>
      </c>
      <c r="F190" t="s">
        <v>26</v>
      </c>
      <c r="G190" t="s">
        <v>27</v>
      </c>
      <c r="H190" t="str">
        <v>N/A</v>
      </c>
    </row>
    <row r="191" spans="1:8" x14ac:dyDescent="0.3">
      <c r="A191" t="s">
        <v>24</v>
      </c>
      <c r="B191" t="s">
        <v>155</v>
      </c>
      <c r="C191">
        <v>106</v>
      </c>
      <c r="D191">
        <v>55</v>
      </c>
      <c r="E191" s="33">
        <v>0.51886792452830188</v>
      </c>
      <c r="F191" t="s">
        <v>19</v>
      </c>
      <c r="G191">
        <v>12</v>
      </c>
      <c r="H191" t="str">
        <v>B</v>
      </c>
    </row>
    <row r="192" spans="1:8" x14ac:dyDescent="0.3">
      <c r="A192" t="s">
        <v>55</v>
      </c>
      <c r="B192" t="s">
        <v>158</v>
      </c>
      <c r="C192">
        <v>46</v>
      </c>
      <c r="D192">
        <v>27</v>
      </c>
      <c r="E192" s="33">
        <v>0.58695652173913049</v>
      </c>
      <c r="F192" t="s">
        <v>19</v>
      </c>
      <c r="G192">
        <v>8</v>
      </c>
      <c r="H192" t="str">
        <v>A</v>
      </c>
    </row>
    <row r="193" spans="1:8" hidden="1" x14ac:dyDescent="0.3">
      <c r="A193" t="s">
        <v>55</v>
      </c>
      <c r="B193" t="s">
        <v>18</v>
      </c>
      <c r="C193">
        <v>2</v>
      </c>
      <c r="D193">
        <v>2</v>
      </c>
      <c r="E193" s="33">
        <v>1</v>
      </c>
      <c r="F193" t="s">
        <v>26</v>
      </c>
      <c r="G193" t="s">
        <v>27</v>
      </c>
      <c r="H193" t="str">
        <v>N/A</v>
      </c>
    </row>
    <row r="194" spans="1:8" x14ac:dyDescent="0.3">
      <c r="A194" t="s">
        <v>56</v>
      </c>
      <c r="B194" t="s">
        <v>18</v>
      </c>
      <c r="C194">
        <v>58</v>
      </c>
      <c r="D194">
        <v>33</v>
      </c>
      <c r="E194" s="33">
        <v>0.56896551724137934</v>
      </c>
      <c r="F194" t="s">
        <v>19</v>
      </c>
      <c r="G194">
        <v>7</v>
      </c>
      <c r="H194" t="str">
        <v>A</v>
      </c>
    </row>
    <row r="195" spans="1:8" x14ac:dyDescent="0.3">
      <c r="A195" t="s">
        <v>56</v>
      </c>
      <c r="B195" t="s">
        <v>158</v>
      </c>
      <c r="C195">
        <v>79</v>
      </c>
      <c r="D195">
        <v>43</v>
      </c>
      <c r="E195" s="33">
        <v>0.54430379746835444</v>
      </c>
      <c r="F195" t="s">
        <v>19</v>
      </c>
      <c r="G195">
        <v>13</v>
      </c>
      <c r="H195" t="str">
        <v>B</v>
      </c>
    </row>
    <row r="196" spans="1:8" hidden="1" x14ac:dyDescent="0.3">
      <c r="A196" t="s">
        <v>56</v>
      </c>
      <c r="B196" t="s">
        <v>157</v>
      </c>
      <c r="C196">
        <v>1</v>
      </c>
      <c r="D196">
        <v>1</v>
      </c>
      <c r="E196" s="33">
        <v>1</v>
      </c>
      <c r="F196" t="s">
        <v>26</v>
      </c>
      <c r="G196" t="s">
        <v>27</v>
      </c>
      <c r="H196" t="str">
        <v>N/A</v>
      </c>
    </row>
    <row r="197" spans="1:8" hidden="1" x14ac:dyDescent="0.3">
      <c r="A197" t="s">
        <v>56</v>
      </c>
      <c r="B197" t="s">
        <v>155</v>
      </c>
      <c r="C197">
        <v>8</v>
      </c>
      <c r="D197">
        <v>5</v>
      </c>
      <c r="E197" s="33">
        <v>0.625</v>
      </c>
      <c r="F197" t="s">
        <v>26</v>
      </c>
      <c r="G197" t="s">
        <v>27</v>
      </c>
      <c r="H197" t="str">
        <v>N/A</v>
      </c>
    </row>
    <row r="198" spans="1:8" x14ac:dyDescent="0.3">
      <c r="A198" t="s">
        <v>57</v>
      </c>
      <c r="B198" t="s">
        <v>18</v>
      </c>
      <c r="C198">
        <v>60</v>
      </c>
      <c r="D198">
        <v>33</v>
      </c>
      <c r="E198" s="33">
        <v>0.55000000000000004</v>
      </c>
      <c r="F198" t="s">
        <v>19</v>
      </c>
      <c r="G198">
        <v>10</v>
      </c>
      <c r="H198" t="str">
        <v>A</v>
      </c>
    </row>
    <row r="199" spans="1:8" x14ac:dyDescent="0.3">
      <c r="A199" t="s">
        <v>57</v>
      </c>
      <c r="B199" t="s">
        <v>157</v>
      </c>
      <c r="C199">
        <v>16</v>
      </c>
      <c r="D199">
        <v>11</v>
      </c>
      <c r="E199" s="33">
        <v>0.6875</v>
      </c>
      <c r="F199" t="s">
        <v>19</v>
      </c>
      <c r="G199">
        <v>4</v>
      </c>
      <c r="H199" t="str">
        <v>S</v>
      </c>
    </row>
    <row r="200" spans="1:8" x14ac:dyDescent="0.3">
      <c r="A200" t="s">
        <v>57</v>
      </c>
      <c r="B200" t="s">
        <v>156</v>
      </c>
      <c r="C200">
        <v>19</v>
      </c>
      <c r="D200">
        <v>10</v>
      </c>
      <c r="E200" s="33">
        <v>0.52631578947368418</v>
      </c>
      <c r="F200" t="s">
        <v>19</v>
      </c>
      <c r="G200">
        <v>14</v>
      </c>
      <c r="H200" t="str">
        <v>B</v>
      </c>
    </row>
    <row r="201" spans="1:8" hidden="1" x14ac:dyDescent="0.3">
      <c r="A201" t="s">
        <v>57</v>
      </c>
      <c r="B201" t="s">
        <v>159</v>
      </c>
      <c r="C201">
        <v>9</v>
      </c>
      <c r="D201">
        <v>1</v>
      </c>
      <c r="E201" s="33">
        <v>0.1111111111111111</v>
      </c>
      <c r="F201" t="s">
        <v>26</v>
      </c>
      <c r="G201" t="s">
        <v>27</v>
      </c>
      <c r="H201" t="str">
        <v>N/A</v>
      </c>
    </row>
    <row r="202" spans="1:8" hidden="1" x14ac:dyDescent="0.3">
      <c r="A202" t="s">
        <v>57</v>
      </c>
      <c r="B202" t="s">
        <v>155</v>
      </c>
      <c r="C202">
        <v>2</v>
      </c>
      <c r="D202">
        <v>2</v>
      </c>
      <c r="E202" s="33">
        <v>1</v>
      </c>
      <c r="F202" t="s">
        <v>26</v>
      </c>
      <c r="G202" t="s">
        <v>27</v>
      </c>
      <c r="H202" t="str">
        <v>N/A</v>
      </c>
    </row>
    <row r="203" spans="1:8" x14ac:dyDescent="0.3">
      <c r="A203" t="s">
        <v>58</v>
      </c>
      <c r="B203" t="s">
        <v>18</v>
      </c>
      <c r="C203">
        <v>97</v>
      </c>
      <c r="D203">
        <v>51</v>
      </c>
      <c r="E203" s="33">
        <v>0.52577319587628868</v>
      </c>
      <c r="F203" t="s">
        <v>19</v>
      </c>
      <c r="G203">
        <v>15</v>
      </c>
      <c r="H203" t="str">
        <v>B</v>
      </c>
    </row>
    <row r="204" spans="1:8" hidden="1" x14ac:dyDescent="0.3">
      <c r="A204" t="s">
        <v>58</v>
      </c>
      <c r="B204" t="s">
        <v>158</v>
      </c>
      <c r="C204">
        <v>2</v>
      </c>
      <c r="D204">
        <v>0</v>
      </c>
      <c r="E204" s="33">
        <v>0</v>
      </c>
      <c r="F204" t="s">
        <v>26</v>
      </c>
      <c r="G204" t="s">
        <v>27</v>
      </c>
      <c r="H204" t="str">
        <v>N/A</v>
      </c>
    </row>
    <row r="205" spans="1:8" hidden="1" x14ac:dyDescent="0.3">
      <c r="A205" t="s">
        <v>58</v>
      </c>
      <c r="B205" t="s">
        <v>157</v>
      </c>
      <c r="C205">
        <v>6</v>
      </c>
      <c r="D205">
        <v>2</v>
      </c>
      <c r="E205" s="33">
        <v>0.33333333333333331</v>
      </c>
      <c r="F205" t="s">
        <v>26</v>
      </c>
      <c r="G205" t="s">
        <v>27</v>
      </c>
      <c r="H205" t="str">
        <v>N/A</v>
      </c>
    </row>
    <row r="206" spans="1:8" hidden="1" x14ac:dyDescent="0.3">
      <c r="A206" t="s">
        <v>58</v>
      </c>
      <c r="B206" t="s">
        <v>156</v>
      </c>
      <c r="C206">
        <v>1</v>
      </c>
      <c r="D206">
        <v>1</v>
      </c>
      <c r="E206" s="33">
        <v>1</v>
      </c>
      <c r="F206" t="s">
        <v>26</v>
      </c>
      <c r="G206" t="s">
        <v>27</v>
      </c>
      <c r="H206" t="str">
        <v>N/A</v>
      </c>
    </row>
    <row r="207" spans="1:8" x14ac:dyDescent="0.3">
      <c r="A207" t="s">
        <v>59</v>
      </c>
      <c r="B207" t="s">
        <v>158</v>
      </c>
      <c r="C207">
        <v>71</v>
      </c>
      <c r="D207">
        <v>37</v>
      </c>
      <c r="E207" s="33">
        <v>0.52112676056338025</v>
      </c>
      <c r="F207" t="s">
        <v>19</v>
      </c>
      <c r="G207">
        <v>19</v>
      </c>
      <c r="H207" t="str">
        <v>B</v>
      </c>
    </row>
    <row r="208" spans="1:8" hidden="1" x14ac:dyDescent="0.3">
      <c r="A208" t="s">
        <v>59</v>
      </c>
      <c r="B208" t="s">
        <v>155</v>
      </c>
      <c r="C208">
        <v>5</v>
      </c>
      <c r="D208">
        <v>3</v>
      </c>
      <c r="E208" s="33">
        <v>0.6</v>
      </c>
      <c r="F208" t="s">
        <v>26</v>
      </c>
      <c r="G208" t="s">
        <v>27</v>
      </c>
      <c r="H208" t="str">
        <v>N/A</v>
      </c>
    </row>
    <row r="209" spans="1:8" hidden="1" x14ac:dyDescent="0.3">
      <c r="A209" t="s">
        <v>59</v>
      </c>
      <c r="B209" t="s">
        <v>157</v>
      </c>
      <c r="C209">
        <v>8</v>
      </c>
      <c r="D209">
        <v>5</v>
      </c>
      <c r="E209" s="33">
        <v>0.625</v>
      </c>
      <c r="F209" t="s">
        <v>26</v>
      </c>
      <c r="G209" t="s">
        <v>27</v>
      </c>
      <c r="H209" t="str">
        <v>N/A</v>
      </c>
    </row>
    <row r="210" spans="1:8" hidden="1" x14ac:dyDescent="0.3">
      <c r="A210" t="s">
        <v>59</v>
      </c>
      <c r="B210" t="s">
        <v>159</v>
      </c>
      <c r="C210">
        <v>4</v>
      </c>
      <c r="D210">
        <v>2</v>
      </c>
      <c r="E210" s="33">
        <v>0.5</v>
      </c>
      <c r="F210" t="s">
        <v>26</v>
      </c>
      <c r="G210" t="s">
        <v>27</v>
      </c>
      <c r="H210" t="str">
        <v>N/A</v>
      </c>
    </row>
    <row r="211" spans="1:8" hidden="1" x14ac:dyDescent="0.3">
      <c r="A211" t="s">
        <v>59</v>
      </c>
      <c r="B211" t="s">
        <v>18</v>
      </c>
      <c r="C211">
        <v>3</v>
      </c>
      <c r="D211">
        <v>1</v>
      </c>
      <c r="E211" s="33">
        <v>0.33333333333333331</v>
      </c>
      <c r="F211" t="s">
        <v>26</v>
      </c>
      <c r="G211" t="s">
        <v>27</v>
      </c>
      <c r="H211" t="str">
        <v>N/A</v>
      </c>
    </row>
    <row r="212" spans="1:8" x14ac:dyDescent="0.3">
      <c r="A212" t="s">
        <v>130</v>
      </c>
      <c r="B212" t="s">
        <v>157</v>
      </c>
      <c r="C212">
        <v>135</v>
      </c>
      <c r="D212">
        <v>61</v>
      </c>
      <c r="E212" s="33">
        <v>0.45185185185185184</v>
      </c>
      <c r="F212" t="s">
        <v>19</v>
      </c>
      <c r="G212">
        <v>33</v>
      </c>
      <c r="H212" t="str">
        <v>C</v>
      </c>
    </row>
    <row r="213" spans="1:8" x14ac:dyDescent="0.3">
      <c r="A213" t="s">
        <v>130</v>
      </c>
      <c r="B213" t="s">
        <v>156</v>
      </c>
      <c r="C213">
        <v>152</v>
      </c>
      <c r="D213">
        <v>80</v>
      </c>
      <c r="E213" s="33">
        <v>0.52631578947368418</v>
      </c>
      <c r="F213" t="s">
        <v>19</v>
      </c>
      <c r="G213">
        <v>14</v>
      </c>
      <c r="H213" t="str">
        <v>B</v>
      </c>
    </row>
    <row r="214" spans="1:8" x14ac:dyDescent="0.3">
      <c r="A214" t="s">
        <v>130</v>
      </c>
      <c r="B214" t="s">
        <v>159</v>
      </c>
      <c r="C214">
        <v>12</v>
      </c>
      <c r="D214">
        <v>4</v>
      </c>
      <c r="E214" s="33">
        <v>0.33333333333333331</v>
      </c>
      <c r="F214" t="s">
        <v>19</v>
      </c>
      <c r="G214">
        <v>26</v>
      </c>
      <c r="H214" t="str">
        <v>D</v>
      </c>
    </row>
    <row r="215" spans="1:8" x14ac:dyDescent="0.3">
      <c r="A215" t="s">
        <v>35</v>
      </c>
      <c r="B215" t="s">
        <v>155</v>
      </c>
      <c r="C215">
        <v>101</v>
      </c>
      <c r="D215">
        <v>52</v>
      </c>
      <c r="E215" s="33">
        <v>0.51485148514851486</v>
      </c>
      <c r="F215" t="s">
        <v>19</v>
      </c>
      <c r="G215">
        <v>13</v>
      </c>
      <c r="H215" t="str">
        <v>B</v>
      </c>
    </row>
    <row r="216" spans="1:8" hidden="1" x14ac:dyDescent="0.3">
      <c r="A216" t="s">
        <v>60</v>
      </c>
      <c r="B216" t="s">
        <v>157</v>
      </c>
      <c r="C216">
        <v>3</v>
      </c>
      <c r="D216">
        <v>0</v>
      </c>
      <c r="E216" s="33">
        <v>0</v>
      </c>
      <c r="F216" t="s">
        <v>26</v>
      </c>
      <c r="G216" t="s">
        <v>27</v>
      </c>
      <c r="H216" t="str">
        <v>N/A</v>
      </c>
    </row>
    <row r="217" spans="1:8" hidden="1" x14ac:dyDescent="0.3">
      <c r="A217" t="s">
        <v>60</v>
      </c>
      <c r="B217" t="s">
        <v>18</v>
      </c>
      <c r="C217">
        <v>1</v>
      </c>
      <c r="D217">
        <v>0</v>
      </c>
      <c r="E217" s="33">
        <v>0</v>
      </c>
      <c r="F217" t="s">
        <v>26</v>
      </c>
      <c r="G217" t="s">
        <v>27</v>
      </c>
      <c r="H217" t="str">
        <v>N/A</v>
      </c>
    </row>
    <row r="218" spans="1:8" x14ac:dyDescent="0.3">
      <c r="A218" t="s">
        <v>131</v>
      </c>
      <c r="B218" t="s">
        <v>158</v>
      </c>
      <c r="C218">
        <v>140</v>
      </c>
      <c r="D218">
        <v>70</v>
      </c>
      <c r="E218" s="33">
        <v>0.5</v>
      </c>
      <c r="F218" t="s">
        <v>19</v>
      </c>
      <c r="G218">
        <v>21</v>
      </c>
      <c r="H218" t="str">
        <v>B</v>
      </c>
    </row>
    <row r="219" spans="1:8" x14ac:dyDescent="0.3">
      <c r="A219" t="s">
        <v>131</v>
      </c>
      <c r="B219" t="s">
        <v>157</v>
      </c>
      <c r="C219">
        <v>10</v>
      </c>
      <c r="D219">
        <v>7</v>
      </c>
      <c r="E219" s="33">
        <v>0.7</v>
      </c>
      <c r="F219" t="s">
        <v>19</v>
      </c>
      <c r="G219">
        <v>3</v>
      </c>
      <c r="H219" t="str">
        <v>S</v>
      </c>
    </row>
    <row r="220" spans="1:8" x14ac:dyDescent="0.3">
      <c r="A220" t="s">
        <v>20</v>
      </c>
      <c r="B220" t="s">
        <v>155</v>
      </c>
      <c r="C220">
        <v>247</v>
      </c>
      <c r="D220">
        <v>126</v>
      </c>
      <c r="E220" s="33">
        <v>0.51012145748987858</v>
      </c>
      <c r="F220" t="s">
        <v>19</v>
      </c>
      <c r="G220">
        <v>14</v>
      </c>
      <c r="H220" t="str">
        <v>B</v>
      </c>
    </row>
    <row r="221" spans="1:8" hidden="1" x14ac:dyDescent="0.3">
      <c r="A221" t="s">
        <v>131</v>
      </c>
      <c r="B221" t="s">
        <v>156</v>
      </c>
      <c r="C221">
        <v>4</v>
      </c>
      <c r="D221">
        <v>3</v>
      </c>
      <c r="E221" s="33">
        <v>0.75</v>
      </c>
      <c r="F221" t="s">
        <v>26</v>
      </c>
      <c r="G221" t="s">
        <v>27</v>
      </c>
      <c r="H221" t="str">
        <v>N/A</v>
      </c>
    </row>
    <row r="222" spans="1:8" x14ac:dyDescent="0.3">
      <c r="A222" t="s">
        <v>61</v>
      </c>
      <c r="B222" t="s">
        <v>156</v>
      </c>
      <c r="C222">
        <v>255</v>
      </c>
      <c r="D222">
        <v>122</v>
      </c>
      <c r="E222" s="33">
        <v>0.47843137254901963</v>
      </c>
      <c r="F222" t="s">
        <v>19</v>
      </c>
      <c r="G222">
        <v>22</v>
      </c>
      <c r="H222" t="str">
        <v>C</v>
      </c>
    </row>
    <row r="223" spans="1:8" hidden="1" x14ac:dyDescent="0.3">
      <c r="A223" t="s">
        <v>61</v>
      </c>
      <c r="B223" t="s">
        <v>18</v>
      </c>
      <c r="C223">
        <v>2</v>
      </c>
      <c r="D223">
        <v>0</v>
      </c>
      <c r="E223" s="33">
        <v>0</v>
      </c>
      <c r="F223" t="s">
        <v>26</v>
      </c>
      <c r="G223" t="s">
        <v>27</v>
      </c>
      <c r="H223" t="str">
        <v>N/A</v>
      </c>
    </row>
    <row r="224" spans="1:8" x14ac:dyDescent="0.3">
      <c r="A224" t="s">
        <v>61</v>
      </c>
      <c r="B224" t="s">
        <v>157</v>
      </c>
      <c r="C224">
        <v>126</v>
      </c>
      <c r="D224">
        <v>60</v>
      </c>
      <c r="E224" s="33">
        <v>0.47619047619047616</v>
      </c>
      <c r="F224" t="s">
        <v>19</v>
      </c>
      <c r="G224">
        <v>30</v>
      </c>
      <c r="H224" t="str">
        <v>C</v>
      </c>
    </row>
    <row r="225" spans="1:8" x14ac:dyDescent="0.3">
      <c r="A225" t="s">
        <v>61</v>
      </c>
      <c r="B225" t="s">
        <v>158</v>
      </c>
      <c r="C225">
        <v>13</v>
      </c>
      <c r="D225">
        <v>5</v>
      </c>
      <c r="E225" s="33">
        <v>0.38461538461538464</v>
      </c>
      <c r="F225" t="s">
        <v>19</v>
      </c>
      <c r="G225">
        <v>35</v>
      </c>
      <c r="H225" t="str">
        <v>C</v>
      </c>
    </row>
    <row r="226" spans="1:8" x14ac:dyDescent="0.3">
      <c r="A226" t="s">
        <v>61</v>
      </c>
      <c r="B226" t="s">
        <v>159</v>
      </c>
      <c r="C226">
        <v>41</v>
      </c>
      <c r="D226">
        <v>22</v>
      </c>
      <c r="E226" s="33">
        <v>0.53658536585365857</v>
      </c>
      <c r="F226" t="s">
        <v>19</v>
      </c>
      <c r="G226">
        <v>9</v>
      </c>
      <c r="H226" t="str">
        <v>B</v>
      </c>
    </row>
    <row r="227" spans="1:8" hidden="1" x14ac:dyDescent="0.3">
      <c r="A227" t="s">
        <v>61</v>
      </c>
      <c r="B227" t="s">
        <v>155</v>
      </c>
      <c r="C227">
        <v>1</v>
      </c>
      <c r="D227">
        <v>0</v>
      </c>
      <c r="E227" s="33">
        <v>0</v>
      </c>
      <c r="F227" t="s">
        <v>26</v>
      </c>
      <c r="G227" t="s">
        <v>27</v>
      </c>
      <c r="H227" t="str">
        <v>N/A</v>
      </c>
    </row>
    <row r="228" spans="1:8" hidden="1" x14ac:dyDescent="0.3">
      <c r="A228" t="s">
        <v>62</v>
      </c>
      <c r="B228" t="s">
        <v>157</v>
      </c>
      <c r="C228">
        <v>6</v>
      </c>
      <c r="D228">
        <v>2</v>
      </c>
      <c r="E228" s="33">
        <v>0.33333333333333331</v>
      </c>
      <c r="F228" t="s">
        <v>26</v>
      </c>
      <c r="G228" t="s">
        <v>27</v>
      </c>
      <c r="H228" t="str">
        <v>N/A</v>
      </c>
    </row>
    <row r="229" spans="1:8" hidden="1" x14ac:dyDescent="0.3">
      <c r="A229" t="s">
        <v>62</v>
      </c>
      <c r="B229" t="s">
        <v>18</v>
      </c>
      <c r="C229">
        <v>7</v>
      </c>
      <c r="D229">
        <v>5</v>
      </c>
      <c r="E229" s="33">
        <v>0.7142857142857143</v>
      </c>
      <c r="F229" t="s">
        <v>26</v>
      </c>
      <c r="G229" t="s">
        <v>27</v>
      </c>
      <c r="H229" t="str">
        <v>N/A</v>
      </c>
    </row>
    <row r="230" spans="1:8" x14ac:dyDescent="0.3">
      <c r="A230" t="s">
        <v>71</v>
      </c>
      <c r="B230" t="s">
        <v>155</v>
      </c>
      <c r="C230">
        <v>277</v>
      </c>
      <c r="D230">
        <v>141</v>
      </c>
      <c r="E230" s="33">
        <v>0.50902527075812276</v>
      </c>
      <c r="F230" t="s">
        <v>19</v>
      </c>
      <c r="G230">
        <v>15</v>
      </c>
      <c r="H230" t="str">
        <v>B</v>
      </c>
    </row>
    <row r="231" spans="1:8" hidden="1" x14ac:dyDescent="0.3">
      <c r="A231" t="s">
        <v>62</v>
      </c>
      <c r="B231" t="s">
        <v>156</v>
      </c>
      <c r="C231">
        <v>2</v>
      </c>
      <c r="D231">
        <v>1</v>
      </c>
      <c r="E231" s="33">
        <v>0.5</v>
      </c>
      <c r="F231" t="s">
        <v>26</v>
      </c>
      <c r="G231" t="s">
        <v>27</v>
      </c>
      <c r="H231" t="str">
        <v>N/A</v>
      </c>
    </row>
    <row r="232" spans="1:8" x14ac:dyDescent="0.3">
      <c r="A232" t="s">
        <v>62</v>
      </c>
      <c r="B232" t="s">
        <v>158</v>
      </c>
      <c r="C232">
        <v>16</v>
      </c>
      <c r="D232">
        <v>9</v>
      </c>
      <c r="E232" s="33">
        <v>0.5625</v>
      </c>
      <c r="F232" t="s">
        <v>19</v>
      </c>
      <c r="G232">
        <v>10</v>
      </c>
      <c r="H232" t="str">
        <v>A</v>
      </c>
    </row>
    <row r="233" spans="1:8" hidden="1" x14ac:dyDescent="0.3">
      <c r="A233" t="s">
        <v>62</v>
      </c>
      <c r="B233" t="s">
        <v>159</v>
      </c>
      <c r="C233">
        <v>1</v>
      </c>
      <c r="D233">
        <v>0</v>
      </c>
      <c r="E233" s="33">
        <v>0</v>
      </c>
      <c r="F233" t="s">
        <v>26</v>
      </c>
      <c r="G233" t="s">
        <v>27</v>
      </c>
      <c r="H233" t="str">
        <v>N/A</v>
      </c>
    </row>
    <row r="234" spans="1:8" x14ac:dyDescent="0.3">
      <c r="A234" t="s">
        <v>48</v>
      </c>
      <c r="B234" t="s">
        <v>155</v>
      </c>
      <c r="C234">
        <v>137</v>
      </c>
      <c r="D234">
        <v>69</v>
      </c>
      <c r="E234" s="33">
        <v>0.5036496350364964</v>
      </c>
      <c r="F234" t="s">
        <v>19</v>
      </c>
      <c r="G234">
        <v>16</v>
      </c>
      <c r="H234" t="str">
        <v>B</v>
      </c>
    </row>
    <row r="235" spans="1:8" hidden="1" x14ac:dyDescent="0.3">
      <c r="A235" t="s">
        <v>132</v>
      </c>
      <c r="B235" t="s">
        <v>158</v>
      </c>
      <c r="C235">
        <v>2</v>
      </c>
      <c r="D235">
        <v>2</v>
      </c>
      <c r="E235" s="33">
        <v>1</v>
      </c>
      <c r="F235" t="s">
        <v>26</v>
      </c>
      <c r="G235" t="s">
        <v>27</v>
      </c>
      <c r="H235" t="str">
        <v>N/A</v>
      </c>
    </row>
    <row r="236" spans="1:8" x14ac:dyDescent="0.3">
      <c r="A236" t="s">
        <v>63</v>
      </c>
      <c r="B236" t="s">
        <v>18</v>
      </c>
      <c r="C236">
        <v>25</v>
      </c>
      <c r="D236">
        <v>13</v>
      </c>
      <c r="E236" s="33">
        <v>0.52</v>
      </c>
      <c r="F236" t="s">
        <v>19</v>
      </c>
      <c r="G236">
        <v>17</v>
      </c>
      <c r="H236" t="str">
        <v>B</v>
      </c>
    </row>
    <row r="237" spans="1:8" hidden="1" x14ac:dyDescent="0.3">
      <c r="A237" t="s">
        <v>63</v>
      </c>
      <c r="B237" t="s">
        <v>157</v>
      </c>
      <c r="C237">
        <v>1</v>
      </c>
      <c r="D237">
        <v>0</v>
      </c>
      <c r="E237" s="33">
        <v>0</v>
      </c>
      <c r="F237" t="s">
        <v>26</v>
      </c>
      <c r="G237" t="s">
        <v>27</v>
      </c>
      <c r="H237" t="str">
        <v>N/A</v>
      </c>
    </row>
    <row r="238" spans="1:8" hidden="1" x14ac:dyDescent="0.3">
      <c r="A238" t="s">
        <v>63</v>
      </c>
      <c r="B238" t="s">
        <v>155</v>
      </c>
      <c r="C238">
        <v>1</v>
      </c>
      <c r="D238">
        <v>1</v>
      </c>
      <c r="E238" s="33">
        <v>1</v>
      </c>
      <c r="F238" t="s">
        <v>26</v>
      </c>
      <c r="G238" t="s">
        <v>27</v>
      </c>
      <c r="H238" t="str">
        <v>N/A</v>
      </c>
    </row>
    <row r="239" spans="1:8" hidden="1" x14ac:dyDescent="0.3">
      <c r="A239" t="s">
        <v>63</v>
      </c>
      <c r="B239" t="s">
        <v>158</v>
      </c>
      <c r="C239">
        <v>3</v>
      </c>
      <c r="D239">
        <v>2</v>
      </c>
      <c r="E239" s="33">
        <v>0.66666666666666663</v>
      </c>
      <c r="F239" t="s">
        <v>26</v>
      </c>
      <c r="G239" t="s">
        <v>27</v>
      </c>
      <c r="H239" t="str">
        <v>N/A</v>
      </c>
    </row>
    <row r="240" spans="1:8" x14ac:dyDescent="0.3">
      <c r="A240" t="s">
        <v>64</v>
      </c>
      <c r="B240" t="s">
        <v>18</v>
      </c>
      <c r="C240">
        <v>35</v>
      </c>
      <c r="D240">
        <v>18</v>
      </c>
      <c r="E240" s="33">
        <v>0.51428571428571423</v>
      </c>
      <c r="F240" t="s">
        <v>19</v>
      </c>
      <c r="G240">
        <v>19</v>
      </c>
      <c r="H240" t="str">
        <v>B</v>
      </c>
    </row>
    <row r="241" spans="1:8" x14ac:dyDescent="0.3">
      <c r="A241" t="s">
        <v>64</v>
      </c>
      <c r="B241" t="s">
        <v>158</v>
      </c>
      <c r="C241">
        <v>20</v>
      </c>
      <c r="D241">
        <v>9</v>
      </c>
      <c r="E241" s="33">
        <v>0.45</v>
      </c>
      <c r="F241" t="s">
        <v>19</v>
      </c>
      <c r="G241">
        <v>33</v>
      </c>
      <c r="H241" t="str">
        <v>C</v>
      </c>
    </row>
    <row r="242" spans="1:8" hidden="1" x14ac:dyDescent="0.3">
      <c r="A242" t="s">
        <v>64</v>
      </c>
      <c r="B242" t="s">
        <v>155</v>
      </c>
      <c r="C242">
        <v>2</v>
      </c>
      <c r="D242">
        <v>1</v>
      </c>
      <c r="E242" s="33">
        <v>0.5</v>
      </c>
      <c r="F242" t="s">
        <v>26</v>
      </c>
      <c r="G242" t="s">
        <v>27</v>
      </c>
      <c r="H242" t="str">
        <v>N/A</v>
      </c>
    </row>
    <row r="243" spans="1:8" hidden="1" x14ac:dyDescent="0.3">
      <c r="A243" t="s">
        <v>64</v>
      </c>
      <c r="B243" t="s">
        <v>156</v>
      </c>
      <c r="C243">
        <v>7</v>
      </c>
      <c r="D243">
        <v>5</v>
      </c>
      <c r="E243" s="33">
        <v>0.7142857142857143</v>
      </c>
      <c r="F243" t="s">
        <v>26</v>
      </c>
      <c r="G243" t="s">
        <v>27</v>
      </c>
      <c r="H243" t="str">
        <v>N/A</v>
      </c>
    </row>
    <row r="244" spans="1:8" hidden="1" x14ac:dyDescent="0.3">
      <c r="A244" t="s">
        <v>64</v>
      </c>
      <c r="B244" t="s">
        <v>157</v>
      </c>
      <c r="C244">
        <v>7</v>
      </c>
      <c r="D244">
        <v>3</v>
      </c>
      <c r="E244" s="33">
        <v>0.42857142857142855</v>
      </c>
      <c r="F244" t="s">
        <v>26</v>
      </c>
      <c r="G244" t="s">
        <v>27</v>
      </c>
      <c r="H244" t="str">
        <v>N/A</v>
      </c>
    </row>
    <row r="245" spans="1:8" hidden="1" x14ac:dyDescent="0.3">
      <c r="A245" t="s">
        <v>64</v>
      </c>
      <c r="B245" t="s">
        <v>159</v>
      </c>
      <c r="C245">
        <v>1</v>
      </c>
      <c r="D245">
        <v>0</v>
      </c>
      <c r="E245" s="33">
        <v>0</v>
      </c>
      <c r="F245" t="s">
        <v>26</v>
      </c>
      <c r="G245" t="s">
        <v>27</v>
      </c>
      <c r="H245" t="str">
        <v>N/A</v>
      </c>
    </row>
    <row r="246" spans="1:8" hidden="1" x14ac:dyDescent="0.3">
      <c r="A246" t="s">
        <v>65</v>
      </c>
      <c r="B246" t="s">
        <v>155</v>
      </c>
      <c r="C246">
        <v>6</v>
      </c>
      <c r="D246">
        <v>3</v>
      </c>
      <c r="E246" s="33">
        <v>0.5</v>
      </c>
      <c r="F246" t="s">
        <v>26</v>
      </c>
      <c r="G246" t="s">
        <v>27</v>
      </c>
      <c r="H246" t="str">
        <v>N/A</v>
      </c>
    </row>
    <row r="247" spans="1:8" x14ac:dyDescent="0.3">
      <c r="A247" t="s">
        <v>65</v>
      </c>
      <c r="B247" t="s">
        <v>157</v>
      </c>
      <c r="C247">
        <v>23</v>
      </c>
      <c r="D247">
        <v>9</v>
      </c>
      <c r="E247" s="33">
        <v>0.39130434782608697</v>
      </c>
      <c r="F247" t="s">
        <v>19</v>
      </c>
      <c r="G247">
        <v>37</v>
      </c>
      <c r="H247" t="str">
        <v>C</v>
      </c>
    </row>
    <row r="248" spans="1:8" x14ac:dyDescent="0.3">
      <c r="A248" t="s">
        <v>65</v>
      </c>
      <c r="B248" t="s">
        <v>159</v>
      </c>
      <c r="C248">
        <v>17</v>
      </c>
      <c r="D248">
        <v>4</v>
      </c>
      <c r="E248" s="33">
        <v>0.23529411764705882</v>
      </c>
      <c r="F248" t="s">
        <v>19</v>
      </c>
      <c r="G248">
        <v>27</v>
      </c>
      <c r="H248" t="str">
        <v>D</v>
      </c>
    </row>
    <row r="249" spans="1:8" x14ac:dyDescent="0.3">
      <c r="A249" t="s">
        <v>65</v>
      </c>
      <c r="B249" t="s">
        <v>156</v>
      </c>
      <c r="C249">
        <v>42</v>
      </c>
      <c r="D249">
        <v>16</v>
      </c>
      <c r="E249" s="33">
        <v>0.38095238095238093</v>
      </c>
      <c r="F249" t="s">
        <v>19</v>
      </c>
      <c r="G249">
        <v>34</v>
      </c>
      <c r="H249" t="str">
        <v>C</v>
      </c>
    </row>
    <row r="250" spans="1:8" hidden="1" x14ac:dyDescent="0.3">
      <c r="A250" t="s">
        <v>65</v>
      </c>
      <c r="B250" t="s">
        <v>18</v>
      </c>
      <c r="C250">
        <v>6</v>
      </c>
      <c r="D250">
        <v>2</v>
      </c>
      <c r="E250" s="33">
        <v>0.33333333333333331</v>
      </c>
      <c r="F250" t="s">
        <v>26</v>
      </c>
      <c r="G250" t="s">
        <v>27</v>
      </c>
      <c r="H250" t="str">
        <v>N/A</v>
      </c>
    </row>
    <row r="251" spans="1:8" hidden="1" x14ac:dyDescent="0.3">
      <c r="A251" t="s">
        <v>65</v>
      </c>
      <c r="B251" t="s">
        <v>158</v>
      </c>
      <c r="C251">
        <v>5</v>
      </c>
      <c r="D251">
        <v>3</v>
      </c>
      <c r="E251" s="33">
        <v>0.6</v>
      </c>
      <c r="F251" t="s">
        <v>26</v>
      </c>
      <c r="G251" t="s">
        <v>27</v>
      </c>
      <c r="H251" t="str">
        <v>N/A</v>
      </c>
    </row>
    <row r="252" spans="1:8" x14ac:dyDescent="0.3">
      <c r="A252" t="s">
        <v>66</v>
      </c>
      <c r="B252" t="s">
        <v>18</v>
      </c>
      <c r="C252">
        <v>278</v>
      </c>
      <c r="D252">
        <v>126</v>
      </c>
      <c r="E252" s="33">
        <v>0.45323741007194246</v>
      </c>
      <c r="F252" t="s">
        <v>19</v>
      </c>
      <c r="G252">
        <v>30</v>
      </c>
      <c r="H252" t="str">
        <v>C</v>
      </c>
    </row>
    <row r="253" spans="1:8" x14ac:dyDescent="0.3">
      <c r="A253" t="s">
        <v>66</v>
      </c>
      <c r="B253" t="s">
        <v>158</v>
      </c>
      <c r="C253">
        <v>10</v>
      </c>
      <c r="D253">
        <v>4</v>
      </c>
      <c r="E253" s="33">
        <v>0.4</v>
      </c>
      <c r="F253" t="s">
        <v>19</v>
      </c>
      <c r="G253">
        <v>34</v>
      </c>
      <c r="H253" t="str">
        <v>C</v>
      </c>
    </row>
    <row r="254" spans="1:8" hidden="1" x14ac:dyDescent="0.3">
      <c r="A254" t="s">
        <v>66</v>
      </c>
      <c r="B254" t="s">
        <v>157</v>
      </c>
      <c r="C254">
        <v>8</v>
      </c>
      <c r="D254">
        <v>6</v>
      </c>
      <c r="E254" s="33">
        <v>0.75</v>
      </c>
      <c r="F254" t="s">
        <v>26</v>
      </c>
      <c r="G254" t="s">
        <v>27</v>
      </c>
      <c r="H254" t="str">
        <v>N/A</v>
      </c>
    </row>
    <row r="255" spans="1:8" hidden="1" x14ac:dyDescent="0.3">
      <c r="A255" t="s">
        <v>66</v>
      </c>
      <c r="B255" t="s">
        <v>155</v>
      </c>
      <c r="C255">
        <v>3</v>
      </c>
      <c r="D255">
        <v>3</v>
      </c>
      <c r="E255" s="33">
        <v>1</v>
      </c>
      <c r="F255" t="s">
        <v>26</v>
      </c>
      <c r="G255" t="s">
        <v>27</v>
      </c>
      <c r="H255" t="str">
        <v>N/A</v>
      </c>
    </row>
    <row r="256" spans="1:8" x14ac:dyDescent="0.3">
      <c r="A256" t="s">
        <v>94</v>
      </c>
      <c r="B256" t="s">
        <v>155</v>
      </c>
      <c r="C256">
        <v>151</v>
      </c>
      <c r="D256">
        <v>76</v>
      </c>
      <c r="E256" s="33">
        <v>0.50331125827814571</v>
      </c>
      <c r="F256" t="s">
        <v>19</v>
      </c>
      <c r="G256">
        <v>17</v>
      </c>
      <c r="H256" t="str">
        <v>B</v>
      </c>
    </row>
    <row r="257" spans="1:8" hidden="1" x14ac:dyDescent="0.3">
      <c r="A257" t="s">
        <v>67</v>
      </c>
      <c r="B257" t="s">
        <v>18</v>
      </c>
      <c r="C257">
        <v>1</v>
      </c>
      <c r="D257">
        <v>0</v>
      </c>
      <c r="E257" s="33">
        <v>0</v>
      </c>
      <c r="F257" t="s">
        <v>26</v>
      </c>
      <c r="G257" t="s">
        <v>27</v>
      </c>
      <c r="H257" t="str">
        <v>N/A</v>
      </c>
    </row>
    <row r="258" spans="1:8" x14ac:dyDescent="0.3">
      <c r="A258" t="s">
        <v>68</v>
      </c>
      <c r="B258" t="s">
        <v>158</v>
      </c>
      <c r="C258">
        <v>40</v>
      </c>
      <c r="D258">
        <v>13</v>
      </c>
      <c r="E258" s="33">
        <v>0.32500000000000001</v>
      </c>
      <c r="F258" t="s">
        <v>19</v>
      </c>
      <c r="G258">
        <v>40</v>
      </c>
      <c r="H258" t="str">
        <v>D</v>
      </c>
    </row>
    <row r="259" spans="1:8" x14ac:dyDescent="0.3">
      <c r="A259" t="s">
        <v>38</v>
      </c>
      <c r="B259" t="s">
        <v>155</v>
      </c>
      <c r="C259">
        <v>12</v>
      </c>
      <c r="D259">
        <v>6</v>
      </c>
      <c r="E259" s="33">
        <v>0.5</v>
      </c>
      <c r="F259" t="s">
        <v>19</v>
      </c>
      <c r="G259">
        <v>18</v>
      </c>
      <c r="H259" t="str">
        <v>B</v>
      </c>
    </row>
    <row r="260" spans="1:8" hidden="1" x14ac:dyDescent="0.3">
      <c r="A260" t="s">
        <v>68</v>
      </c>
      <c r="B260" t="s">
        <v>18</v>
      </c>
      <c r="C260">
        <v>1</v>
      </c>
      <c r="D260">
        <v>0</v>
      </c>
      <c r="E260" s="33">
        <v>0</v>
      </c>
      <c r="F260" t="s">
        <v>26</v>
      </c>
      <c r="G260" t="s">
        <v>27</v>
      </c>
      <c r="H260" t="str">
        <v>N/A</v>
      </c>
    </row>
    <row r="261" spans="1:8" x14ac:dyDescent="0.3">
      <c r="A261" t="s">
        <v>69</v>
      </c>
      <c r="B261" t="s">
        <v>156</v>
      </c>
      <c r="C261">
        <v>13</v>
      </c>
      <c r="D261">
        <v>9</v>
      </c>
      <c r="E261" s="33">
        <v>0.69230769230769229</v>
      </c>
      <c r="F261" t="s">
        <v>19</v>
      </c>
      <c r="G261">
        <v>3</v>
      </c>
      <c r="H261" t="str">
        <v>S</v>
      </c>
    </row>
    <row r="262" spans="1:8" x14ac:dyDescent="0.3">
      <c r="A262" t="s">
        <v>69</v>
      </c>
      <c r="B262" t="s">
        <v>157</v>
      </c>
      <c r="C262">
        <v>22</v>
      </c>
      <c r="D262">
        <v>11</v>
      </c>
      <c r="E262" s="33">
        <v>0.5</v>
      </c>
      <c r="F262" t="s">
        <v>19</v>
      </c>
      <c r="G262">
        <v>22</v>
      </c>
      <c r="H262" t="str">
        <v>B</v>
      </c>
    </row>
    <row r="263" spans="1:8" x14ac:dyDescent="0.3">
      <c r="A263" t="s">
        <v>69</v>
      </c>
      <c r="B263" t="s">
        <v>159</v>
      </c>
      <c r="C263">
        <v>10</v>
      </c>
      <c r="D263">
        <v>6</v>
      </c>
      <c r="E263" s="33">
        <v>0.6</v>
      </c>
      <c r="F263" t="s">
        <v>19</v>
      </c>
      <c r="G263">
        <v>4</v>
      </c>
      <c r="H263" t="str">
        <v>A</v>
      </c>
    </row>
    <row r="264" spans="1:8" hidden="1" x14ac:dyDescent="0.3">
      <c r="A264" t="s">
        <v>69</v>
      </c>
      <c r="B264" t="s">
        <v>155</v>
      </c>
      <c r="C264">
        <v>8</v>
      </c>
      <c r="D264">
        <v>3</v>
      </c>
      <c r="E264" s="33">
        <v>0.375</v>
      </c>
      <c r="F264" t="s">
        <v>26</v>
      </c>
      <c r="G264" t="s">
        <v>27</v>
      </c>
      <c r="H264" t="str">
        <v>N/A</v>
      </c>
    </row>
    <row r="265" spans="1:8" hidden="1" x14ac:dyDescent="0.3">
      <c r="A265" t="s">
        <v>69</v>
      </c>
      <c r="B265" t="s">
        <v>158</v>
      </c>
      <c r="C265">
        <v>4</v>
      </c>
      <c r="D265">
        <v>2</v>
      </c>
      <c r="E265" s="33">
        <v>0.5</v>
      </c>
      <c r="F265" t="s">
        <v>26</v>
      </c>
      <c r="G265" t="s">
        <v>27</v>
      </c>
      <c r="H265" t="str">
        <v>N/A</v>
      </c>
    </row>
    <row r="266" spans="1:8" hidden="1" x14ac:dyDescent="0.3">
      <c r="A266" t="s">
        <v>69</v>
      </c>
      <c r="B266" t="s">
        <v>18</v>
      </c>
      <c r="C266">
        <v>2</v>
      </c>
      <c r="D266">
        <v>1</v>
      </c>
      <c r="E266" s="33">
        <v>0.5</v>
      </c>
      <c r="F266" t="s">
        <v>26</v>
      </c>
      <c r="G266" t="s">
        <v>27</v>
      </c>
      <c r="H266" t="str">
        <v>N/A</v>
      </c>
    </row>
    <row r="267" spans="1:8" x14ac:dyDescent="0.3">
      <c r="A267" t="s">
        <v>70</v>
      </c>
      <c r="B267" t="s">
        <v>158</v>
      </c>
      <c r="C267">
        <v>87</v>
      </c>
      <c r="D267">
        <v>46</v>
      </c>
      <c r="E267" s="33">
        <v>0.52873563218390807</v>
      </c>
      <c r="F267" t="s">
        <v>19</v>
      </c>
      <c r="G267">
        <v>17</v>
      </c>
      <c r="H267" t="str">
        <v>B</v>
      </c>
    </row>
    <row r="268" spans="1:8" x14ac:dyDescent="0.3">
      <c r="A268" t="s">
        <v>132</v>
      </c>
      <c r="B268" t="s">
        <v>155</v>
      </c>
      <c r="C268">
        <v>436</v>
      </c>
      <c r="D268">
        <v>218</v>
      </c>
      <c r="E268" s="33">
        <v>0.5</v>
      </c>
      <c r="F268" t="s">
        <v>19</v>
      </c>
      <c r="G268">
        <v>18</v>
      </c>
      <c r="H268" t="str">
        <v>B</v>
      </c>
    </row>
    <row r="269" spans="1:8" x14ac:dyDescent="0.3">
      <c r="A269" t="s">
        <v>70</v>
      </c>
      <c r="B269" t="s">
        <v>157</v>
      </c>
      <c r="C269">
        <v>14</v>
      </c>
      <c r="D269">
        <v>9</v>
      </c>
      <c r="E269" s="33">
        <v>0.6428571428571429</v>
      </c>
      <c r="F269" t="s">
        <v>19</v>
      </c>
      <c r="G269">
        <v>6</v>
      </c>
      <c r="H269" t="str">
        <v>A</v>
      </c>
    </row>
    <row r="270" spans="1:8" hidden="1" x14ac:dyDescent="0.3">
      <c r="A270" t="s">
        <v>70</v>
      </c>
      <c r="B270" t="s">
        <v>18</v>
      </c>
      <c r="C270">
        <v>7</v>
      </c>
      <c r="D270">
        <v>3</v>
      </c>
      <c r="E270" s="33">
        <v>0.42857142857142855</v>
      </c>
      <c r="F270" t="s">
        <v>26</v>
      </c>
      <c r="G270" t="s">
        <v>27</v>
      </c>
      <c r="H270" t="str">
        <v>N/A</v>
      </c>
    </row>
    <row r="271" spans="1:8" hidden="1" x14ac:dyDescent="0.3">
      <c r="A271" t="s">
        <v>70</v>
      </c>
      <c r="B271" t="s">
        <v>159</v>
      </c>
      <c r="C271">
        <v>3</v>
      </c>
      <c r="D271">
        <v>2</v>
      </c>
      <c r="E271" s="33">
        <v>0.66666666666666663</v>
      </c>
      <c r="F271" t="s">
        <v>26</v>
      </c>
      <c r="G271" t="s">
        <v>27</v>
      </c>
      <c r="H271" t="str">
        <v>N/A</v>
      </c>
    </row>
    <row r="272" spans="1:8" hidden="1" x14ac:dyDescent="0.3">
      <c r="A272" t="s">
        <v>70</v>
      </c>
      <c r="B272" t="s">
        <v>156</v>
      </c>
      <c r="C272">
        <v>1</v>
      </c>
      <c r="D272">
        <v>0</v>
      </c>
      <c r="E272" s="33">
        <v>0</v>
      </c>
      <c r="F272" t="s">
        <v>26</v>
      </c>
      <c r="G272" t="s">
        <v>27</v>
      </c>
      <c r="H272" t="str">
        <v>N/A</v>
      </c>
    </row>
    <row r="273" spans="1:8" x14ac:dyDescent="0.3">
      <c r="A273" t="s">
        <v>143</v>
      </c>
      <c r="B273" t="s">
        <v>155</v>
      </c>
      <c r="C273">
        <v>63</v>
      </c>
      <c r="D273">
        <v>31</v>
      </c>
      <c r="E273" s="33">
        <v>0.49206349206349204</v>
      </c>
      <c r="F273" t="s">
        <v>19</v>
      </c>
      <c r="G273">
        <v>20</v>
      </c>
      <c r="H273" t="str">
        <v>B</v>
      </c>
    </row>
    <row r="274" spans="1:8" hidden="1" x14ac:dyDescent="0.3">
      <c r="A274" t="s">
        <v>133</v>
      </c>
      <c r="B274" t="s">
        <v>157</v>
      </c>
      <c r="C274">
        <v>1</v>
      </c>
      <c r="D274">
        <v>0</v>
      </c>
      <c r="E274" s="33">
        <v>0</v>
      </c>
      <c r="F274" t="s">
        <v>26</v>
      </c>
      <c r="G274" t="s">
        <v>27</v>
      </c>
      <c r="H274" t="str">
        <v>N/A</v>
      </c>
    </row>
    <row r="275" spans="1:8" hidden="1" x14ac:dyDescent="0.3">
      <c r="A275" t="s">
        <v>133</v>
      </c>
      <c r="B275" t="s">
        <v>158</v>
      </c>
      <c r="C275">
        <v>2</v>
      </c>
      <c r="D275">
        <v>0</v>
      </c>
      <c r="E275" s="33">
        <v>0</v>
      </c>
      <c r="F275" t="s">
        <v>26</v>
      </c>
      <c r="G275" t="s">
        <v>27</v>
      </c>
      <c r="H275" t="str">
        <v>N/A</v>
      </c>
    </row>
    <row r="276" spans="1:8" x14ac:dyDescent="0.3">
      <c r="A276" t="s">
        <v>60</v>
      </c>
      <c r="B276" t="s">
        <v>155</v>
      </c>
      <c r="C276">
        <v>293</v>
      </c>
      <c r="D276">
        <v>143</v>
      </c>
      <c r="E276" s="33">
        <v>0.48805460750853241</v>
      </c>
      <c r="F276" t="s">
        <v>19</v>
      </c>
      <c r="G276">
        <v>20</v>
      </c>
      <c r="H276" t="str">
        <v>B</v>
      </c>
    </row>
    <row r="277" spans="1:8" x14ac:dyDescent="0.3">
      <c r="A277" t="s">
        <v>71</v>
      </c>
      <c r="B277" t="s">
        <v>157</v>
      </c>
      <c r="C277">
        <v>24</v>
      </c>
      <c r="D277">
        <v>8</v>
      </c>
      <c r="E277" s="33">
        <v>0.33333333333333331</v>
      </c>
      <c r="F277" t="s">
        <v>19</v>
      </c>
      <c r="G277">
        <v>39</v>
      </c>
      <c r="H277" t="str">
        <v>D</v>
      </c>
    </row>
    <row r="278" spans="1:8" x14ac:dyDescent="0.3">
      <c r="A278" t="s">
        <v>71</v>
      </c>
      <c r="B278" t="s">
        <v>158</v>
      </c>
      <c r="C278">
        <v>12</v>
      </c>
      <c r="D278">
        <v>6</v>
      </c>
      <c r="E278" s="33">
        <v>0.5</v>
      </c>
      <c r="F278" t="s">
        <v>19</v>
      </c>
      <c r="G278">
        <v>21</v>
      </c>
      <c r="H278" t="str">
        <v>B</v>
      </c>
    </row>
    <row r="279" spans="1:8" x14ac:dyDescent="0.3">
      <c r="A279" t="s">
        <v>71</v>
      </c>
      <c r="B279" t="s">
        <v>159</v>
      </c>
      <c r="C279">
        <v>10</v>
      </c>
      <c r="D279">
        <v>5</v>
      </c>
      <c r="E279" s="33">
        <v>0.5</v>
      </c>
      <c r="F279" t="s">
        <v>19</v>
      </c>
      <c r="G279">
        <v>12</v>
      </c>
      <c r="H279" t="str">
        <v>B</v>
      </c>
    </row>
    <row r="280" spans="1:8" x14ac:dyDescent="0.3">
      <c r="A280" t="s">
        <v>71</v>
      </c>
      <c r="B280" t="s">
        <v>156</v>
      </c>
      <c r="C280">
        <v>14</v>
      </c>
      <c r="D280">
        <v>6</v>
      </c>
      <c r="E280" s="33">
        <v>0.42857142857142855</v>
      </c>
      <c r="F280" t="s">
        <v>19</v>
      </c>
      <c r="G280">
        <v>30</v>
      </c>
      <c r="H280" t="str">
        <v>C</v>
      </c>
    </row>
    <row r="281" spans="1:8" hidden="1" x14ac:dyDescent="0.3">
      <c r="A281" t="s">
        <v>71</v>
      </c>
      <c r="B281" t="s">
        <v>18</v>
      </c>
      <c r="C281">
        <v>1</v>
      </c>
      <c r="D281">
        <v>1</v>
      </c>
      <c r="E281" s="33">
        <v>1</v>
      </c>
      <c r="F281" t="s">
        <v>26</v>
      </c>
      <c r="G281" t="s">
        <v>27</v>
      </c>
      <c r="H281" t="str">
        <v>N/A</v>
      </c>
    </row>
    <row r="282" spans="1:8" x14ac:dyDescent="0.3">
      <c r="A282" t="s">
        <v>104</v>
      </c>
      <c r="B282" t="s">
        <v>155</v>
      </c>
      <c r="C282">
        <v>72</v>
      </c>
      <c r="D282">
        <v>35</v>
      </c>
      <c r="E282" s="33">
        <v>0.4861111111111111</v>
      </c>
      <c r="F282" t="s">
        <v>19</v>
      </c>
      <c r="G282">
        <v>21</v>
      </c>
      <c r="H282" t="str">
        <v>B</v>
      </c>
    </row>
    <row r="283" spans="1:8" hidden="1" x14ac:dyDescent="0.3">
      <c r="A283" t="s">
        <v>72</v>
      </c>
      <c r="B283" t="s">
        <v>18</v>
      </c>
      <c r="C283">
        <v>1</v>
      </c>
      <c r="D283">
        <v>1</v>
      </c>
      <c r="E283" s="33">
        <v>1</v>
      </c>
      <c r="F283" t="s">
        <v>26</v>
      </c>
      <c r="G283" t="s">
        <v>27</v>
      </c>
      <c r="H283" t="str">
        <v>N/A</v>
      </c>
    </row>
    <row r="284" spans="1:8" hidden="1" x14ac:dyDescent="0.3">
      <c r="A284" t="s">
        <v>72</v>
      </c>
      <c r="B284" t="s">
        <v>157</v>
      </c>
      <c r="C284">
        <v>2</v>
      </c>
      <c r="D284">
        <v>0</v>
      </c>
      <c r="E284" s="33">
        <v>0</v>
      </c>
      <c r="F284" t="s">
        <v>26</v>
      </c>
      <c r="G284" t="s">
        <v>27</v>
      </c>
      <c r="H284" t="str">
        <v>N/A</v>
      </c>
    </row>
    <row r="285" spans="1:8" hidden="1" x14ac:dyDescent="0.3">
      <c r="A285" t="s">
        <v>72</v>
      </c>
      <c r="B285" t="s">
        <v>156</v>
      </c>
      <c r="C285">
        <v>1</v>
      </c>
      <c r="D285">
        <v>0</v>
      </c>
      <c r="E285" s="33">
        <v>0</v>
      </c>
      <c r="F285" t="s">
        <v>26</v>
      </c>
      <c r="G285" t="s">
        <v>27</v>
      </c>
      <c r="H285" t="str">
        <v>N/A</v>
      </c>
    </row>
    <row r="286" spans="1:8" x14ac:dyDescent="0.3">
      <c r="A286" t="s">
        <v>107</v>
      </c>
      <c r="B286" t="s">
        <v>155</v>
      </c>
      <c r="C286">
        <v>212</v>
      </c>
      <c r="D286">
        <v>102</v>
      </c>
      <c r="E286" s="33">
        <v>0.48113207547169812</v>
      </c>
      <c r="F286" t="s">
        <v>19</v>
      </c>
      <c r="G286">
        <v>21</v>
      </c>
      <c r="H286" t="str">
        <v>B</v>
      </c>
    </row>
    <row r="287" spans="1:8" x14ac:dyDescent="0.3">
      <c r="A287" t="s">
        <v>73</v>
      </c>
      <c r="B287" t="s">
        <v>157</v>
      </c>
      <c r="C287">
        <v>14</v>
      </c>
      <c r="D287">
        <v>8</v>
      </c>
      <c r="E287" s="33">
        <v>0.5714285714285714</v>
      </c>
      <c r="F287" t="s">
        <v>19</v>
      </c>
      <c r="G287">
        <v>9</v>
      </c>
      <c r="H287" t="str">
        <v>A</v>
      </c>
    </row>
    <row r="288" spans="1:8" x14ac:dyDescent="0.3">
      <c r="A288" t="s">
        <v>73</v>
      </c>
      <c r="B288" t="s">
        <v>158</v>
      </c>
      <c r="C288">
        <v>37</v>
      </c>
      <c r="D288">
        <v>14</v>
      </c>
      <c r="E288" s="33">
        <v>0.3783783783783784</v>
      </c>
      <c r="F288" t="s">
        <v>19</v>
      </c>
      <c r="G288">
        <v>37</v>
      </c>
      <c r="H288" t="str">
        <v>C</v>
      </c>
    </row>
    <row r="289" spans="1:8" x14ac:dyDescent="0.3">
      <c r="A289" t="s">
        <v>73</v>
      </c>
      <c r="B289" t="s">
        <v>18</v>
      </c>
      <c r="C289">
        <v>22</v>
      </c>
      <c r="D289">
        <v>12</v>
      </c>
      <c r="E289" s="33">
        <v>0.54545454545454541</v>
      </c>
      <c r="F289" t="s">
        <v>19</v>
      </c>
      <c r="G289">
        <v>12</v>
      </c>
      <c r="H289" t="str">
        <v>B</v>
      </c>
    </row>
    <row r="290" spans="1:8" hidden="1" x14ac:dyDescent="0.3">
      <c r="A290" t="s">
        <v>73</v>
      </c>
      <c r="B290" t="s">
        <v>156</v>
      </c>
      <c r="C290">
        <v>2</v>
      </c>
      <c r="D290">
        <v>1</v>
      </c>
      <c r="E290" s="33">
        <v>0.5</v>
      </c>
      <c r="F290" t="s">
        <v>26</v>
      </c>
      <c r="G290" t="s">
        <v>27</v>
      </c>
      <c r="H290" t="str">
        <v>N/A</v>
      </c>
    </row>
    <row r="291" spans="1:8" hidden="1" x14ac:dyDescent="0.3">
      <c r="A291" t="s">
        <v>73</v>
      </c>
      <c r="B291" t="s">
        <v>159</v>
      </c>
      <c r="C291">
        <v>3</v>
      </c>
      <c r="D291">
        <v>3</v>
      </c>
      <c r="E291" s="33">
        <v>1</v>
      </c>
      <c r="F291" t="s">
        <v>26</v>
      </c>
      <c r="G291" t="s">
        <v>27</v>
      </c>
      <c r="H291" t="str">
        <v>N/A</v>
      </c>
    </row>
    <row r="292" spans="1:8" x14ac:dyDescent="0.3">
      <c r="A292" t="s">
        <v>74</v>
      </c>
      <c r="B292" t="s">
        <v>158</v>
      </c>
      <c r="C292">
        <v>65</v>
      </c>
      <c r="D292">
        <v>32</v>
      </c>
      <c r="E292" s="33">
        <v>0.49230769230769234</v>
      </c>
      <c r="F292" t="s">
        <v>19</v>
      </c>
      <c r="G292">
        <v>25</v>
      </c>
      <c r="H292" t="str">
        <v>B</v>
      </c>
    </row>
    <row r="293" spans="1:8" x14ac:dyDescent="0.3">
      <c r="A293" t="s">
        <v>74</v>
      </c>
      <c r="B293" t="s">
        <v>18</v>
      </c>
      <c r="C293">
        <v>27</v>
      </c>
      <c r="D293">
        <v>17</v>
      </c>
      <c r="E293" s="33">
        <v>0.62962962962962965</v>
      </c>
      <c r="F293" t="s">
        <v>19</v>
      </c>
      <c r="G293">
        <v>4</v>
      </c>
      <c r="H293" t="str">
        <v>A</v>
      </c>
    </row>
    <row r="294" spans="1:8" x14ac:dyDescent="0.3">
      <c r="A294" t="s">
        <v>127</v>
      </c>
      <c r="B294" t="s">
        <v>155</v>
      </c>
      <c r="C294">
        <v>129</v>
      </c>
      <c r="D294">
        <v>62</v>
      </c>
      <c r="E294" s="33">
        <v>0.48062015503875971</v>
      </c>
      <c r="F294" t="s">
        <v>19</v>
      </c>
      <c r="G294">
        <v>21</v>
      </c>
      <c r="H294" t="str">
        <v>B</v>
      </c>
    </row>
    <row r="295" spans="1:8" x14ac:dyDescent="0.3">
      <c r="A295" t="s">
        <v>75</v>
      </c>
      <c r="B295" t="s">
        <v>18</v>
      </c>
      <c r="C295">
        <v>100</v>
      </c>
      <c r="D295">
        <v>46</v>
      </c>
      <c r="E295" s="33">
        <v>0.46</v>
      </c>
      <c r="F295" t="s">
        <v>19</v>
      </c>
      <c r="G295">
        <v>29</v>
      </c>
      <c r="H295" t="str">
        <v>C</v>
      </c>
    </row>
    <row r="296" spans="1:8" hidden="1" x14ac:dyDescent="0.3">
      <c r="A296" t="s">
        <v>75</v>
      </c>
      <c r="B296" t="s">
        <v>158</v>
      </c>
      <c r="C296">
        <v>8</v>
      </c>
      <c r="D296">
        <v>4</v>
      </c>
      <c r="E296" s="33">
        <v>0.5</v>
      </c>
      <c r="F296" t="s">
        <v>26</v>
      </c>
      <c r="G296" t="s">
        <v>27</v>
      </c>
      <c r="H296" t="str">
        <v>N/A</v>
      </c>
    </row>
    <row r="297" spans="1:8" hidden="1" x14ac:dyDescent="0.3">
      <c r="A297" t="s">
        <v>75</v>
      </c>
      <c r="B297" t="s">
        <v>157</v>
      </c>
      <c r="C297">
        <v>7</v>
      </c>
      <c r="D297">
        <v>4</v>
      </c>
      <c r="E297" s="33">
        <v>0.5714285714285714</v>
      </c>
      <c r="F297" t="s">
        <v>26</v>
      </c>
      <c r="G297" t="s">
        <v>27</v>
      </c>
      <c r="H297" t="str">
        <v>N/A</v>
      </c>
    </row>
    <row r="298" spans="1:8" hidden="1" x14ac:dyDescent="0.3">
      <c r="A298" t="s">
        <v>75</v>
      </c>
      <c r="B298" t="s">
        <v>156</v>
      </c>
      <c r="C298">
        <v>1</v>
      </c>
      <c r="D298">
        <v>1</v>
      </c>
      <c r="E298" s="33">
        <v>1</v>
      </c>
      <c r="F298" t="s">
        <v>26</v>
      </c>
      <c r="G298" t="s">
        <v>27</v>
      </c>
      <c r="H298" t="str">
        <v>N/A</v>
      </c>
    </row>
    <row r="299" spans="1:8" x14ac:dyDescent="0.3">
      <c r="A299" t="s">
        <v>76</v>
      </c>
      <c r="B299" t="s">
        <v>159</v>
      </c>
      <c r="C299">
        <v>34</v>
      </c>
      <c r="D299">
        <v>19</v>
      </c>
      <c r="E299" s="33">
        <v>0.55882352941176472</v>
      </c>
      <c r="F299" t="s">
        <v>19</v>
      </c>
      <c r="G299">
        <v>6</v>
      </c>
      <c r="H299" t="str">
        <v>A</v>
      </c>
    </row>
    <row r="300" spans="1:8" x14ac:dyDescent="0.3">
      <c r="A300" t="s">
        <v>76</v>
      </c>
      <c r="B300" t="s">
        <v>157</v>
      </c>
      <c r="C300">
        <v>59</v>
      </c>
      <c r="D300">
        <v>30</v>
      </c>
      <c r="E300" s="33">
        <v>0.50847457627118642</v>
      </c>
      <c r="F300" t="s">
        <v>19</v>
      </c>
      <c r="G300">
        <v>20</v>
      </c>
      <c r="H300" t="str">
        <v>B</v>
      </c>
    </row>
    <row r="301" spans="1:8" x14ac:dyDescent="0.3">
      <c r="A301" t="s">
        <v>76</v>
      </c>
      <c r="B301" t="s">
        <v>156</v>
      </c>
      <c r="C301">
        <v>82</v>
      </c>
      <c r="D301">
        <v>49</v>
      </c>
      <c r="E301" s="33">
        <v>0.59756097560975607</v>
      </c>
      <c r="F301" t="s">
        <v>19</v>
      </c>
      <c r="G301">
        <v>8</v>
      </c>
      <c r="H301" t="str">
        <v>A</v>
      </c>
    </row>
    <row r="302" spans="1:8" hidden="1" x14ac:dyDescent="0.3">
      <c r="A302" t="s">
        <v>76</v>
      </c>
      <c r="B302" t="s">
        <v>18</v>
      </c>
      <c r="C302">
        <v>3</v>
      </c>
      <c r="D302">
        <v>1</v>
      </c>
      <c r="E302" s="33">
        <v>0.33333333333333331</v>
      </c>
      <c r="F302" t="s">
        <v>26</v>
      </c>
      <c r="G302" t="s">
        <v>27</v>
      </c>
      <c r="H302" t="str">
        <v>N/A</v>
      </c>
    </row>
    <row r="303" spans="1:8" hidden="1" x14ac:dyDescent="0.3">
      <c r="A303" t="s">
        <v>76</v>
      </c>
      <c r="B303" t="s">
        <v>158</v>
      </c>
      <c r="C303">
        <v>1</v>
      </c>
      <c r="D303">
        <v>1</v>
      </c>
      <c r="E303" s="33">
        <v>1</v>
      </c>
      <c r="F303" t="s">
        <v>26</v>
      </c>
      <c r="G303" t="s">
        <v>27</v>
      </c>
      <c r="H303" t="str">
        <v>N/A</v>
      </c>
    </row>
    <row r="304" spans="1:8" x14ac:dyDescent="0.3">
      <c r="A304" t="s">
        <v>77</v>
      </c>
      <c r="B304" t="s">
        <v>156</v>
      </c>
      <c r="C304">
        <v>149</v>
      </c>
      <c r="D304">
        <v>67</v>
      </c>
      <c r="E304" s="33">
        <v>0.44966442953020136</v>
      </c>
      <c r="F304" t="s">
        <v>19</v>
      </c>
      <c r="G304">
        <v>26</v>
      </c>
      <c r="H304" t="str">
        <v>C</v>
      </c>
    </row>
    <row r="305" spans="1:8" x14ac:dyDescent="0.3">
      <c r="A305" t="s">
        <v>77</v>
      </c>
      <c r="B305" t="s">
        <v>157</v>
      </c>
      <c r="C305">
        <v>71</v>
      </c>
      <c r="D305">
        <v>38</v>
      </c>
      <c r="E305" s="33">
        <v>0.53521126760563376</v>
      </c>
      <c r="F305" t="s">
        <v>19</v>
      </c>
      <c r="G305">
        <v>15</v>
      </c>
      <c r="H305" t="str">
        <v>B</v>
      </c>
    </row>
    <row r="306" spans="1:8" hidden="1" x14ac:dyDescent="0.3">
      <c r="A306" t="s">
        <v>77</v>
      </c>
      <c r="B306" t="s">
        <v>158</v>
      </c>
      <c r="C306">
        <v>2</v>
      </c>
      <c r="D306">
        <v>1</v>
      </c>
      <c r="E306" s="33">
        <v>0.5</v>
      </c>
      <c r="F306" t="s">
        <v>26</v>
      </c>
      <c r="G306" t="s">
        <v>27</v>
      </c>
      <c r="H306" t="str">
        <v>N/A</v>
      </c>
    </row>
    <row r="307" spans="1:8" x14ac:dyDescent="0.3">
      <c r="A307" t="s">
        <v>77</v>
      </c>
      <c r="B307" t="s">
        <v>18</v>
      </c>
      <c r="C307">
        <v>22</v>
      </c>
      <c r="D307">
        <v>15</v>
      </c>
      <c r="E307" s="33">
        <v>0.68181818181818177</v>
      </c>
      <c r="F307" t="s">
        <v>19</v>
      </c>
      <c r="G307">
        <v>2</v>
      </c>
      <c r="H307" t="str">
        <v>S</v>
      </c>
    </row>
    <row r="308" spans="1:8" hidden="1" x14ac:dyDescent="0.3">
      <c r="A308" t="s">
        <v>77</v>
      </c>
      <c r="B308" t="s">
        <v>155</v>
      </c>
      <c r="C308">
        <v>4</v>
      </c>
      <c r="D308">
        <v>3</v>
      </c>
      <c r="E308" s="33">
        <v>0.75</v>
      </c>
      <c r="F308" t="s">
        <v>26</v>
      </c>
      <c r="G308" t="s">
        <v>27</v>
      </c>
      <c r="H308" t="str">
        <v>N/A</v>
      </c>
    </row>
    <row r="309" spans="1:8" hidden="1" x14ac:dyDescent="0.3">
      <c r="A309" t="s">
        <v>77</v>
      </c>
      <c r="B309" t="s">
        <v>159</v>
      </c>
      <c r="C309">
        <v>3</v>
      </c>
      <c r="D309">
        <v>1</v>
      </c>
      <c r="E309" s="33">
        <v>0.33333333333333331</v>
      </c>
      <c r="F309" t="s">
        <v>26</v>
      </c>
      <c r="G309" t="s">
        <v>27</v>
      </c>
      <c r="H309" t="str">
        <v>N/A</v>
      </c>
    </row>
    <row r="310" spans="1:8" hidden="1" x14ac:dyDescent="0.3">
      <c r="A310" t="s">
        <v>78</v>
      </c>
      <c r="B310" t="s">
        <v>157</v>
      </c>
      <c r="C310">
        <v>4</v>
      </c>
      <c r="D310">
        <v>3</v>
      </c>
      <c r="E310" s="33">
        <v>0.75</v>
      </c>
      <c r="F310" t="s">
        <v>26</v>
      </c>
      <c r="G310" t="s">
        <v>27</v>
      </c>
      <c r="H310" t="str">
        <v>N/A</v>
      </c>
    </row>
    <row r="311" spans="1:8" x14ac:dyDescent="0.3">
      <c r="A311" t="s">
        <v>78</v>
      </c>
      <c r="B311" t="s">
        <v>18</v>
      </c>
      <c r="C311">
        <v>15</v>
      </c>
      <c r="D311">
        <v>8</v>
      </c>
      <c r="E311" s="33">
        <v>0.53333333333333333</v>
      </c>
      <c r="F311" t="s">
        <v>19</v>
      </c>
      <c r="G311">
        <v>13</v>
      </c>
      <c r="H311" t="str">
        <v>B</v>
      </c>
    </row>
    <row r="312" spans="1:8" hidden="1" x14ac:dyDescent="0.3">
      <c r="A312" t="s">
        <v>78</v>
      </c>
      <c r="B312" t="s">
        <v>156</v>
      </c>
      <c r="C312">
        <v>3</v>
      </c>
      <c r="D312">
        <v>2</v>
      </c>
      <c r="E312" s="33">
        <v>0.66666666666666663</v>
      </c>
      <c r="F312" t="s">
        <v>26</v>
      </c>
      <c r="G312" t="s">
        <v>27</v>
      </c>
      <c r="H312" t="str">
        <v>N/A</v>
      </c>
    </row>
    <row r="313" spans="1:8" hidden="1" x14ac:dyDescent="0.3">
      <c r="A313" t="s">
        <v>78</v>
      </c>
      <c r="B313" t="s">
        <v>155</v>
      </c>
      <c r="C313">
        <v>2</v>
      </c>
      <c r="D313">
        <v>0</v>
      </c>
      <c r="E313" s="33">
        <v>0</v>
      </c>
      <c r="F313" t="s">
        <v>26</v>
      </c>
      <c r="G313" t="s">
        <v>27</v>
      </c>
      <c r="H313" t="str">
        <v>N/A</v>
      </c>
    </row>
    <row r="314" spans="1:8" hidden="1" x14ac:dyDescent="0.3">
      <c r="A314" t="s">
        <v>78</v>
      </c>
      <c r="B314" t="s">
        <v>158</v>
      </c>
      <c r="C314">
        <v>2</v>
      </c>
      <c r="D314">
        <v>1</v>
      </c>
      <c r="E314" s="33">
        <v>0.5</v>
      </c>
      <c r="F314" t="s">
        <v>26</v>
      </c>
      <c r="G314" t="s">
        <v>27</v>
      </c>
      <c r="H314" t="str">
        <v>N/A</v>
      </c>
    </row>
    <row r="315" spans="1:8" x14ac:dyDescent="0.3">
      <c r="A315" t="s">
        <v>134</v>
      </c>
      <c r="B315" t="s">
        <v>156</v>
      </c>
      <c r="C315">
        <v>42</v>
      </c>
      <c r="D315">
        <v>26</v>
      </c>
      <c r="E315" s="33">
        <v>0.61904761904761907</v>
      </c>
      <c r="F315" t="s">
        <v>19</v>
      </c>
      <c r="G315">
        <v>6</v>
      </c>
      <c r="H315" t="str">
        <v>A</v>
      </c>
    </row>
    <row r="316" spans="1:8" x14ac:dyDescent="0.3">
      <c r="A316" t="s">
        <v>134</v>
      </c>
      <c r="B316" t="s">
        <v>157</v>
      </c>
      <c r="C316">
        <v>19</v>
      </c>
      <c r="D316">
        <v>8</v>
      </c>
      <c r="E316" s="33">
        <v>0.42105263157894735</v>
      </c>
      <c r="F316" t="s">
        <v>19</v>
      </c>
      <c r="G316">
        <v>35</v>
      </c>
      <c r="H316" t="str">
        <v>C</v>
      </c>
    </row>
    <row r="317" spans="1:8" hidden="1" x14ac:dyDescent="0.3">
      <c r="A317" t="s">
        <v>134</v>
      </c>
      <c r="B317" t="s">
        <v>159</v>
      </c>
      <c r="C317">
        <v>8</v>
      </c>
      <c r="D317">
        <v>4</v>
      </c>
      <c r="E317" s="33">
        <v>0.5</v>
      </c>
      <c r="F317" t="s">
        <v>26</v>
      </c>
      <c r="G317" t="s">
        <v>27</v>
      </c>
      <c r="H317" t="str">
        <v>N/A</v>
      </c>
    </row>
    <row r="318" spans="1:8" hidden="1" x14ac:dyDescent="0.3">
      <c r="A318" t="s">
        <v>134</v>
      </c>
      <c r="B318" t="s">
        <v>155</v>
      </c>
      <c r="C318">
        <v>1</v>
      </c>
      <c r="D318">
        <v>0</v>
      </c>
      <c r="E318" s="33">
        <v>0</v>
      </c>
      <c r="F318" t="s">
        <v>26</v>
      </c>
      <c r="G318" t="s">
        <v>27</v>
      </c>
      <c r="H318" t="str">
        <v>N/A</v>
      </c>
    </row>
    <row r="319" spans="1:8" hidden="1" x14ac:dyDescent="0.3">
      <c r="A319" t="s">
        <v>134</v>
      </c>
      <c r="B319" t="s">
        <v>158</v>
      </c>
      <c r="C319">
        <v>1</v>
      </c>
      <c r="D319">
        <v>0</v>
      </c>
      <c r="E319" s="33">
        <v>0</v>
      </c>
      <c r="F319" t="s">
        <v>26</v>
      </c>
      <c r="G319" t="s">
        <v>27</v>
      </c>
      <c r="H319" t="str">
        <v>N/A</v>
      </c>
    </row>
    <row r="320" spans="1:8" x14ac:dyDescent="0.3">
      <c r="A320" t="s">
        <v>135</v>
      </c>
      <c r="B320" t="s">
        <v>158</v>
      </c>
      <c r="C320">
        <v>45</v>
      </c>
      <c r="D320">
        <v>25</v>
      </c>
      <c r="E320" s="33">
        <v>0.55555555555555558</v>
      </c>
      <c r="F320" t="s">
        <v>19</v>
      </c>
      <c r="G320">
        <v>11</v>
      </c>
      <c r="H320" t="str">
        <v>A</v>
      </c>
    </row>
    <row r="321" spans="1:8" hidden="1" x14ac:dyDescent="0.3">
      <c r="A321" t="s">
        <v>135</v>
      </c>
      <c r="B321" t="s">
        <v>155</v>
      </c>
      <c r="C321">
        <v>1</v>
      </c>
      <c r="D321">
        <v>0</v>
      </c>
      <c r="E321" s="33">
        <v>0</v>
      </c>
      <c r="F321" t="s">
        <v>26</v>
      </c>
      <c r="G321" t="s">
        <v>27</v>
      </c>
      <c r="H321" t="str">
        <v>N/A</v>
      </c>
    </row>
    <row r="322" spans="1:8" x14ac:dyDescent="0.3">
      <c r="A322" t="s">
        <v>79</v>
      </c>
      <c r="B322" t="s">
        <v>18</v>
      </c>
      <c r="C322">
        <v>303</v>
      </c>
      <c r="D322">
        <v>155</v>
      </c>
      <c r="E322" s="33">
        <v>0.51155115511551152</v>
      </c>
      <c r="F322" t="s">
        <v>19</v>
      </c>
      <c r="G322">
        <v>20</v>
      </c>
      <c r="H322" t="str">
        <v>B</v>
      </c>
    </row>
    <row r="323" spans="1:8" x14ac:dyDescent="0.3">
      <c r="A323" t="s">
        <v>79</v>
      </c>
      <c r="B323" t="s">
        <v>158</v>
      </c>
      <c r="C323">
        <v>335</v>
      </c>
      <c r="D323">
        <v>184</v>
      </c>
      <c r="E323" s="33">
        <v>0.54925373134328359</v>
      </c>
      <c r="F323" t="s">
        <v>19</v>
      </c>
      <c r="G323">
        <v>12</v>
      </c>
      <c r="H323" t="str">
        <v>B</v>
      </c>
    </row>
    <row r="324" spans="1:8" hidden="1" x14ac:dyDescent="0.3">
      <c r="A324" t="s">
        <v>79</v>
      </c>
      <c r="B324" t="s">
        <v>157</v>
      </c>
      <c r="C324">
        <v>2</v>
      </c>
      <c r="D324">
        <v>1</v>
      </c>
      <c r="E324" s="33">
        <v>0.5</v>
      </c>
      <c r="F324" t="s">
        <v>26</v>
      </c>
      <c r="G324" t="s">
        <v>27</v>
      </c>
      <c r="H324" t="str">
        <v>N/A</v>
      </c>
    </row>
    <row r="325" spans="1:8" hidden="1" x14ac:dyDescent="0.3">
      <c r="A325" t="s">
        <v>79</v>
      </c>
      <c r="B325" t="s">
        <v>159</v>
      </c>
      <c r="C325">
        <v>1</v>
      </c>
      <c r="D325">
        <v>0</v>
      </c>
      <c r="E325" s="33">
        <v>0</v>
      </c>
      <c r="F325" t="s">
        <v>26</v>
      </c>
      <c r="G325" t="s">
        <v>27</v>
      </c>
      <c r="H325" t="str">
        <v>N/A</v>
      </c>
    </row>
    <row r="326" spans="1:8" hidden="1" x14ac:dyDescent="0.3">
      <c r="A326" t="s">
        <v>79</v>
      </c>
      <c r="B326" t="s">
        <v>155</v>
      </c>
      <c r="C326">
        <v>2</v>
      </c>
      <c r="D326">
        <v>2</v>
      </c>
      <c r="E326" s="33">
        <v>1</v>
      </c>
      <c r="F326" t="s">
        <v>26</v>
      </c>
      <c r="G326" t="s">
        <v>27</v>
      </c>
      <c r="H326" t="str">
        <v>N/A</v>
      </c>
    </row>
    <row r="327" spans="1:8" hidden="1" x14ac:dyDescent="0.3">
      <c r="A327" t="s">
        <v>136</v>
      </c>
      <c r="B327" t="s">
        <v>156</v>
      </c>
      <c r="C327">
        <v>2</v>
      </c>
      <c r="D327">
        <v>1</v>
      </c>
      <c r="E327" s="33">
        <v>0.5</v>
      </c>
      <c r="F327" t="s">
        <v>26</v>
      </c>
      <c r="G327" t="s">
        <v>27</v>
      </c>
      <c r="H327" t="str">
        <v>N/A</v>
      </c>
    </row>
    <row r="328" spans="1:8" x14ac:dyDescent="0.3">
      <c r="A328" t="s">
        <v>68</v>
      </c>
      <c r="B328" t="s">
        <v>155</v>
      </c>
      <c r="C328">
        <v>23</v>
      </c>
      <c r="D328">
        <v>11</v>
      </c>
      <c r="E328" s="33">
        <v>0.47826086956521741</v>
      </c>
      <c r="F328" t="s">
        <v>19</v>
      </c>
      <c r="G328">
        <v>22</v>
      </c>
      <c r="H328" t="str">
        <v>C</v>
      </c>
    </row>
    <row r="329" spans="1:8" hidden="1" x14ac:dyDescent="0.3">
      <c r="A329" t="s">
        <v>136</v>
      </c>
      <c r="B329" t="s">
        <v>157</v>
      </c>
      <c r="C329">
        <v>1</v>
      </c>
      <c r="D329">
        <v>0</v>
      </c>
      <c r="E329" s="33">
        <v>0</v>
      </c>
      <c r="F329" t="s">
        <v>26</v>
      </c>
      <c r="G329" t="s">
        <v>27</v>
      </c>
      <c r="H329" t="str">
        <v>N/A</v>
      </c>
    </row>
    <row r="330" spans="1:8" x14ac:dyDescent="0.3">
      <c r="A330" t="s">
        <v>141</v>
      </c>
      <c r="B330" t="s">
        <v>155</v>
      </c>
      <c r="C330">
        <v>17</v>
      </c>
      <c r="D330">
        <v>8</v>
      </c>
      <c r="E330" s="33">
        <v>0.47058823529411764</v>
      </c>
      <c r="F330" t="s">
        <v>19</v>
      </c>
      <c r="G330">
        <v>23</v>
      </c>
      <c r="H330" t="str">
        <v>C</v>
      </c>
    </row>
    <row r="331" spans="1:8" x14ac:dyDescent="0.3">
      <c r="A331" t="s">
        <v>80</v>
      </c>
      <c r="B331" t="s">
        <v>18</v>
      </c>
      <c r="C331">
        <v>97</v>
      </c>
      <c r="D331">
        <v>71</v>
      </c>
      <c r="E331" s="33">
        <v>0.73195876288659789</v>
      </c>
      <c r="F331" t="s">
        <v>19</v>
      </c>
      <c r="G331">
        <v>1</v>
      </c>
      <c r="H331" t="str">
        <v>S</v>
      </c>
    </row>
    <row r="332" spans="1:8" x14ac:dyDescent="0.3">
      <c r="A332" t="s">
        <v>80</v>
      </c>
      <c r="B332" t="s">
        <v>159</v>
      </c>
      <c r="C332">
        <v>84</v>
      </c>
      <c r="D332">
        <v>41</v>
      </c>
      <c r="E332" s="33">
        <v>0.48809523809523808</v>
      </c>
      <c r="F332" t="s">
        <v>19</v>
      </c>
      <c r="G332">
        <v>15</v>
      </c>
      <c r="H332" t="str">
        <v>B</v>
      </c>
    </row>
    <row r="333" spans="1:8" x14ac:dyDescent="0.3">
      <c r="A333" t="s">
        <v>80</v>
      </c>
      <c r="B333" t="s">
        <v>157</v>
      </c>
      <c r="C333">
        <v>302</v>
      </c>
      <c r="D333">
        <v>172</v>
      </c>
      <c r="E333" s="33">
        <v>0.56953642384105962</v>
      </c>
      <c r="F333" t="s">
        <v>19</v>
      </c>
      <c r="G333">
        <v>12</v>
      </c>
      <c r="H333" t="str">
        <v>A</v>
      </c>
    </row>
    <row r="334" spans="1:8" x14ac:dyDescent="0.3">
      <c r="A334" t="s">
        <v>80</v>
      </c>
      <c r="B334" t="s">
        <v>156</v>
      </c>
      <c r="C334">
        <v>85</v>
      </c>
      <c r="D334">
        <v>56</v>
      </c>
      <c r="E334" s="33">
        <v>0.6588235294117647</v>
      </c>
      <c r="F334" t="s">
        <v>19</v>
      </c>
      <c r="G334">
        <v>4</v>
      </c>
      <c r="H334" t="str">
        <v>S</v>
      </c>
    </row>
    <row r="335" spans="1:8" x14ac:dyDescent="0.3">
      <c r="A335" t="s">
        <v>80</v>
      </c>
      <c r="B335" t="s">
        <v>158</v>
      </c>
      <c r="C335">
        <v>13</v>
      </c>
      <c r="D335">
        <v>7</v>
      </c>
      <c r="E335" s="33">
        <v>0.53846153846153844</v>
      </c>
      <c r="F335" t="s">
        <v>19</v>
      </c>
      <c r="G335">
        <v>14</v>
      </c>
      <c r="H335" t="str">
        <v>B</v>
      </c>
    </row>
    <row r="336" spans="1:8" x14ac:dyDescent="0.3">
      <c r="A336" t="s">
        <v>144</v>
      </c>
      <c r="B336" t="s">
        <v>155</v>
      </c>
      <c r="C336">
        <v>185</v>
      </c>
      <c r="D336">
        <v>86</v>
      </c>
      <c r="E336" s="33">
        <v>0.46486486486486489</v>
      </c>
      <c r="F336" t="s">
        <v>19</v>
      </c>
      <c r="G336">
        <v>23</v>
      </c>
      <c r="H336" t="str">
        <v>C</v>
      </c>
    </row>
    <row r="337" spans="1:8" x14ac:dyDescent="0.3">
      <c r="A337" t="s">
        <v>81</v>
      </c>
      <c r="B337" t="s">
        <v>18</v>
      </c>
      <c r="C337">
        <v>89</v>
      </c>
      <c r="D337">
        <v>42</v>
      </c>
      <c r="E337" s="33">
        <v>0.47191011235955055</v>
      </c>
      <c r="F337" t="s">
        <v>19</v>
      </c>
      <c r="G337">
        <v>25</v>
      </c>
      <c r="H337" t="str">
        <v>C</v>
      </c>
    </row>
    <row r="338" spans="1:8" x14ac:dyDescent="0.3">
      <c r="A338" t="s">
        <v>81</v>
      </c>
      <c r="B338" t="s">
        <v>158</v>
      </c>
      <c r="C338">
        <v>27</v>
      </c>
      <c r="D338">
        <v>13</v>
      </c>
      <c r="E338" s="33">
        <v>0.48148148148148145</v>
      </c>
      <c r="F338" t="s">
        <v>19</v>
      </c>
      <c r="G338">
        <v>26</v>
      </c>
      <c r="H338" t="str">
        <v>B</v>
      </c>
    </row>
    <row r="339" spans="1:8" hidden="1" x14ac:dyDescent="0.3">
      <c r="A339" t="s">
        <v>81</v>
      </c>
      <c r="B339" t="s">
        <v>157</v>
      </c>
      <c r="C339">
        <v>4</v>
      </c>
      <c r="D339">
        <v>3</v>
      </c>
      <c r="E339" s="33">
        <v>0.75</v>
      </c>
      <c r="F339" t="s">
        <v>26</v>
      </c>
      <c r="G339" t="s">
        <v>27</v>
      </c>
      <c r="H339" t="str">
        <v>N/A</v>
      </c>
    </row>
    <row r="340" spans="1:8" x14ac:dyDescent="0.3">
      <c r="A340" t="s">
        <v>138</v>
      </c>
      <c r="B340" t="s">
        <v>158</v>
      </c>
      <c r="C340">
        <v>273</v>
      </c>
      <c r="D340">
        <v>155</v>
      </c>
      <c r="E340" s="33">
        <v>0.56776556776556775</v>
      </c>
      <c r="F340" t="s">
        <v>19</v>
      </c>
      <c r="G340">
        <v>9</v>
      </c>
      <c r="H340" t="str">
        <v>A</v>
      </c>
    </row>
    <row r="341" spans="1:8" hidden="1" x14ac:dyDescent="0.3">
      <c r="A341" t="s">
        <v>138</v>
      </c>
      <c r="B341" t="s">
        <v>157</v>
      </c>
      <c r="C341">
        <v>1</v>
      </c>
      <c r="D341">
        <v>1</v>
      </c>
      <c r="E341" s="33">
        <v>1</v>
      </c>
      <c r="F341" t="s">
        <v>26</v>
      </c>
      <c r="G341" t="s">
        <v>27</v>
      </c>
      <c r="H341" t="str">
        <v>N/A</v>
      </c>
    </row>
    <row r="342" spans="1:8" x14ac:dyDescent="0.3">
      <c r="A342" t="s">
        <v>82</v>
      </c>
      <c r="B342" t="s">
        <v>157</v>
      </c>
      <c r="C342">
        <v>77</v>
      </c>
      <c r="D342">
        <v>41</v>
      </c>
      <c r="E342" s="33">
        <v>0.53246753246753242</v>
      </c>
      <c r="F342" t="s">
        <v>19</v>
      </c>
      <c r="G342">
        <v>16</v>
      </c>
      <c r="H342" t="str">
        <v>B</v>
      </c>
    </row>
    <row r="343" spans="1:8" x14ac:dyDescent="0.3">
      <c r="A343" t="s">
        <v>82</v>
      </c>
      <c r="B343" t="s">
        <v>158</v>
      </c>
      <c r="C343">
        <v>55</v>
      </c>
      <c r="D343">
        <v>26</v>
      </c>
      <c r="E343" s="33">
        <v>0.47272727272727272</v>
      </c>
      <c r="F343" t="s">
        <v>19</v>
      </c>
      <c r="G343">
        <v>29</v>
      </c>
      <c r="H343" t="str">
        <v>C</v>
      </c>
    </row>
    <row r="344" spans="1:8" x14ac:dyDescent="0.3">
      <c r="A344" t="s">
        <v>82</v>
      </c>
      <c r="B344" t="s">
        <v>18</v>
      </c>
      <c r="C344">
        <v>56</v>
      </c>
      <c r="D344">
        <v>23</v>
      </c>
      <c r="E344" s="33">
        <v>0.4107142857142857</v>
      </c>
      <c r="F344" t="s">
        <v>19</v>
      </c>
      <c r="G344">
        <v>33</v>
      </c>
      <c r="H344" t="str">
        <v>C</v>
      </c>
    </row>
    <row r="345" spans="1:8" x14ac:dyDescent="0.3">
      <c r="A345" t="s">
        <v>116</v>
      </c>
      <c r="B345" t="s">
        <v>155</v>
      </c>
      <c r="C345">
        <v>63</v>
      </c>
      <c r="D345">
        <v>29</v>
      </c>
      <c r="E345" s="33">
        <v>0.46031746031746029</v>
      </c>
      <c r="F345" t="s">
        <v>19</v>
      </c>
      <c r="G345">
        <v>23</v>
      </c>
      <c r="H345" t="str">
        <v>C</v>
      </c>
    </row>
    <row r="346" spans="1:8" x14ac:dyDescent="0.3">
      <c r="A346" t="s">
        <v>82</v>
      </c>
      <c r="B346" t="s">
        <v>159</v>
      </c>
      <c r="C346">
        <v>19</v>
      </c>
      <c r="D346">
        <v>8</v>
      </c>
      <c r="E346" s="33">
        <v>0.42105263157894735</v>
      </c>
      <c r="F346" t="s">
        <v>19</v>
      </c>
      <c r="G346">
        <v>22</v>
      </c>
      <c r="H346" t="str">
        <v>C</v>
      </c>
    </row>
    <row r="347" spans="1:8" x14ac:dyDescent="0.3">
      <c r="A347" t="s">
        <v>82</v>
      </c>
      <c r="B347" t="s">
        <v>156</v>
      </c>
      <c r="C347">
        <v>71</v>
      </c>
      <c r="D347">
        <v>28</v>
      </c>
      <c r="E347" s="33">
        <v>0.39436619718309857</v>
      </c>
      <c r="F347" t="s">
        <v>19</v>
      </c>
      <c r="G347">
        <v>32</v>
      </c>
      <c r="H347" t="str">
        <v>C</v>
      </c>
    </row>
    <row r="348" spans="1:8" x14ac:dyDescent="0.3">
      <c r="A348" t="s">
        <v>83</v>
      </c>
      <c r="B348" t="s">
        <v>156</v>
      </c>
      <c r="C348">
        <v>14</v>
      </c>
      <c r="D348">
        <v>11</v>
      </c>
      <c r="E348" s="33">
        <v>0.7857142857142857</v>
      </c>
      <c r="F348" t="s">
        <v>19</v>
      </c>
      <c r="G348">
        <v>1</v>
      </c>
      <c r="H348" t="str">
        <v>S</v>
      </c>
    </row>
    <row r="349" spans="1:8" hidden="1" x14ac:dyDescent="0.3">
      <c r="A349" t="s">
        <v>83</v>
      </c>
      <c r="B349" t="s">
        <v>159</v>
      </c>
      <c r="C349">
        <v>7</v>
      </c>
      <c r="D349">
        <v>3</v>
      </c>
      <c r="E349" s="33">
        <v>0.42857142857142855</v>
      </c>
      <c r="F349" t="s">
        <v>26</v>
      </c>
      <c r="G349" t="s">
        <v>27</v>
      </c>
      <c r="H349" t="str">
        <v>N/A</v>
      </c>
    </row>
    <row r="350" spans="1:8" x14ac:dyDescent="0.3">
      <c r="A350" t="s">
        <v>83</v>
      </c>
      <c r="B350" t="s">
        <v>157</v>
      </c>
      <c r="C350">
        <v>28</v>
      </c>
      <c r="D350">
        <v>16</v>
      </c>
      <c r="E350" s="33">
        <v>0.5714285714285714</v>
      </c>
      <c r="F350" t="s">
        <v>19</v>
      </c>
      <c r="G350">
        <v>9</v>
      </c>
      <c r="H350" t="str">
        <v>A</v>
      </c>
    </row>
    <row r="351" spans="1:8" hidden="1" x14ac:dyDescent="0.3">
      <c r="A351" t="s">
        <v>83</v>
      </c>
      <c r="B351" t="s">
        <v>158</v>
      </c>
      <c r="C351">
        <v>2</v>
      </c>
      <c r="D351">
        <v>1</v>
      </c>
      <c r="E351" s="33">
        <v>0.5</v>
      </c>
      <c r="F351" t="s">
        <v>26</v>
      </c>
      <c r="G351" t="s">
        <v>27</v>
      </c>
      <c r="H351" t="str">
        <v>N/A</v>
      </c>
    </row>
    <row r="352" spans="1:8" hidden="1" x14ac:dyDescent="0.3">
      <c r="A352" t="s">
        <v>83</v>
      </c>
      <c r="B352" t="s">
        <v>18</v>
      </c>
      <c r="C352">
        <v>1</v>
      </c>
      <c r="D352">
        <v>0</v>
      </c>
      <c r="E352" s="33">
        <v>0</v>
      </c>
      <c r="F352" t="s">
        <v>26</v>
      </c>
      <c r="G352" t="s">
        <v>27</v>
      </c>
      <c r="H352" t="str">
        <v>N/A</v>
      </c>
    </row>
    <row r="353" spans="1:8" x14ac:dyDescent="0.3">
      <c r="A353" t="s">
        <v>84</v>
      </c>
      <c r="B353" t="s">
        <v>158</v>
      </c>
      <c r="C353">
        <v>438</v>
      </c>
      <c r="D353">
        <v>221</v>
      </c>
      <c r="E353" s="33">
        <v>0.50456621004566216</v>
      </c>
      <c r="F353" t="s">
        <v>19</v>
      </c>
      <c r="G353">
        <v>20</v>
      </c>
      <c r="H353" t="str">
        <v>B</v>
      </c>
    </row>
    <row r="354" spans="1:8" x14ac:dyDescent="0.3">
      <c r="A354" t="s">
        <v>84</v>
      </c>
      <c r="B354" t="s">
        <v>18</v>
      </c>
      <c r="C354">
        <v>18</v>
      </c>
      <c r="D354">
        <v>7</v>
      </c>
      <c r="E354" s="33">
        <v>0.3888888888888889</v>
      </c>
      <c r="F354" t="s">
        <v>19</v>
      </c>
      <c r="G354">
        <v>35</v>
      </c>
      <c r="H354" t="str">
        <v>C</v>
      </c>
    </row>
    <row r="355" spans="1:8" hidden="1" x14ac:dyDescent="0.3">
      <c r="A355" t="s">
        <v>84</v>
      </c>
      <c r="B355" t="s">
        <v>157</v>
      </c>
      <c r="C355">
        <v>7</v>
      </c>
      <c r="D355">
        <v>1</v>
      </c>
      <c r="E355" s="33">
        <v>0.14285714285714285</v>
      </c>
      <c r="F355" t="s">
        <v>26</v>
      </c>
      <c r="G355" t="s">
        <v>27</v>
      </c>
      <c r="H355" t="str">
        <v>N/A</v>
      </c>
    </row>
    <row r="356" spans="1:8" x14ac:dyDescent="0.3">
      <c r="A356" t="s">
        <v>137</v>
      </c>
      <c r="B356" t="s">
        <v>155</v>
      </c>
      <c r="C356">
        <v>51</v>
      </c>
      <c r="D356">
        <v>23</v>
      </c>
      <c r="E356" s="33">
        <v>0.45098039215686275</v>
      </c>
      <c r="F356" t="s">
        <v>19</v>
      </c>
      <c r="G356">
        <v>23</v>
      </c>
      <c r="H356" t="str">
        <v>C</v>
      </c>
    </row>
    <row r="357" spans="1:8" hidden="1" x14ac:dyDescent="0.3">
      <c r="A357" t="s">
        <v>84</v>
      </c>
      <c r="B357" t="s">
        <v>156</v>
      </c>
      <c r="C357">
        <v>3</v>
      </c>
      <c r="D357">
        <v>2</v>
      </c>
      <c r="E357" s="33">
        <v>0.66666666666666663</v>
      </c>
      <c r="F357" t="s">
        <v>26</v>
      </c>
      <c r="G357" t="s">
        <v>27</v>
      </c>
      <c r="H357" t="str">
        <v>N/A</v>
      </c>
    </row>
    <row r="358" spans="1:8" x14ac:dyDescent="0.3">
      <c r="A358" t="s">
        <v>90</v>
      </c>
      <c r="B358" t="s">
        <v>155</v>
      </c>
      <c r="C358">
        <v>187</v>
      </c>
      <c r="D358">
        <v>83</v>
      </c>
      <c r="E358" s="33">
        <v>0.44385026737967914</v>
      </c>
      <c r="F358" t="s">
        <v>19</v>
      </c>
      <c r="G358">
        <v>24</v>
      </c>
      <c r="H358" t="str">
        <v>C</v>
      </c>
    </row>
    <row r="359" spans="1:8" x14ac:dyDescent="0.3">
      <c r="A359" t="s">
        <v>85</v>
      </c>
      <c r="B359" t="s">
        <v>158</v>
      </c>
      <c r="C359">
        <v>28</v>
      </c>
      <c r="D359">
        <v>13</v>
      </c>
      <c r="E359" s="33">
        <v>0.4642857142857143</v>
      </c>
      <c r="F359" t="s">
        <v>19</v>
      </c>
      <c r="G359">
        <v>30</v>
      </c>
      <c r="H359" t="str">
        <v>C</v>
      </c>
    </row>
    <row r="360" spans="1:8" x14ac:dyDescent="0.3">
      <c r="A360" t="s">
        <v>85</v>
      </c>
      <c r="B360" t="s">
        <v>18</v>
      </c>
      <c r="C360">
        <v>68</v>
      </c>
      <c r="D360">
        <v>28</v>
      </c>
      <c r="E360" s="33">
        <v>0.41176470588235292</v>
      </c>
      <c r="F360" t="s">
        <v>19</v>
      </c>
      <c r="G360">
        <v>32</v>
      </c>
      <c r="H360" t="str">
        <v>C</v>
      </c>
    </row>
    <row r="361" spans="1:8" hidden="1" x14ac:dyDescent="0.3">
      <c r="A361" t="s">
        <v>85</v>
      </c>
      <c r="B361" t="s">
        <v>157</v>
      </c>
      <c r="C361">
        <v>3</v>
      </c>
      <c r="D361">
        <v>1</v>
      </c>
      <c r="E361" s="33">
        <v>0.33333333333333331</v>
      </c>
      <c r="F361" t="s">
        <v>26</v>
      </c>
      <c r="G361" t="s">
        <v>27</v>
      </c>
      <c r="H361" t="str">
        <v>N/A</v>
      </c>
    </row>
    <row r="362" spans="1:8" x14ac:dyDescent="0.3">
      <c r="A362" t="s">
        <v>86</v>
      </c>
      <c r="B362" t="s">
        <v>158</v>
      </c>
      <c r="C362">
        <v>24</v>
      </c>
      <c r="D362">
        <v>8</v>
      </c>
      <c r="E362" s="33">
        <v>0.33333333333333331</v>
      </c>
      <c r="F362" t="s">
        <v>19</v>
      </c>
      <c r="G362">
        <v>38</v>
      </c>
      <c r="H362" t="str">
        <v>D</v>
      </c>
    </row>
    <row r="363" spans="1:8" hidden="1" x14ac:dyDescent="0.3">
      <c r="A363" t="s">
        <v>86</v>
      </c>
      <c r="B363" t="s">
        <v>155</v>
      </c>
      <c r="C363">
        <v>7</v>
      </c>
      <c r="D363">
        <v>3</v>
      </c>
      <c r="E363" s="33">
        <v>0.42857142857142855</v>
      </c>
      <c r="F363" t="s">
        <v>26</v>
      </c>
      <c r="G363" t="s">
        <v>27</v>
      </c>
      <c r="H363" t="str">
        <v>N/A</v>
      </c>
    </row>
    <row r="364" spans="1:8" hidden="1" x14ac:dyDescent="0.3">
      <c r="A364" t="s">
        <v>86</v>
      </c>
      <c r="B364" t="s">
        <v>157</v>
      </c>
      <c r="C364">
        <v>1</v>
      </c>
      <c r="D364">
        <v>0</v>
      </c>
      <c r="E364" s="33">
        <v>0</v>
      </c>
      <c r="F364" t="s">
        <v>26</v>
      </c>
      <c r="G364" t="s">
        <v>27</v>
      </c>
      <c r="H364" t="str">
        <v>N/A</v>
      </c>
    </row>
    <row r="365" spans="1:8" hidden="1" x14ac:dyDescent="0.3">
      <c r="A365" t="s">
        <v>86</v>
      </c>
      <c r="B365" t="s">
        <v>18</v>
      </c>
      <c r="C365">
        <v>3</v>
      </c>
      <c r="D365">
        <v>2</v>
      </c>
      <c r="E365" s="33">
        <v>0.66666666666666663</v>
      </c>
      <c r="F365" t="s">
        <v>26</v>
      </c>
      <c r="G365" t="s">
        <v>27</v>
      </c>
      <c r="H365" t="str">
        <v>N/A</v>
      </c>
    </row>
    <row r="366" spans="1:8" x14ac:dyDescent="0.3">
      <c r="A366" t="s">
        <v>139</v>
      </c>
      <c r="B366" t="s">
        <v>157</v>
      </c>
      <c r="C366">
        <v>109</v>
      </c>
      <c r="D366">
        <v>52</v>
      </c>
      <c r="E366" s="33">
        <v>0.47706422018348627</v>
      </c>
      <c r="F366" t="s">
        <v>19</v>
      </c>
      <c r="G366">
        <v>29</v>
      </c>
      <c r="H366" t="str">
        <v>C</v>
      </c>
    </row>
    <row r="367" spans="1:8" x14ac:dyDescent="0.3">
      <c r="A367" t="s">
        <v>139</v>
      </c>
      <c r="B367" t="s">
        <v>156</v>
      </c>
      <c r="C367">
        <v>113</v>
      </c>
      <c r="D367">
        <v>48</v>
      </c>
      <c r="E367" s="33">
        <v>0.4247787610619469</v>
      </c>
      <c r="F367" t="s">
        <v>19</v>
      </c>
      <c r="G367">
        <v>31</v>
      </c>
      <c r="H367" t="str">
        <v>C</v>
      </c>
    </row>
    <row r="368" spans="1:8" x14ac:dyDescent="0.3">
      <c r="A368" t="s">
        <v>139</v>
      </c>
      <c r="B368" t="s">
        <v>159</v>
      </c>
      <c r="C368">
        <v>49</v>
      </c>
      <c r="D368">
        <v>23</v>
      </c>
      <c r="E368" s="33">
        <v>0.46938775510204084</v>
      </c>
      <c r="F368" t="s">
        <v>19</v>
      </c>
      <c r="G368">
        <v>18</v>
      </c>
      <c r="H368" t="str">
        <v>C</v>
      </c>
    </row>
    <row r="369" spans="1:8" hidden="1" x14ac:dyDescent="0.3">
      <c r="A369" t="s">
        <v>139</v>
      </c>
      <c r="B369" t="s">
        <v>155</v>
      </c>
      <c r="C369">
        <v>1</v>
      </c>
      <c r="D369">
        <v>0</v>
      </c>
      <c r="E369" s="33">
        <v>0</v>
      </c>
      <c r="F369" t="s">
        <v>26</v>
      </c>
      <c r="G369" t="s">
        <v>27</v>
      </c>
      <c r="H369" t="str">
        <v>N/A</v>
      </c>
    </row>
    <row r="370" spans="1:8" x14ac:dyDescent="0.3">
      <c r="A370" t="s">
        <v>87</v>
      </c>
      <c r="B370" t="s">
        <v>156</v>
      </c>
      <c r="C370">
        <v>310</v>
      </c>
      <c r="D370">
        <v>156</v>
      </c>
      <c r="E370" s="33">
        <v>0.50322580645161286</v>
      </c>
      <c r="F370" t="s">
        <v>19</v>
      </c>
      <c r="G370">
        <v>18</v>
      </c>
      <c r="H370" t="str">
        <v>B</v>
      </c>
    </row>
    <row r="371" spans="1:8" x14ac:dyDescent="0.3">
      <c r="A371" t="s">
        <v>87</v>
      </c>
      <c r="B371" t="s">
        <v>157</v>
      </c>
      <c r="C371">
        <v>482</v>
      </c>
      <c r="D371">
        <v>238</v>
      </c>
      <c r="E371" s="33">
        <v>0.49377593360995853</v>
      </c>
      <c r="F371" t="s">
        <v>19</v>
      </c>
      <c r="G371">
        <v>25</v>
      </c>
      <c r="H371" t="str">
        <v>B</v>
      </c>
    </row>
    <row r="372" spans="1:8" x14ac:dyDescent="0.3">
      <c r="A372" t="s">
        <v>87</v>
      </c>
      <c r="B372" t="s">
        <v>158</v>
      </c>
      <c r="C372">
        <v>126</v>
      </c>
      <c r="D372">
        <v>76</v>
      </c>
      <c r="E372" s="33">
        <v>0.60317460317460314</v>
      </c>
      <c r="F372" t="s">
        <v>19</v>
      </c>
      <c r="G372">
        <v>6</v>
      </c>
      <c r="H372" t="str">
        <v>A</v>
      </c>
    </row>
    <row r="373" spans="1:8" x14ac:dyDescent="0.3">
      <c r="A373" t="s">
        <v>87</v>
      </c>
      <c r="B373" t="s">
        <v>159</v>
      </c>
      <c r="C373">
        <v>133</v>
      </c>
      <c r="D373">
        <v>66</v>
      </c>
      <c r="E373" s="33">
        <v>0.49624060150375937</v>
      </c>
      <c r="F373" t="s">
        <v>19</v>
      </c>
      <c r="G373">
        <v>14</v>
      </c>
      <c r="H373" t="str">
        <v>B</v>
      </c>
    </row>
    <row r="374" spans="1:8" x14ac:dyDescent="0.3">
      <c r="A374" t="s">
        <v>87</v>
      </c>
      <c r="B374" t="s">
        <v>18</v>
      </c>
      <c r="C374">
        <v>16</v>
      </c>
      <c r="D374">
        <v>9</v>
      </c>
      <c r="E374" s="33">
        <v>0.5625</v>
      </c>
      <c r="F374" t="s">
        <v>19</v>
      </c>
      <c r="G374">
        <v>9</v>
      </c>
      <c r="H374" t="str">
        <v>A</v>
      </c>
    </row>
    <row r="375" spans="1:8" hidden="1" x14ac:dyDescent="0.3">
      <c r="A375" t="s">
        <v>87</v>
      </c>
      <c r="B375" t="s">
        <v>155</v>
      </c>
      <c r="C375">
        <v>3</v>
      </c>
      <c r="D375">
        <v>2</v>
      </c>
      <c r="E375" s="33">
        <v>0.66666666666666663</v>
      </c>
      <c r="F375" t="s">
        <v>26</v>
      </c>
      <c r="G375" t="s">
        <v>27</v>
      </c>
      <c r="H375" t="str">
        <v>N/A</v>
      </c>
    </row>
    <row r="376" spans="1:8" x14ac:dyDescent="0.3">
      <c r="A376" t="s">
        <v>88</v>
      </c>
      <c r="B376" t="s">
        <v>18</v>
      </c>
      <c r="C376">
        <v>71</v>
      </c>
      <c r="D376">
        <v>29</v>
      </c>
      <c r="E376" s="33">
        <v>0.40845070422535212</v>
      </c>
      <c r="F376" t="s">
        <v>19</v>
      </c>
      <c r="G376">
        <v>34</v>
      </c>
      <c r="H376" t="str">
        <v>C</v>
      </c>
    </row>
    <row r="377" spans="1:8" x14ac:dyDescent="0.3">
      <c r="A377" t="s">
        <v>88</v>
      </c>
      <c r="B377" t="s">
        <v>158</v>
      </c>
      <c r="C377">
        <v>175</v>
      </c>
      <c r="D377">
        <v>84</v>
      </c>
      <c r="E377" s="33">
        <v>0.48</v>
      </c>
      <c r="F377" t="s">
        <v>19</v>
      </c>
      <c r="G377">
        <v>27</v>
      </c>
      <c r="H377" t="str">
        <v>B</v>
      </c>
    </row>
    <row r="378" spans="1:8" hidden="1" x14ac:dyDescent="0.3">
      <c r="A378" t="s">
        <v>88</v>
      </c>
      <c r="B378" t="s">
        <v>155</v>
      </c>
      <c r="C378">
        <v>1</v>
      </c>
      <c r="D378">
        <v>0</v>
      </c>
      <c r="E378" s="33">
        <v>0</v>
      </c>
      <c r="F378" t="s">
        <v>26</v>
      </c>
      <c r="G378" t="s">
        <v>27</v>
      </c>
      <c r="H378" t="str">
        <v>N/A</v>
      </c>
    </row>
    <row r="379" spans="1:8" hidden="1" x14ac:dyDescent="0.3">
      <c r="A379" t="s">
        <v>88</v>
      </c>
      <c r="B379" t="s">
        <v>156</v>
      </c>
      <c r="C379">
        <v>1</v>
      </c>
      <c r="D379">
        <v>0</v>
      </c>
      <c r="E379" s="33">
        <v>0</v>
      </c>
      <c r="F379" t="s">
        <v>26</v>
      </c>
      <c r="G379" t="s">
        <v>27</v>
      </c>
      <c r="H379" t="str">
        <v>N/A</v>
      </c>
    </row>
    <row r="380" spans="1:8" hidden="1" x14ac:dyDescent="0.3">
      <c r="A380" t="s">
        <v>88</v>
      </c>
      <c r="B380" t="s">
        <v>157</v>
      </c>
      <c r="C380">
        <v>2</v>
      </c>
      <c r="D380">
        <v>1</v>
      </c>
      <c r="E380" s="33">
        <v>0.5</v>
      </c>
      <c r="F380" t="s">
        <v>26</v>
      </c>
      <c r="G380" t="s">
        <v>27</v>
      </c>
      <c r="H380" t="str">
        <v>N/A</v>
      </c>
    </row>
    <row r="381" spans="1:8" x14ac:dyDescent="0.3">
      <c r="A381" t="s">
        <v>89</v>
      </c>
      <c r="B381" t="s">
        <v>157</v>
      </c>
      <c r="C381">
        <v>114</v>
      </c>
      <c r="D381">
        <v>45</v>
      </c>
      <c r="E381" s="33">
        <v>0.39473684210526316</v>
      </c>
      <c r="F381" t="s">
        <v>19</v>
      </c>
      <c r="G381">
        <v>36</v>
      </c>
      <c r="H381" t="str">
        <v>C</v>
      </c>
    </row>
    <row r="382" spans="1:8" hidden="1" x14ac:dyDescent="0.3">
      <c r="A382" t="s">
        <v>89</v>
      </c>
      <c r="B382" t="s">
        <v>18</v>
      </c>
      <c r="C382">
        <v>3</v>
      </c>
      <c r="D382">
        <v>0</v>
      </c>
      <c r="E382" s="33">
        <v>0</v>
      </c>
      <c r="F382" t="s">
        <v>26</v>
      </c>
      <c r="G382" t="s">
        <v>27</v>
      </c>
      <c r="H382" t="str">
        <v>N/A</v>
      </c>
    </row>
    <row r="383" spans="1:8" x14ac:dyDescent="0.3">
      <c r="A383" t="s">
        <v>89</v>
      </c>
      <c r="B383" t="s">
        <v>159</v>
      </c>
      <c r="C383">
        <v>50</v>
      </c>
      <c r="D383">
        <v>24</v>
      </c>
      <c r="E383" s="33">
        <v>0.48</v>
      </c>
      <c r="F383" t="s">
        <v>19</v>
      </c>
      <c r="G383">
        <v>16</v>
      </c>
      <c r="H383" t="str">
        <v>B</v>
      </c>
    </row>
    <row r="384" spans="1:8" x14ac:dyDescent="0.3">
      <c r="A384" t="s">
        <v>89</v>
      </c>
      <c r="B384" t="s">
        <v>156</v>
      </c>
      <c r="C384">
        <v>142</v>
      </c>
      <c r="D384">
        <v>67</v>
      </c>
      <c r="E384" s="33">
        <v>0.47183098591549294</v>
      </c>
      <c r="F384" t="s">
        <v>19</v>
      </c>
      <c r="G384">
        <v>23</v>
      </c>
      <c r="H384" t="str">
        <v>C</v>
      </c>
    </row>
    <row r="385" spans="1:8" hidden="1" x14ac:dyDescent="0.3">
      <c r="A385" t="s">
        <v>89</v>
      </c>
      <c r="B385" t="s">
        <v>155</v>
      </c>
      <c r="C385">
        <v>1</v>
      </c>
      <c r="D385">
        <v>1</v>
      </c>
      <c r="E385" s="33">
        <v>1</v>
      </c>
      <c r="F385" t="s">
        <v>26</v>
      </c>
      <c r="G385" t="s">
        <v>27</v>
      </c>
      <c r="H385" t="str">
        <v>N/A</v>
      </c>
    </row>
    <row r="386" spans="1:8" hidden="1" x14ac:dyDescent="0.3">
      <c r="A386" t="s">
        <v>89</v>
      </c>
      <c r="B386" t="s">
        <v>158</v>
      </c>
      <c r="C386">
        <v>1</v>
      </c>
      <c r="D386">
        <v>0</v>
      </c>
      <c r="E386" s="33">
        <v>0</v>
      </c>
      <c r="F386" t="s">
        <v>26</v>
      </c>
      <c r="G386" t="s">
        <v>27</v>
      </c>
      <c r="H386" t="str">
        <v>N/A</v>
      </c>
    </row>
    <row r="387" spans="1:8" x14ac:dyDescent="0.3">
      <c r="A387" t="s">
        <v>90</v>
      </c>
      <c r="B387" t="s">
        <v>158</v>
      </c>
      <c r="C387">
        <v>262</v>
      </c>
      <c r="D387">
        <v>120</v>
      </c>
      <c r="E387" s="33">
        <v>0.4580152671755725</v>
      </c>
      <c r="F387" t="s">
        <v>19</v>
      </c>
      <c r="G387">
        <v>32</v>
      </c>
      <c r="H387" t="str">
        <v>C</v>
      </c>
    </row>
    <row r="388" spans="1:8" x14ac:dyDescent="0.3">
      <c r="A388" t="s">
        <v>133</v>
      </c>
      <c r="B388" t="s">
        <v>155</v>
      </c>
      <c r="C388">
        <v>80</v>
      </c>
      <c r="D388">
        <v>35</v>
      </c>
      <c r="E388" s="33">
        <v>0.4375</v>
      </c>
      <c r="F388" t="s">
        <v>19</v>
      </c>
      <c r="G388">
        <v>25</v>
      </c>
      <c r="H388" t="str">
        <v>C</v>
      </c>
    </row>
    <row r="389" spans="1:8" hidden="1" x14ac:dyDescent="0.3">
      <c r="A389" t="s">
        <v>90</v>
      </c>
      <c r="B389" t="s">
        <v>18</v>
      </c>
      <c r="C389">
        <v>1</v>
      </c>
      <c r="D389">
        <v>1</v>
      </c>
      <c r="E389" s="33">
        <v>1</v>
      </c>
      <c r="F389" t="s">
        <v>26</v>
      </c>
      <c r="G389" t="s">
        <v>27</v>
      </c>
      <c r="H389" t="str">
        <v>N/A</v>
      </c>
    </row>
    <row r="390" spans="1:8" x14ac:dyDescent="0.3">
      <c r="A390" t="s">
        <v>91</v>
      </c>
      <c r="B390" t="s">
        <v>157</v>
      </c>
      <c r="C390">
        <v>92</v>
      </c>
      <c r="D390">
        <v>45</v>
      </c>
      <c r="E390" s="33">
        <v>0.4891304347826087</v>
      </c>
      <c r="F390" t="s">
        <v>19</v>
      </c>
      <c r="G390">
        <v>28</v>
      </c>
      <c r="H390" t="str">
        <v>B</v>
      </c>
    </row>
    <row r="391" spans="1:8" x14ac:dyDescent="0.3">
      <c r="A391" t="s">
        <v>91</v>
      </c>
      <c r="B391" t="s">
        <v>156</v>
      </c>
      <c r="C391">
        <v>159</v>
      </c>
      <c r="D391">
        <v>82</v>
      </c>
      <c r="E391" s="33">
        <v>0.51572327044025157</v>
      </c>
      <c r="F391" t="s">
        <v>19</v>
      </c>
      <c r="G391">
        <v>16</v>
      </c>
      <c r="H391" t="str">
        <v>B</v>
      </c>
    </row>
    <row r="392" spans="1:8" x14ac:dyDescent="0.3">
      <c r="A392" t="s">
        <v>91</v>
      </c>
      <c r="B392" t="s">
        <v>159</v>
      </c>
      <c r="C392">
        <v>20</v>
      </c>
      <c r="D392">
        <v>14</v>
      </c>
      <c r="E392" s="33">
        <v>0.7</v>
      </c>
      <c r="F392" t="s">
        <v>19</v>
      </c>
      <c r="G392">
        <v>2</v>
      </c>
      <c r="H392" t="str">
        <v>S</v>
      </c>
    </row>
    <row r="393" spans="1:8" hidden="1" x14ac:dyDescent="0.3">
      <c r="A393" t="s">
        <v>91</v>
      </c>
      <c r="B393" t="s">
        <v>18</v>
      </c>
      <c r="C393">
        <v>2</v>
      </c>
      <c r="D393">
        <v>1</v>
      </c>
      <c r="E393" s="33">
        <v>0.5</v>
      </c>
      <c r="F393" t="s">
        <v>26</v>
      </c>
      <c r="G393" t="s">
        <v>27</v>
      </c>
      <c r="H393" t="str">
        <v>N/A</v>
      </c>
    </row>
    <row r="394" spans="1:8" hidden="1" x14ac:dyDescent="0.3">
      <c r="A394" t="s">
        <v>91</v>
      </c>
      <c r="B394" t="s">
        <v>155</v>
      </c>
      <c r="C394">
        <v>1</v>
      </c>
      <c r="D394">
        <v>0</v>
      </c>
      <c r="E394" s="33">
        <v>0</v>
      </c>
      <c r="F394" t="s">
        <v>26</v>
      </c>
      <c r="G394" t="s">
        <v>27</v>
      </c>
      <c r="H394" t="str">
        <v>N/A</v>
      </c>
    </row>
    <row r="395" spans="1:8" x14ac:dyDescent="0.3">
      <c r="A395" t="s">
        <v>140</v>
      </c>
      <c r="B395" t="s">
        <v>157</v>
      </c>
      <c r="C395">
        <v>58</v>
      </c>
      <c r="D395">
        <v>30</v>
      </c>
      <c r="E395" s="33">
        <v>0.51724137931034486</v>
      </c>
      <c r="F395" t="s">
        <v>19</v>
      </c>
      <c r="G395">
        <v>18</v>
      </c>
      <c r="H395" t="str">
        <v>B</v>
      </c>
    </row>
    <row r="396" spans="1:8" x14ac:dyDescent="0.3">
      <c r="A396" t="s">
        <v>140</v>
      </c>
      <c r="B396" t="s">
        <v>156</v>
      </c>
      <c r="C396">
        <v>97</v>
      </c>
      <c r="D396">
        <v>38</v>
      </c>
      <c r="E396" s="33">
        <v>0.39175257731958762</v>
      </c>
      <c r="F396" t="s">
        <v>19</v>
      </c>
      <c r="G396">
        <v>33</v>
      </c>
      <c r="H396" t="str">
        <v>C</v>
      </c>
    </row>
    <row r="397" spans="1:8" x14ac:dyDescent="0.3">
      <c r="A397" t="s">
        <v>140</v>
      </c>
      <c r="B397" t="s">
        <v>159</v>
      </c>
      <c r="C397">
        <v>18</v>
      </c>
      <c r="D397">
        <v>13</v>
      </c>
      <c r="E397" s="33">
        <v>0.72222222222222221</v>
      </c>
      <c r="F397" t="s">
        <v>19</v>
      </c>
      <c r="G397">
        <v>1</v>
      </c>
      <c r="H397" t="str">
        <v>S</v>
      </c>
    </row>
    <row r="398" spans="1:8" hidden="1" x14ac:dyDescent="0.3">
      <c r="A398" t="s">
        <v>140</v>
      </c>
      <c r="B398" t="s">
        <v>155</v>
      </c>
      <c r="C398">
        <v>1</v>
      </c>
      <c r="D398">
        <v>1</v>
      </c>
      <c r="E398" s="33">
        <v>1</v>
      </c>
      <c r="F398" t="s">
        <v>26</v>
      </c>
      <c r="G398" t="s">
        <v>27</v>
      </c>
      <c r="H398" t="str">
        <v>N/A</v>
      </c>
    </row>
    <row r="399" spans="1:8" x14ac:dyDescent="0.3">
      <c r="A399" t="s">
        <v>92</v>
      </c>
      <c r="B399" t="s">
        <v>157</v>
      </c>
      <c r="C399">
        <v>136</v>
      </c>
      <c r="D399">
        <v>70</v>
      </c>
      <c r="E399" s="33">
        <v>0.51470588235294112</v>
      </c>
      <c r="F399" t="s">
        <v>19</v>
      </c>
      <c r="G399">
        <v>19</v>
      </c>
      <c r="H399" t="str">
        <v>B</v>
      </c>
    </row>
    <row r="400" spans="1:8" x14ac:dyDescent="0.3">
      <c r="A400" t="s">
        <v>92</v>
      </c>
      <c r="B400" t="s">
        <v>156</v>
      </c>
      <c r="C400">
        <v>81</v>
      </c>
      <c r="D400">
        <v>37</v>
      </c>
      <c r="E400" s="33">
        <v>0.4567901234567901</v>
      </c>
      <c r="F400" t="s">
        <v>19</v>
      </c>
      <c r="G400">
        <v>24</v>
      </c>
      <c r="H400" t="str">
        <v>C</v>
      </c>
    </row>
    <row r="401" spans="1:8" x14ac:dyDescent="0.3">
      <c r="A401" t="s">
        <v>92</v>
      </c>
      <c r="B401" t="s">
        <v>159</v>
      </c>
      <c r="C401">
        <v>18</v>
      </c>
      <c r="D401">
        <v>7</v>
      </c>
      <c r="E401" s="33">
        <v>0.3888888888888889</v>
      </c>
      <c r="F401" t="s">
        <v>19</v>
      </c>
      <c r="G401">
        <v>23</v>
      </c>
      <c r="H401" t="str">
        <v>C</v>
      </c>
    </row>
    <row r="402" spans="1:8" hidden="1" x14ac:dyDescent="0.3">
      <c r="A402" t="s">
        <v>92</v>
      </c>
      <c r="B402" t="s">
        <v>158</v>
      </c>
      <c r="C402">
        <v>7</v>
      </c>
      <c r="D402">
        <v>3</v>
      </c>
      <c r="E402" s="33">
        <v>0.42857142857142855</v>
      </c>
      <c r="F402" t="s">
        <v>26</v>
      </c>
      <c r="G402" t="s">
        <v>27</v>
      </c>
      <c r="H402" t="str">
        <v>N/A</v>
      </c>
    </row>
    <row r="403" spans="1:8" hidden="1" x14ac:dyDescent="0.3">
      <c r="A403" t="s">
        <v>92</v>
      </c>
      <c r="B403" t="s">
        <v>18</v>
      </c>
      <c r="C403">
        <v>3</v>
      </c>
      <c r="D403">
        <v>1</v>
      </c>
      <c r="E403" s="33">
        <v>0.33333333333333331</v>
      </c>
      <c r="F403" t="s">
        <v>26</v>
      </c>
      <c r="G403" t="s">
        <v>27</v>
      </c>
      <c r="H403" t="str">
        <v>N/A</v>
      </c>
    </row>
    <row r="404" spans="1:8" x14ac:dyDescent="0.3">
      <c r="A404" t="s">
        <v>93</v>
      </c>
      <c r="B404" t="s">
        <v>18</v>
      </c>
      <c r="C404">
        <v>310</v>
      </c>
      <c r="D404">
        <v>176</v>
      </c>
      <c r="E404" s="33">
        <v>0.56774193548387097</v>
      </c>
      <c r="F404" t="s">
        <v>19</v>
      </c>
      <c r="G404">
        <v>8</v>
      </c>
      <c r="H404" t="str">
        <v>A</v>
      </c>
    </row>
    <row r="405" spans="1:8" x14ac:dyDescent="0.3">
      <c r="A405" t="s">
        <v>93</v>
      </c>
      <c r="B405" t="s">
        <v>158</v>
      </c>
      <c r="C405">
        <v>100</v>
      </c>
      <c r="D405">
        <v>53</v>
      </c>
      <c r="E405" s="33">
        <v>0.53</v>
      </c>
      <c r="F405" t="s">
        <v>19</v>
      </c>
      <c r="G405">
        <v>16</v>
      </c>
      <c r="H405" t="str">
        <v>B</v>
      </c>
    </row>
    <row r="406" spans="1:8" hidden="1" x14ac:dyDescent="0.3">
      <c r="A406" t="s">
        <v>93</v>
      </c>
      <c r="B406" t="s">
        <v>155</v>
      </c>
      <c r="C406">
        <v>2</v>
      </c>
      <c r="D406">
        <v>1</v>
      </c>
      <c r="E406" s="33">
        <v>0.5</v>
      </c>
      <c r="F406" t="s">
        <v>26</v>
      </c>
      <c r="G406" t="s">
        <v>27</v>
      </c>
      <c r="H406" t="str">
        <v>N/A</v>
      </c>
    </row>
    <row r="407" spans="1:8" x14ac:dyDescent="0.3">
      <c r="A407" t="s">
        <v>93</v>
      </c>
      <c r="B407" t="s">
        <v>157</v>
      </c>
      <c r="C407">
        <v>21</v>
      </c>
      <c r="D407">
        <v>9</v>
      </c>
      <c r="E407" s="33">
        <v>0.42857142857142855</v>
      </c>
      <c r="F407" t="s">
        <v>19</v>
      </c>
      <c r="G407">
        <v>34</v>
      </c>
      <c r="H407" t="str">
        <v>C</v>
      </c>
    </row>
    <row r="408" spans="1:8" hidden="1" x14ac:dyDescent="0.3">
      <c r="A408" t="s">
        <v>93</v>
      </c>
      <c r="B408" t="s">
        <v>156</v>
      </c>
      <c r="C408">
        <v>2</v>
      </c>
      <c r="D408">
        <v>0</v>
      </c>
      <c r="E408" s="33">
        <v>0</v>
      </c>
      <c r="F408" t="s">
        <v>26</v>
      </c>
      <c r="G408" t="s">
        <v>27</v>
      </c>
      <c r="H408" t="str">
        <v>N/A</v>
      </c>
    </row>
    <row r="409" spans="1:8" x14ac:dyDescent="0.3">
      <c r="A409" t="s">
        <v>113</v>
      </c>
      <c r="B409" t="s">
        <v>155</v>
      </c>
      <c r="C409">
        <v>156</v>
      </c>
      <c r="D409">
        <v>68</v>
      </c>
      <c r="E409" s="33">
        <v>0.4358974358974359</v>
      </c>
      <c r="F409" t="s">
        <v>19</v>
      </c>
      <c r="G409">
        <v>26</v>
      </c>
      <c r="H409" t="str">
        <v>C</v>
      </c>
    </row>
    <row r="410" spans="1:8" hidden="1" x14ac:dyDescent="0.3">
      <c r="A410" t="s">
        <v>94</v>
      </c>
      <c r="B410" t="s">
        <v>158</v>
      </c>
      <c r="C410">
        <v>7</v>
      </c>
      <c r="D410">
        <v>3</v>
      </c>
      <c r="E410" s="33">
        <v>0.42857142857142855</v>
      </c>
      <c r="F410" t="s">
        <v>26</v>
      </c>
      <c r="G410" t="s">
        <v>27</v>
      </c>
      <c r="H410" t="str">
        <v>N/A</v>
      </c>
    </row>
    <row r="411" spans="1:8" hidden="1" x14ac:dyDescent="0.3">
      <c r="A411" t="s">
        <v>94</v>
      </c>
      <c r="B411" t="s">
        <v>157</v>
      </c>
      <c r="C411">
        <v>3</v>
      </c>
      <c r="D411">
        <v>1</v>
      </c>
      <c r="E411" s="33">
        <v>0.33333333333333331</v>
      </c>
      <c r="F411" t="s">
        <v>26</v>
      </c>
      <c r="G411" t="s">
        <v>27</v>
      </c>
      <c r="H411" t="str">
        <v>N/A</v>
      </c>
    </row>
    <row r="412" spans="1:8" hidden="1" x14ac:dyDescent="0.3">
      <c r="A412" t="s">
        <v>94</v>
      </c>
      <c r="B412" t="s">
        <v>18</v>
      </c>
      <c r="C412">
        <v>1</v>
      </c>
      <c r="D412">
        <v>1</v>
      </c>
      <c r="E412" s="33">
        <v>1</v>
      </c>
      <c r="F412" t="s">
        <v>26</v>
      </c>
      <c r="G412" t="s">
        <v>27</v>
      </c>
      <c r="H412" t="str">
        <v>N/A</v>
      </c>
    </row>
    <row r="413" spans="1:8" x14ac:dyDescent="0.3">
      <c r="A413" t="s">
        <v>95</v>
      </c>
      <c r="B413" t="s">
        <v>157</v>
      </c>
      <c r="C413">
        <v>91</v>
      </c>
      <c r="D413">
        <v>39</v>
      </c>
      <c r="E413" s="33">
        <v>0.42857142857142855</v>
      </c>
      <c r="F413" t="s">
        <v>19</v>
      </c>
      <c r="G413">
        <v>34</v>
      </c>
      <c r="H413" t="str">
        <v>C</v>
      </c>
    </row>
    <row r="414" spans="1:8" x14ac:dyDescent="0.3">
      <c r="A414" t="s">
        <v>95</v>
      </c>
      <c r="B414" t="s">
        <v>156</v>
      </c>
      <c r="C414">
        <v>64</v>
      </c>
      <c r="D414">
        <v>31</v>
      </c>
      <c r="E414" s="33">
        <v>0.484375</v>
      </c>
      <c r="F414" t="s">
        <v>19</v>
      </c>
      <c r="G414">
        <v>22</v>
      </c>
      <c r="H414" t="str">
        <v>B</v>
      </c>
    </row>
    <row r="415" spans="1:8" x14ac:dyDescent="0.3">
      <c r="A415" t="s">
        <v>95</v>
      </c>
      <c r="B415" t="s">
        <v>18</v>
      </c>
      <c r="C415">
        <v>16</v>
      </c>
      <c r="D415">
        <v>6</v>
      </c>
      <c r="E415" s="33">
        <v>0.375</v>
      </c>
      <c r="F415" t="s">
        <v>19</v>
      </c>
      <c r="G415">
        <v>36</v>
      </c>
      <c r="H415" t="str">
        <v>C</v>
      </c>
    </row>
    <row r="416" spans="1:8" x14ac:dyDescent="0.3">
      <c r="A416" t="s">
        <v>95</v>
      </c>
      <c r="B416" t="s">
        <v>159</v>
      </c>
      <c r="C416">
        <v>11</v>
      </c>
      <c r="D416">
        <v>3</v>
      </c>
      <c r="E416" s="33">
        <v>0.27272727272727271</v>
      </c>
      <c r="F416" t="s">
        <v>19</v>
      </c>
      <c r="G416">
        <v>27</v>
      </c>
      <c r="H416" t="str">
        <v>D</v>
      </c>
    </row>
    <row r="417" spans="1:8" x14ac:dyDescent="0.3">
      <c r="A417" t="s">
        <v>95</v>
      </c>
      <c r="B417" t="s">
        <v>158</v>
      </c>
      <c r="C417">
        <v>35</v>
      </c>
      <c r="D417">
        <v>23</v>
      </c>
      <c r="E417" s="33">
        <v>0.65714285714285714</v>
      </c>
      <c r="F417" t="s">
        <v>19</v>
      </c>
      <c r="G417">
        <v>2</v>
      </c>
      <c r="H417" t="str">
        <v>S</v>
      </c>
    </row>
    <row r="418" spans="1:8" hidden="1" x14ac:dyDescent="0.3">
      <c r="A418" t="s">
        <v>95</v>
      </c>
      <c r="B418" t="s">
        <v>155</v>
      </c>
      <c r="C418">
        <v>3</v>
      </c>
      <c r="D418">
        <v>0</v>
      </c>
      <c r="E418" s="33">
        <v>0</v>
      </c>
      <c r="F418" t="s">
        <v>26</v>
      </c>
      <c r="G418" t="s">
        <v>27</v>
      </c>
      <c r="H418" t="str">
        <v>N/A</v>
      </c>
    </row>
    <row r="419" spans="1:8" x14ac:dyDescent="0.3">
      <c r="A419" t="s">
        <v>33</v>
      </c>
      <c r="B419" t="s">
        <v>155</v>
      </c>
      <c r="C419">
        <v>51</v>
      </c>
      <c r="D419">
        <v>22</v>
      </c>
      <c r="E419" s="33">
        <v>0.43137254901960786</v>
      </c>
      <c r="F419" t="s">
        <v>19</v>
      </c>
      <c r="G419">
        <v>26</v>
      </c>
      <c r="H419" t="str">
        <v>C</v>
      </c>
    </row>
    <row r="420" spans="1:8" x14ac:dyDescent="0.3">
      <c r="A420" t="s">
        <v>96</v>
      </c>
      <c r="B420" t="s">
        <v>158</v>
      </c>
      <c r="C420">
        <v>161</v>
      </c>
      <c r="D420">
        <v>76</v>
      </c>
      <c r="E420" s="33">
        <v>0.47204968944099379</v>
      </c>
      <c r="F420" t="s">
        <v>19</v>
      </c>
      <c r="G420">
        <v>30</v>
      </c>
      <c r="H420" t="str">
        <v>C</v>
      </c>
    </row>
    <row r="421" spans="1:8" hidden="1" x14ac:dyDescent="0.3">
      <c r="A421" t="s">
        <v>96</v>
      </c>
      <c r="B421" t="s">
        <v>156</v>
      </c>
      <c r="C421">
        <v>1</v>
      </c>
      <c r="D421">
        <v>1</v>
      </c>
      <c r="E421" s="33">
        <v>1</v>
      </c>
      <c r="F421" t="s">
        <v>26</v>
      </c>
      <c r="G421" t="s">
        <v>27</v>
      </c>
      <c r="H421" t="str">
        <v>N/A</v>
      </c>
    </row>
    <row r="422" spans="1:8" hidden="1" x14ac:dyDescent="0.3">
      <c r="A422" t="s">
        <v>96</v>
      </c>
      <c r="B422" t="s">
        <v>18</v>
      </c>
      <c r="C422">
        <v>2</v>
      </c>
      <c r="D422">
        <v>1</v>
      </c>
      <c r="E422" s="33">
        <v>0.5</v>
      </c>
      <c r="F422" t="s">
        <v>26</v>
      </c>
      <c r="G422" t="s">
        <v>27</v>
      </c>
      <c r="H422" t="str">
        <v>N/A</v>
      </c>
    </row>
    <row r="423" spans="1:8" x14ac:dyDescent="0.3">
      <c r="A423" t="s">
        <v>41</v>
      </c>
      <c r="B423" t="s">
        <v>155</v>
      </c>
      <c r="C423">
        <v>63</v>
      </c>
      <c r="D423">
        <v>27</v>
      </c>
      <c r="E423" s="33">
        <v>0.42857142857142855</v>
      </c>
      <c r="F423" t="s">
        <v>19</v>
      </c>
      <c r="G423">
        <v>27</v>
      </c>
      <c r="H423" t="str">
        <v>C</v>
      </c>
    </row>
    <row r="424" spans="1:8" x14ac:dyDescent="0.3">
      <c r="A424" t="s">
        <v>97</v>
      </c>
      <c r="B424" t="s">
        <v>18</v>
      </c>
      <c r="C424">
        <v>89</v>
      </c>
      <c r="D424">
        <v>43</v>
      </c>
      <c r="E424" s="33">
        <v>0.48314606741573035</v>
      </c>
      <c r="F424" t="s">
        <v>19</v>
      </c>
      <c r="G424">
        <v>23</v>
      </c>
      <c r="H424" t="str">
        <v>B</v>
      </c>
    </row>
    <row r="425" spans="1:8" x14ac:dyDescent="0.3">
      <c r="A425" t="s">
        <v>97</v>
      </c>
      <c r="B425" t="s">
        <v>157</v>
      </c>
      <c r="C425">
        <v>129</v>
      </c>
      <c r="D425">
        <v>62</v>
      </c>
      <c r="E425" s="33">
        <v>0.48062015503875971</v>
      </c>
      <c r="F425" t="s">
        <v>19</v>
      </c>
      <c r="G425">
        <v>29</v>
      </c>
      <c r="H425" t="str">
        <v>B</v>
      </c>
    </row>
    <row r="426" spans="1:8" x14ac:dyDescent="0.3">
      <c r="A426" t="s">
        <v>97</v>
      </c>
      <c r="B426" t="s">
        <v>156</v>
      </c>
      <c r="C426">
        <v>93</v>
      </c>
      <c r="D426">
        <v>51</v>
      </c>
      <c r="E426" s="33">
        <v>0.54838709677419351</v>
      </c>
      <c r="F426" t="s">
        <v>19</v>
      </c>
      <c r="G426">
        <v>11</v>
      </c>
      <c r="H426" t="str">
        <v>B</v>
      </c>
    </row>
    <row r="427" spans="1:8" x14ac:dyDescent="0.3">
      <c r="A427" t="s">
        <v>97</v>
      </c>
      <c r="B427" t="s">
        <v>159</v>
      </c>
      <c r="C427">
        <v>61</v>
      </c>
      <c r="D427">
        <v>21</v>
      </c>
      <c r="E427" s="33">
        <v>0.34426229508196721</v>
      </c>
      <c r="F427" t="s">
        <v>19</v>
      </c>
      <c r="G427">
        <v>26</v>
      </c>
      <c r="H427" t="str">
        <v>D</v>
      </c>
    </row>
    <row r="428" spans="1:8" x14ac:dyDescent="0.3">
      <c r="A428" t="s">
        <v>97</v>
      </c>
      <c r="B428" t="s">
        <v>158</v>
      </c>
      <c r="C428">
        <v>10</v>
      </c>
      <c r="D428">
        <v>8</v>
      </c>
      <c r="E428" s="33">
        <v>0.8</v>
      </c>
      <c r="F428" t="s">
        <v>19</v>
      </c>
      <c r="G428">
        <v>1</v>
      </c>
      <c r="H428" t="str">
        <v>S</v>
      </c>
    </row>
    <row r="429" spans="1:8" hidden="1" x14ac:dyDescent="0.3">
      <c r="A429" t="s">
        <v>97</v>
      </c>
      <c r="B429" t="s">
        <v>155</v>
      </c>
      <c r="C429">
        <v>1</v>
      </c>
      <c r="D429">
        <v>1</v>
      </c>
      <c r="E429" s="33">
        <v>1</v>
      </c>
      <c r="F429" t="s">
        <v>26</v>
      </c>
      <c r="G429" t="s">
        <v>27</v>
      </c>
      <c r="H429" t="str">
        <v>N/A</v>
      </c>
    </row>
    <row r="430" spans="1:8" x14ac:dyDescent="0.3">
      <c r="A430" t="s">
        <v>142</v>
      </c>
      <c r="B430" t="s">
        <v>158</v>
      </c>
      <c r="C430">
        <v>287</v>
      </c>
      <c r="D430">
        <v>146</v>
      </c>
      <c r="E430" s="33">
        <v>0.50871080139372826</v>
      </c>
      <c r="F430" t="s">
        <v>19</v>
      </c>
      <c r="G430">
        <v>20</v>
      </c>
      <c r="H430" t="str">
        <v>B</v>
      </c>
    </row>
    <row r="431" spans="1:8" hidden="1" x14ac:dyDescent="0.3">
      <c r="A431" t="s">
        <v>142</v>
      </c>
      <c r="B431" t="s">
        <v>155</v>
      </c>
      <c r="C431">
        <v>9</v>
      </c>
      <c r="D431">
        <v>3</v>
      </c>
      <c r="E431" s="33">
        <v>0.33333333333333331</v>
      </c>
      <c r="F431" t="s">
        <v>26</v>
      </c>
      <c r="G431" t="s">
        <v>27</v>
      </c>
      <c r="H431" t="str">
        <v>N/A</v>
      </c>
    </row>
    <row r="432" spans="1:8" hidden="1" x14ac:dyDescent="0.3">
      <c r="A432" t="s">
        <v>142</v>
      </c>
      <c r="B432" t="s">
        <v>157</v>
      </c>
      <c r="C432">
        <v>1</v>
      </c>
      <c r="D432">
        <v>1</v>
      </c>
      <c r="E432" s="33">
        <v>1</v>
      </c>
      <c r="F432" t="s">
        <v>26</v>
      </c>
      <c r="G432" t="s">
        <v>27</v>
      </c>
      <c r="H432" t="str">
        <v>N/A</v>
      </c>
    </row>
    <row r="433" spans="1:8" x14ac:dyDescent="0.3">
      <c r="A433" t="s">
        <v>67</v>
      </c>
      <c r="B433" t="s">
        <v>155</v>
      </c>
      <c r="C433">
        <v>61</v>
      </c>
      <c r="D433">
        <v>25</v>
      </c>
      <c r="E433" s="33">
        <v>0.4098360655737705</v>
      </c>
      <c r="F433" t="s">
        <v>19</v>
      </c>
      <c r="G433">
        <v>28</v>
      </c>
      <c r="H433" t="str">
        <v>C</v>
      </c>
    </row>
    <row r="434" spans="1:8" hidden="1" x14ac:dyDescent="0.3">
      <c r="A434" t="s">
        <v>143</v>
      </c>
      <c r="B434" t="s">
        <v>157</v>
      </c>
      <c r="C434">
        <v>1</v>
      </c>
      <c r="D434">
        <v>0</v>
      </c>
      <c r="E434" s="33">
        <v>0</v>
      </c>
      <c r="F434" t="s">
        <v>26</v>
      </c>
      <c r="G434" t="s">
        <v>27</v>
      </c>
      <c r="H434" t="str">
        <v>N/A</v>
      </c>
    </row>
    <row r="435" spans="1:8" x14ac:dyDescent="0.3">
      <c r="A435" t="s">
        <v>98</v>
      </c>
      <c r="B435" t="s">
        <v>157</v>
      </c>
      <c r="C435">
        <v>111</v>
      </c>
      <c r="D435">
        <v>59</v>
      </c>
      <c r="E435" s="33">
        <v>0.53153153153153154</v>
      </c>
      <c r="F435" t="s">
        <v>19</v>
      </c>
      <c r="G435">
        <v>17</v>
      </c>
      <c r="H435" t="str">
        <v>B</v>
      </c>
    </row>
    <row r="436" spans="1:8" x14ac:dyDescent="0.3">
      <c r="A436" t="s">
        <v>98</v>
      </c>
      <c r="B436" t="s">
        <v>18</v>
      </c>
      <c r="C436">
        <v>14</v>
      </c>
      <c r="D436">
        <v>5</v>
      </c>
      <c r="E436" s="33">
        <v>0.35714285714285715</v>
      </c>
      <c r="F436" t="s">
        <v>19</v>
      </c>
      <c r="G436">
        <v>37</v>
      </c>
      <c r="H436" t="str">
        <v>C</v>
      </c>
    </row>
    <row r="437" spans="1:8" x14ac:dyDescent="0.3">
      <c r="A437" t="s">
        <v>98</v>
      </c>
      <c r="B437" t="s">
        <v>156</v>
      </c>
      <c r="C437">
        <v>42</v>
      </c>
      <c r="D437">
        <v>24</v>
      </c>
      <c r="E437" s="33">
        <v>0.5714285714285714</v>
      </c>
      <c r="F437" t="s">
        <v>19</v>
      </c>
      <c r="G437">
        <v>10</v>
      </c>
      <c r="H437" t="str">
        <v>A</v>
      </c>
    </row>
    <row r="438" spans="1:8" x14ac:dyDescent="0.3">
      <c r="A438" t="s">
        <v>98</v>
      </c>
      <c r="B438" t="s">
        <v>159</v>
      </c>
      <c r="C438">
        <v>32</v>
      </c>
      <c r="D438">
        <v>15</v>
      </c>
      <c r="E438" s="33">
        <v>0.46875</v>
      </c>
      <c r="F438" t="s">
        <v>19</v>
      </c>
      <c r="G438">
        <v>19</v>
      </c>
      <c r="H438" t="str">
        <v>C</v>
      </c>
    </row>
    <row r="439" spans="1:8" hidden="1" x14ac:dyDescent="0.3">
      <c r="A439" t="s">
        <v>98</v>
      </c>
      <c r="B439" t="s">
        <v>158</v>
      </c>
      <c r="C439">
        <v>2</v>
      </c>
      <c r="D439">
        <v>2</v>
      </c>
      <c r="E439" s="33">
        <v>1</v>
      </c>
      <c r="F439" t="s">
        <v>26</v>
      </c>
      <c r="G439" t="s">
        <v>27</v>
      </c>
      <c r="H439" t="str">
        <v>N/A</v>
      </c>
    </row>
    <row r="440" spans="1:8" x14ac:dyDescent="0.3">
      <c r="A440" t="s">
        <v>136</v>
      </c>
      <c r="B440" t="s">
        <v>155</v>
      </c>
      <c r="C440">
        <v>64</v>
      </c>
      <c r="D440">
        <v>26</v>
      </c>
      <c r="E440" s="33">
        <v>0.40625</v>
      </c>
      <c r="F440" t="s">
        <v>19</v>
      </c>
      <c r="G440">
        <v>29</v>
      </c>
      <c r="H440" t="str">
        <v>C</v>
      </c>
    </row>
    <row r="441" spans="1:8" x14ac:dyDescent="0.3">
      <c r="A441" t="s">
        <v>144</v>
      </c>
      <c r="B441" t="s">
        <v>158</v>
      </c>
      <c r="C441">
        <v>51</v>
      </c>
      <c r="D441">
        <v>28</v>
      </c>
      <c r="E441" s="33">
        <v>0.5490196078431373</v>
      </c>
      <c r="F441" t="s">
        <v>19</v>
      </c>
      <c r="G441">
        <v>13</v>
      </c>
      <c r="H441" t="str">
        <v>B</v>
      </c>
    </row>
    <row r="442" spans="1:8" hidden="1" x14ac:dyDescent="0.3">
      <c r="A442" t="s">
        <v>144</v>
      </c>
      <c r="B442" t="s">
        <v>157</v>
      </c>
      <c r="C442">
        <v>1</v>
      </c>
      <c r="D442">
        <v>0</v>
      </c>
      <c r="E442" s="33">
        <v>0</v>
      </c>
      <c r="F442" t="s">
        <v>26</v>
      </c>
      <c r="G442" t="s">
        <v>27</v>
      </c>
      <c r="H442" t="str">
        <v>N/A</v>
      </c>
    </row>
    <row r="443" spans="1:8" x14ac:dyDescent="0.3">
      <c r="A443" t="s">
        <v>25</v>
      </c>
      <c r="B443" t="s">
        <v>155</v>
      </c>
      <c r="C443">
        <v>20</v>
      </c>
      <c r="D443">
        <v>8</v>
      </c>
      <c r="E443" s="33">
        <v>0.4</v>
      </c>
      <c r="F443" t="s">
        <v>19</v>
      </c>
      <c r="G443">
        <v>30</v>
      </c>
      <c r="H443" t="str">
        <v>C</v>
      </c>
    </row>
    <row r="444" spans="1:8" hidden="1" x14ac:dyDescent="0.3">
      <c r="A444" t="s">
        <v>145</v>
      </c>
      <c r="B444" t="s">
        <v>157</v>
      </c>
      <c r="C444">
        <v>1</v>
      </c>
      <c r="D444">
        <v>1</v>
      </c>
      <c r="E444" s="33">
        <v>1</v>
      </c>
      <c r="F444" t="s">
        <v>26</v>
      </c>
      <c r="G444" t="s">
        <v>27</v>
      </c>
      <c r="H444" t="str">
        <v>N/A</v>
      </c>
    </row>
    <row r="445" spans="1:8" x14ac:dyDescent="0.3">
      <c r="A445" t="s">
        <v>99</v>
      </c>
      <c r="B445" t="s">
        <v>18</v>
      </c>
      <c r="C445">
        <v>547</v>
      </c>
      <c r="D445">
        <v>254</v>
      </c>
      <c r="E445" s="33">
        <v>0.46435100548446068</v>
      </c>
      <c r="F445" t="s">
        <v>19</v>
      </c>
      <c r="G445">
        <v>28</v>
      </c>
      <c r="H445" t="str">
        <v>C</v>
      </c>
    </row>
    <row r="446" spans="1:8" x14ac:dyDescent="0.3">
      <c r="A446" t="s">
        <v>99</v>
      </c>
      <c r="B446" t="s">
        <v>157</v>
      </c>
      <c r="C446">
        <v>18</v>
      </c>
      <c r="D446">
        <v>10</v>
      </c>
      <c r="E446" s="33">
        <v>0.55555555555555558</v>
      </c>
      <c r="F446" t="s">
        <v>19</v>
      </c>
      <c r="G446">
        <v>15</v>
      </c>
      <c r="H446" t="str">
        <v>A</v>
      </c>
    </row>
    <row r="447" spans="1:8" hidden="1" x14ac:dyDescent="0.3">
      <c r="A447" t="s">
        <v>99</v>
      </c>
      <c r="B447" t="s">
        <v>158</v>
      </c>
      <c r="C447">
        <v>5</v>
      </c>
      <c r="D447">
        <v>3</v>
      </c>
      <c r="E447" s="33">
        <v>0.6</v>
      </c>
      <c r="F447" t="s">
        <v>26</v>
      </c>
      <c r="G447" t="s">
        <v>27</v>
      </c>
      <c r="H447" t="str">
        <v>N/A</v>
      </c>
    </row>
    <row r="448" spans="1:8" hidden="1" x14ac:dyDescent="0.3">
      <c r="A448" t="s">
        <v>99</v>
      </c>
      <c r="B448" t="s">
        <v>156</v>
      </c>
      <c r="C448">
        <v>5</v>
      </c>
      <c r="D448">
        <v>1</v>
      </c>
      <c r="E448" s="33">
        <v>0.2</v>
      </c>
      <c r="F448" t="s">
        <v>26</v>
      </c>
      <c r="G448" t="s">
        <v>27</v>
      </c>
      <c r="H448" t="str">
        <v>N/A</v>
      </c>
    </row>
    <row r="449" spans="1:8" hidden="1" x14ac:dyDescent="0.3">
      <c r="A449" t="s">
        <v>99</v>
      </c>
      <c r="B449" t="s">
        <v>155</v>
      </c>
      <c r="C449">
        <v>2</v>
      </c>
      <c r="D449">
        <v>1</v>
      </c>
      <c r="E449" s="33">
        <v>0.5</v>
      </c>
      <c r="F449" t="s">
        <v>26</v>
      </c>
      <c r="G449" t="s">
        <v>27</v>
      </c>
      <c r="H449" t="str">
        <v>N/A</v>
      </c>
    </row>
    <row r="450" spans="1:8" x14ac:dyDescent="0.3">
      <c r="A450" t="s">
        <v>100</v>
      </c>
      <c r="B450" t="s">
        <v>18</v>
      </c>
      <c r="C450">
        <v>114</v>
      </c>
      <c r="D450">
        <v>51</v>
      </c>
      <c r="E450" s="33">
        <v>0.44736842105263158</v>
      </c>
      <c r="F450" t="s">
        <v>19</v>
      </c>
      <c r="G450">
        <v>31</v>
      </c>
      <c r="H450" t="str">
        <v>C</v>
      </c>
    </row>
    <row r="451" spans="1:8" x14ac:dyDescent="0.3">
      <c r="A451" t="s">
        <v>100</v>
      </c>
      <c r="B451" t="s">
        <v>158</v>
      </c>
      <c r="C451">
        <v>10</v>
      </c>
      <c r="D451">
        <v>4</v>
      </c>
      <c r="E451" s="33">
        <v>0.4</v>
      </c>
      <c r="F451" t="s">
        <v>19</v>
      </c>
      <c r="G451">
        <v>34</v>
      </c>
      <c r="H451" t="str">
        <v>C</v>
      </c>
    </row>
    <row r="452" spans="1:8" hidden="1" x14ac:dyDescent="0.3">
      <c r="A452" t="s">
        <v>100</v>
      </c>
      <c r="B452" t="s">
        <v>157</v>
      </c>
      <c r="C452">
        <v>2</v>
      </c>
      <c r="D452">
        <v>2</v>
      </c>
      <c r="E452" s="33">
        <v>1</v>
      </c>
      <c r="F452" t="s">
        <v>26</v>
      </c>
      <c r="G452" t="s">
        <v>27</v>
      </c>
      <c r="H452" t="str">
        <v>N/A</v>
      </c>
    </row>
    <row r="453" spans="1:8" hidden="1" x14ac:dyDescent="0.3">
      <c r="A453" t="s">
        <v>100</v>
      </c>
      <c r="B453" t="s">
        <v>156</v>
      </c>
      <c r="C453">
        <v>1</v>
      </c>
      <c r="D453">
        <v>0</v>
      </c>
      <c r="E453" s="33">
        <v>0</v>
      </c>
      <c r="F453" t="s">
        <v>26</v>
      </c>
      <c r="G453" t="s">
        <v>27</v>
      </c>
      <c r="H453" t="str">
        <v>N/A</v>
      </c>
    </row>
    <row r="454" spans="1:8" x14ac:dyDescent="0.3">
      <c r="A454" t="s">
        <v>101</v>
      </c>
      <c r="B454" t="s">
        <v>158</v>
      </c>
      <c r="C454">
        <v>22</v>
      </c>
      <c r="D454">
        <v>8</v>
      </c>
      <c r="E454" s="33">
        <v>0.36363636363636365</v>
      </c>
      <c r="F454" t="s">
        <v>19</v>
      </c>
      <c r="G454">
        <v>38</v>
      </c>
      <c r="H454" t="str">
        <v>C</v>
      </c>
    </row>
    <row r="455" spans="1:8" hidden="1" x14ac:dyDescent="0.3">
      <c r="A455" t="s">
        <v>101</v>
      </c>
      <c r="B455" t="s">
        <v>18</v>
      </c>
      <c r="C455">
        <v>2</v>
      </c>
      <c r="D455">
        <v>0</v>
      </c>
      <c r="E455" s="33">
        <v>0</v>
      </c>
      <c r="F455" t="s">
        <v>26</v>
      </c>
      <c r="G455" t="s">
        <v>27</v>
      </c>
      <c r="H455" t="str">
        <v>N/A</v>
      </c>
    </row>
    <row r="456" spans="1:8" hidden="1" x14ac:dyDescent="0.3">
      <c r="A456" t="s">
        <v>101</v>
      </c>
      <c r="B456" t="s">
        <v>155</v>
      </c>
      <c r="C456">
        <v>1</v>
      </c>
      <c r="D456">
        <v>0</v>
      </c>
      <c r="E456" s="33">
        <v>0</v>
      </c>
      <c r="F456" t="s">
        <v>26</v>
      </c>
      <c r="G456" t="s">
        <v>27</v>
      </c>
      <c r="H456" t="str">
        <v>N/A</v>
      </c>
    </row>
    <row r="457" spans="1:8" x14ac:dyDescent="0.3">
      <c r="A457" t="s">
        <v>102</v>
      </c>
      <c r="B457" t="s">
        <v>158</v>
      </c>
      <c r="C457">
        <v>80</v>
      </c>
      <c r="D457">
        <v>40</v>
      </c>
      <c r="E457" s="33">
        <v>0.5</v>
      </c>
      <c r="F457" t="s">
        <v>19</v>
      </c>
      <c r="G457">
        <v>21</v>
      </c>
      <c r="H457" t="str">
        <v>B</v>
      </c>
    </row>
    <row r="458" spans="1:8" x14ac:dyDescent="0.3">
      <c r="A458" t="s">
        <v>102</v>
      </c>
      <c r="B458" t="s">
        <v>157</v>
      </c>
      <c r="C458">
        <v>20</v>
      </c>
      <c r="D458">
        <v>8</v>
      </c>
      <c r="E458" s="33">
        <v>0.4</v>
      </c>
      <c r="F458" t="s">
        <v>19</v>
      </c>
      <c r="G458">
        <v>36</v>
      </c>
      <c r="H458" t="str">
        <v>C</v>
      </c>
    </row>
    <row r="459" spans="1:8" x14ac:dyDescent="0.3">
      <c r="A459" t="s">
        <v>31</v>
      </c>
      <c r="B459" t="s">
        <v>155</v>
      </c>
      <c r="C459">
        <v>10</v>
      </c>
      <c r="D459">
        <v>4</v>
      </c>
      <c r="E459" s="33">
        <v>0.4</v>
      </c>
      <c r="F459" t="s">
        <v>19</v>
      </c>
      <c r="G459">
        <v>30</v>
      </c>
      <c r="H459" t="str">
        <v>C</v>
      </c>
    </row>
    <row r="460" spans="1:8" x14ac:dyDescent="0.3">
      <c r="A460" t="s">
        <v>102</v>
      </c>
      <c r="B460" t="s">
        <v>156</v>
      </c>
      <c r="C460">
        <v>10</v>
      </c>
      <c r="D460">
        <v>5</v>
      </c>
      <c r="E460" s="33">
        <v>0.5</v>
      </c>
      <c r="F460" t="s">
        <v>19</v>
      </c>
      <c r="G460">
        <v>19</v>
      </c>
      <c r="H460" t="str">
        <v>B</v>
      </c>
    </row>
    <row r="461" spans="1:8" x14ac:dyDescent="0.3">
      <c r="A461" t="s">
        <v>102</v>
      </c>
      <c r="B461" t="s">
        <v>18</v>
      </c>
      <c r="C461">
        <v>13</v>
      </c>
      <c r="D461">
        <v>6</v>
      </c>
      <c r="E461" s="33">
        <v>0.46153846153846156</v>
      </c>
      <c r="F461" t="s">
        <v>19</v>
      </c>
      <c r="G461">
        <v>28</v>
      </c>
      <c r="H461" t="str">
        <v>C</v>
      </c>
    </row>
    <row r="462" spans="1:8" hidden="1" x14ac:dyDescent="0.3">
      <c r="A462" t="s">
        <v>102</v>
      </c>
      <c r="B462" t="s">
        <v>159</v>
      </c>
      <c r="C462">
        <v>5</v>
      </c>
      <c r="D462">
        <v>3</v>
      </c>
      <c r="E462" s="33">
        <v>0.6</v>
      </c>
      <c r="F462" t="s">
        <v>26</v>
      </c>
      <c r="G462" t="s">
        <v>27</v>
      </c>
      <c r="H462" t="str">
        <v>N/A</v>
      </c>
    </row>
    <row r="463" spans="1:8" x14ac:dyDescent="0.3">
      <c r="A463" t="s">
        <v>103</v>
      </c>
      <c r="B463" t="s">
        <v>156</v>
      </c>
      <c r="C463">
        <v>153</v>
      </c>
      <c r="D463">
        <v>84</v>
      </c>
      <c r="E463" s="33">
        <v>0.5490196078431373</v>
      </c>
      <c r="F463" t="s">
        <v>19</v>
      </c>
      <c r="G463">
        <v>11</v>
      </c>
      <c r="H463" t="str">
        <v>B</v>
      </c>
    </row>
    <row r="464" spans="1:8" x14ac:dyDescent="0.3">
      <c r="A464" t="s">
        <v>103</v>
      </c>
      <c r="B464" t="s">
        <v>159</v>
      </c>
      <c r="C464">
        <v>16</v>
      </c>
      <c r="D464">
        <v>7</v>
      </c>
      <c r="E464" s="33">
        <v>0.4375</v>
      </c>
      <c r="F464" t="s">
        <v>19</v>
      </c>
      <c r="G464">
        <v>22</v>
      </c>
      <c r="H464" t="str">
        <v>C</v>
      </c>
    </row>
    <row r="465" spans="1:8" x14ac:dyDescent="0.3">
      <c r="A465" t="s">
        <v>103</v>
      </c>
      <c r="B465" t="s">
        <v>157</v>
      </c>
      <c r="C465">
        <v>33</v>
      </c>
      <c r="D465">
        <v>19</v>
      </c>
      <c r="E465" s="33">
        <v>0.5757575757575758</v>
      </c>
      <c r="F465" t="s">
        <v>19</v>
      </c>
      <c r="G465">
        <v>9</v>
      </c>
      <c r="H465" t="str">
        <v>A</v>
      </c>
    </row>
    <row r="466" spans="1:8" hidden="1" x14ac:dyDescent="0.3">
      <c r="A466" t="s">
        <v>103</v>
      </c>
      <c r="B466" t="s">
        <v>18</v>
      </c>
      <c r="C466">
        <v>1</v>
      </c>
      <c r="D466">
        <v>1</v>
      </c>
      <c r="E466" s="33">
        <v>1</v>
      </c>
      <c r="F466" t="s">
        <v>26</v>
      </c>
      <c r="G466" t="s">
        <v>27</v>
      </c>
      <c r="H466" t="str">
        <v>N/A</v>
      </c>
    </row>
    <row r="467" spans="1:8" x14ac:dyDescent="0.3">
      <c r="A467" t="s">
        <v>125</v>
      </c>
      <c r="B467" t="s">
        <v>155</v>
      </c>
      <c r="C467">
        <v>55</v>
      </c>
      <c r="D467">
        <v>22</v>
      </c>
      <c r="E467" s="33">
        <v>0.4</v>
      </c>
      <c r="F467" t="s">
        <v>19</v>
      </c>
      <c r="G467">
        <v>30</v>
      </c>
      <c r="H467" t="str">
        <v>C</v>
      </c>
    </row>
    <row r="468" spans="1:8" hidden="1" x14ac:dyDescent="0.3">
      <c r="A468" t="s">
        <v>104</v>
      </c>
      <c r="B468" t="s">
        <v>158</v>
      </c>
      <c r="C468">
        <v>1</v>
      </c>
      <c r="D468">
        <v>1</v>
      </c>
      <c r="E468" s="33">
        <v>1</v>
      </c>
      <c r="F468" t="s">
        <v>26</v>
      </c>
      <c r="G468" t="s">
        <v>27</v>
      </c>
      <c r="H468" t="str">
        <v>N/A</v>
      </c>
    </row>
    <row r="469" spans="1:8" hidden="1" x14ac:dyDescent="0.3">
      <c r="A469" t="s">
        <v>104</v>
      </c>
      <c r="B469" t="s">
        <v>18</v>
      </c>
      <c r="C469">
        <v>1</v>
      </c>
      <c r="D469">
        <v>0</v>
      </c>
      <c r="E469" s="33">
        <v>0</v>
      </c>
      <c r="F469" t="s">
        <v>26</v>
      </c>
      <c r="G469" t="s">
        <v>27</v>
      </c>
      <c r="H469" t="str">
        <v>N/A</v>
      </c>
    </row>
    <row r="470" spans="1:8" x14ac:dyDescent="0.3">
      <c r="A470" t="s">
        <v>146</v>
      </c>
      <c r="B470" t="s">
        <v>156</v>
      </c>
      <c r="C470">
        <v>299</v>
      </c>
      <c r="D470">
        <v>157</v>
      </c>
      <c r="E470" s="33">
        <v>0.52508361204013376</v>
      </c>
      <c r="F470" t="s">
        <v>19</v>
      </c>
      <c r="G470">
        <v>16</v>
      </c>
      <c r="H470" t="str">
        <v>B</v>
      </c>
    </row>
    <row r="471" spans="1:8" x14ac:dyDescent="0.3">
      <c r="A471" t="s">
        <v>146</v>
      </c>
      <c r="B471" t="s">
        <v>157</v>
      </c>
      <c r="C471">
        <v>102</v>
      </c>
      <c r="D471">
        <v>57</v>
      </c>
      <c r="E471" s="33">
        <v>0.55882352941176472</v>
      </c>
      <c r="F471" t="s">
        <v>19</v>
      </c>
      <c r="G471">
        <v>15</v>
      </c>
      <c r="H471" t="str">
        <v>A</v>
      </c>
    </row>
    <row r="472" spans="1:8" x14ac:dyDescent="0.3">
      <c r="A472" t="s">
        <v>146</v>
      </c>
      <c r="B472" t="s">
        <v>159</v>
      </c>
      <c r="C472">
        <v>134</v>
      </c>
      <c r="D472">
        <v>75</v>
      </c>
      <c r="E472" s="33">
        <v>0.55970149253731338</v>
      </c>
      <c r="F472" t="s">
        <v>19</v>
      </c>
      <c r="G472">
        <v>6</v>
      </c>
      <c r="H472" t="str">
        <v>A</v>
      </c>
    </row>
    <row r="473" spans="1:8" hidden="1" x14ac:dyDescent="0.3">
      <c r="A473" t="s">
        <v>146</v>
      </c>
      <c r="B473" t="s">
        <v>155</v>
      </c>
      <c r="C473">
        <v>1</v>
      </c>
      <c r="D473">
        <v>0</v>
      </c>
      <c r="E473" s="33">
        <v>0</v>
      </c>
      <c r="F473" t="s">
        <v>26</v>
      </c>
      <c r="G473" t="s">
        <v>27</v>
      </c>
      <c r="H473" t="str">
        <v>N/A</v>
      </c>
    </row>
    <row r="474" spans="1:8" hidden="1" x14ac:dyDescent="0.3">
      <c r="A474" t="s">
        <v>146</v>
      </c>
      <c r="B474" t="s">
        <v>158</v>
      </c>
      <c r="C474">
        <v>5</v>
      </c>
      <c r="D474">
        <v>4</v>
      </c>
      <c r="E474" s="33">
        <v>0.8</v>
      </c>
      <c r="F474" t="s">
        <v>26</v>
      </c>
      <c r="G474" t="s">
        <v>27</v>
      </c>
      <c r="H474" t="str">
        <v>N/A</v>
      </c>
    </row>
    <row r="475" spans="1:8" x14ac:dyDescent="0.3">
      <c r="A475" t="s">
        <v>105</v>
      </c>
      <c r="B475" t="s">
        <v>18</v>
      </c>
      <c r="C475">
        <v>227</v>
      </c>
      <c r="D475">
        <v>101</v>
      </c>
      <c r="E475" s="33">
        <v>0.44493392070484583</v>
      </c>
      <c r="F475" t="s">
        <v>19</v>
      </c>
      <c r="G475">
        <v>31</v>
      </c>
      <c r="H475" t="str">
        <v>C</v>
      </c>
    </row>
    <row r="476" spans="1:8" hidden="1" x14ac:dyDescent="0.3">
      <c r="A476" t="s">
        <v>105</v>
      </c>
      <c r="B476" t="s">
        <v>157</v>
      </c>
      <c r="C476">
        <v>4</v>
      </c>
      <c r="D476">
        <v>3</v>
      </c>
      <c r="E476" s="33">
        <v>0.75</v>
      </c>
      <c r="F476" t="s">
        <v>26</v>
      </c>
      <c r="G476" t="s">
        <v>27</v>
      </c>
      <c r="H476" t="str">
        <v>N/A</v>
      </c>
    </row>
    <row r="477" spans="1:8" x14ac:dyDescent="0.3">
      <c r="A477" t="s">
        <v>106</v>
      </c>
      <c r="B477" t="s">
        <v>18</v>
      </c>
      <c r="C477">
        <v>25</v>
      </c>
      <c r="D477">
        <v>10</v>
      </c>
      <c r="E477" s="33">
        <v>0.4</v>
      </c>
      <c r="F477" t="s">
        <v>19</v>
      </c>
      <c r="G477">
        <v>35</v>
      </c>
      <c r="H477" t="str">
        <v>C</v>
      </c>
    </row>
    <row r="478" spans="1:8" x14ac:dyDescent="0.3">
      <c r="A478" t="s">
        <v>106</v>
      </c>
      <c r="B478" t="s">
        <v>157</v>
      </c>
      <c r="C478">
        <v>23</v>
      </c>
      <c r="D478">
        <v>10</v>
      </c>
      <c r="E478" s="33">
        <v>0.43478260869565216</v>
      </c>
      <c r="F478" t="s">
        <v>19</v>
      </c>
      <c r="G478">
        <v>34</v>
      </c>
      <c r="H478" t="str">
        <v>C</v>
      </c>
    </row>
    <row r="479" spans="1:8" x14ac:dyDescent="0.3">
      <c r="A479" t="s">
        <v>106</v>
      </c>
      <c r="B479" t="s">
        <v>156</v>
      </c>
      <c r="C479">
        <v>26</v>
      </c>
      <c r="D479">
        <v>12</v>
      </c>
      <c r="E479" s="33">
        <v>0.46153846153846156</v>
      </c>
      <c r="F479" t="s">
        <v>19</v>
      </c>
      <c r="G479">
        <v>24</v>
      </c>
      <c r="H479" t="str">
        <v>C</v>
      </c>
    </row>
    <row r="480" spans="1:8" hidden="1" x14ac:dyDescent="0.3">
      <c r="A480" t="s">
        <v>106</v>
      </c>
      <c r="B480" t="s">
        <v>159</v>
      </c>
      <c r="C480">
        <v>2</v>
      </c>
      <c r="D480">
        <v>1</v>
      </c>
      <c r="E480" s="33">
        <v>0.5</v>
      </c>
      <c r="F480" t="s">
        <v>26</v>
      </c>
      <c r="G480" t="s">
        <v>27</v>
      </c>
      <c r="H480" t="str">
        <v>N/A</v>
      </c>
    </row>
    <row r="481" spans="1:8" hidden="1" x14ac:dyDescent="0.3">
      <c r="A481" t="s">
        <v>106</v>
      </c>
      <c r="B481" t="s">
        <v>155</v>
      </c>
      <c r="C481">
        <v>9</v>
      </c>
      <c r="D481">
        <v>2</v>
      </c>
      <c r="E481" s="33">
        <v>0.22222222222222221</v>
      </c>
      <c r="F481" t="s">
        <v>26</v>
      </c>
      <c r="G481" t="s">
        <v>27</v>
      </c>
      <c r="H481" t="str">
        <v>N/A</v>
      </c>
    </row>
    <row r="482" spans="1:8" hidden="1" x14ac:dyDescent="0.3">
      <c r="A482" t="s">
        <v>106</v>
      </c>
      <c r="B482" t="s">
        <v>158</v>
      </c>
      <c r="C482">
        <v>2</v>
      </c>
      <c r="D482">
        <v>0</v>
      </c>
      <c r="E482" s="33">
        <v>0</v>
      </c>
      <c r="F482" t="s">
        <v>26</v>
      </c>
      <c r="G482" t="s">
        <v>27</v>
      </c>
      <c r="H482" t="str">
        <v>N/A</v>
      </c>
    </row>
    <row r="483" spans="1:8" x14ac:dyDescent="0.3">
      <c r="A483" t="s">
        <v>30</v>
      </c>
      <c r="B483" t="s">
        <v>155</v>
      </c>
      <c r="C483">
        <v>54</v>
      </c>
      <c r="D483">
        <v>21</v>
      </c>
      <c r="E483" s="33">
        <v>0.3888888888888889</v>
      </c>
      <c r="F483" t="s">
        <v>19</v>
      </c>
      <c r="G483">
        <v>33</v>
      </c>
      <c r="H483" t="str">
        <v>C</v>
      </c>
    </row>
    <row r="484" spans="1:8" hidden="1" x14ac:dyDescent="0.3">
      <c r="A484" t="s">
        <v>107</v>
      </c>
      <c r="B484" t="s">
        <v>18</v>
      </c>
      <c r="C484">
        <v>2</v>
      </c>
      <c r="D484">
        <v>1</v>
      </c>
      <c r="E484" s="33">
        <v>0.5</v>
      </c>
      <c r="F484" t="s">
        <v>26</v>
      </c>
      <c r="G484" t="s">
        <v>27</v>
      </c>
      <c r="H484" t="str">
        <v>N/A</v>
      </c>
    </row>
    <row r="485" spans="1:8" hidden="1" x14ac:dyDescent="0.3">
      <c r="A485" t="s">
        <v>107</v>
      </c>
      <c r="B485" t="s">
        <v>158</v>
      </c>
      <c r="C485">
        <v>1</v>
      </c>
      <c r="D485">
        <v>0</v>
      </c>
      <c r="E485" s="33">
        <v>0</v>
      </c>
      <c r="F485" t="s">
        <v>26</v>
      </c>
      <c r="G485" t="s">
        <v>27</v>
      </c>
      <c r="H485" t="str">
        <v>N/A</v>
      </c>
    </row>
    <row r="486" spans="1:8" hidden="1" x14ac:dyDescent="0.3">
      <c r="A486" t="s">
        <v>107</v>
      </c>
      <c r="B486" t="s">
        <v>157</v>
      </c>
      <c r="C486">
        <v>2</v>
      </c>
      <c r="D486">
        <v>0</v>
      </c>
      <c r="E486" s="33">
        <v>0</v>
      </c>
      <c r="F486" t="s">
        <v>26</v>
      </c>
      <c r="G486" t="s">
        <v>27</v>
      </c>
      <c r="H486" t="str">
        <v>N/A</v>
      </c>
    </row>
    <row r="487" spans="1:8" x14ac:dyDescent="0.3">
      <c r="A487" t="s">
        <v>108</v>
      </c>
      <c r="B487" t="s">
        <v>156</v>
      </c>
      <c r="C487">
        <v>73</v>
      </c>
      <c r="D487">
        <v>30</v>
      </c>
      <c r="E487" s="33">
        <v>0.41095890410958902</v>
      </c>
      <c r="F487" t="s">
        <v>19</v>
      </c>
      <c r="G487">
        <v>32</v>
      </c>
      <c r="H487" t="str">
        <v>C</v>
      </c>
    </row>
    <row r="488" spans="1:8" hidden="1" x14ac:dyDescent="0.3">
      <c r="A488" t="s">
        <v>108</v>
      </c>
      <c r="B488" t="s">
        <v>158</v>
      </c>
      <c r="C488">
        <v>1</v>
      </c>
      <c r="D488">
        <v>1</v>
      </c>
      <c r="E488" s="33">
        <v>1</v>
      </c>
      <c r="F488" t="s">
        <v>26</v>
      </c>
      <c r="G488" t="s">
        <v>27</v>
      </c>
      <c r="H488" t="str">
        <v>N/A</v>
      </c>
    </row>
    <row r="489" spans="1:8" hidden="1" x14ac:dyDescent="0.3">
      <c r="A489" t="s">
        <v>108</v>
      </c>
      <c r="B489" t="s">
        <v>18</v>
      </c>
      <c r="C489">
        <v>5</v>
      </c>
      <c r="D489">
        <v>2</v>
      </c>
      <c r="E489" s="33">
        <v>0.4</v>
      </c>
      <c r="F489" t="s">
        <v>26</v>
      </c>
      <c r="G489" t="s">
        <v>27</v>
      </c>
      <c r="H489" t="str">
        <v>N/A</v>
      </c>
    </row>
    <row r="490" spans="1:8" x14ac:dyDescent="0.3">
      <c r="A490" t="s">
        <v>108</v>
      </c>
      <c r="B490" t="s">
        <v>157</v>
      </c>
      <c r="C490">
        <v>26</v>
      </c>
      <c r="D490">
        <v>13</v>
      </c>
      <c r="E490" s="33">
        <v>0.5</v>
      </c>
      <c r="F490" t="s">
        <v>19</v>
      </c>
      <c r="G490">
        <v>22</v>
      </c>
      <c r="H490" t="str">
        <v>B</v>
      </c>
    </row>
    <row r="491" spans="1:8" hidden="1" x14ac:dyDescent="0.3">
      <c r="A491" t="s">
        <v>108</v>
      </c>
      <c r="B491" t="s">
        <v>155</v>
      </c>
      <c r="C491">
        <v>6</v>
      </c>
      <c r="D491">
        <v>1</v>
      </c>
      <c r="E491" s="33">
        <v>0.16666666666666666</v>
      </c>
      <c r="F491" t="s">
        <v>26</v>
      </c>
      <c r="G491" t="s">
        <v>27</v>
      </c>
      <c r="H491" t="str">
        <v>N/A</v>
      </c>
    </row>
    <row r="492" spans="1:8" hidden="1" x14ac:dyDescent="0.3">
      <c r="A492" t="s">
        <v>108</v>
      </c>
      <c r="B492" t="s">
        <v>159</v>
      </c>
      <c r="C492">
        <v>1</v>
      </c>
      <c r="D492">
        <v>0</v>
      </c>
      <c r="E492" s="33">
        <v>0</v>
      </c>
      <c r="F492" t="s">
        <v>26</v>
      </c>
      <c r="G492" t="s">
        <v>27</v>
      </c>
      <c r="H492" t="str">
        <v>N/A</v>
      </c>
    </row>
    <row r="493" spans="1:8" x14ac:dyDescent="0.3">
      <c r="A493" t="s">
        <v>109</v>
      </c>
      <c r="B493" t="s">
        <v>157</v>
      </c>
      <c r="C493">
        <v>173</v>
      </c>
      <c r="D493">
        <v>90</v>
      </c>
      <c r="E493" s="33">
        <v>0.52023121387283233</v>
      </c>
      <c r="F493" t="s">
        <v>19</v>
      </c>
      <c r="G493">
        <v>18</v>
      </c>
      <c r="H493" t="str">
        <v>B</v>
      </c>
    </row>
    <row r="494" spans="1:8" x14ac:dyDescent="0.3">
      <c r="A494" t="s">
        <v>109</v>
      </c>
      <c r="B494" t="s">
        <v>156</v>
      </c>
      <c r="C494">
        <v>43</v>
      </c>
      <c r="D494">
        <v>15</v>
      </c>
      <c r="E494" s="33">
        <v>0.34883720930232559</v>
      </c>
      <c r="F494" t="s">
        <v>19</v>
      </c>
      <c r="G494">
        <v>35</v>
      </c>
      <c r="H494" t="str">
        <v>D</v>
      </c>
    </row>
    <row r="495" spans="1:8" x14ac:dyDescent="0.3">
      <c r="A495" t="s">
        <v>109</v>
      </c>
      <c r="B495" t="s">
        <v>159</v>
      </c>
      <c r="C495">
        <v>52</v>
      </c>
      <c r="D495">
        <v>31</v>
      </c>
      <c r="E495" s="33">
        <v>0.59615384615384615</v>
      </c>
      <c r="F495" t="s">
        <v>19</v>
      </c>
      <c r="G495">
        <v>5</v>
      </c>
      <c r="H495" t="str">
        <v>A</v>
      </c>
    </row>
    <row r="496" spans="1:8" hidden="1" x14ac:dyDescent="0.3">
      <c r="A496" t="s">
        <v>109</v>
      </c>
      <c r="B496" t="s">
        <v>155</v>
      </c>
      <c r="C496">
        <v>8</v>
      </c>
      <c r="D496">
        <v>3</v>
      </c>
      <c r="E496" s="33">
        <v>0.375</v>
      </c>
      <c r="F496" t="s">
        <v>26</v>
      </c>
      <c r="G496" t="s">
        <v>27</v>
      </c>
      <c r="H496" t="str">
        <v>N/A</v>
      </c>
    </row>
    <row r="497" spans="1:8" x14ac:dyDescent="0.3">
      <c r="A497" t="s">
        <v>109</v>
      </c>
      <c r="B497" t="s">
        <v>18</v>
      </c>
      <c r="C497">
        <v>10</v>
      </c>
      <c r="D497">
        <v>4</v>
      </c>
      <c r="E497" s="33">
        <v>0.4</v>
      </c>
      <c r="F497" t="s">
        <v>19</v>
      </c>
      <c r="G497">
        <v>35</v>
      </c>
      <c r="H497" t="str">
        <v>C</v>
      </c>
    </row>
    <row r="498" spans="1:8" hidden="1" x14ac:dyDescent="0.3">
      <c r="A498" t="s">
        <v>109</v>
      </c>
      <c r="B498" t="s">
        <v>158</v>
      </c>
      <c r="C498">
        <v>3</v>
      </c>
      <c r="D498">
        <v>2</v>
      </c>
      <c r="E498" s="33">
        <v>0.66666666666666663</v>
      </c>
      <c r="F498" t="s">
        <v>26</v>
      </c>
      <c r="G498" t="s">
        <v>27</v>
      </c>
      <c r="H498" t="str">
        <v>N/A</v>
      </c>
    </row>
    <row r="499" spans="1:8" x14ac:dyDescent="0.3">
      <c r="A499" t="s">
        <v>110</v>
      </c>
      <c r="B499" t="s">
        <v>158</v>
      </c>
      <c r="C499">
        <v>128</v>
      </c>
      <c r="D499">
        <v>65</v>
      </c>
      <c r="E499" s="33">
        <v>0.5078125</v>
      </c>
      <c r="F499" t="s">
        <v>19</v>
      </c>
      <c r="G499">
        <v>20</v>
      </c>
      <c r="H499" t="str">
        <v>B</v>
      </c>
    </row>
    <row r="500" spans="1:8" x14ac:dyDescent="0.3">
      <c r="A500" t="s">
        <v>110</v>
      </c>
      <c r="B500" t="s">
        <v>18</v>
      </c>
      <c r="C500">
        <v>44</v>
      </c>
      <c r="D500">
        <v>22</v>
      </c>
      <c r="E500" s="33">
        <v>0.5</v>
      </c>
      <c r="F500" t="s">
        <v>19</v>
      </c>
      <c r="G500">
        <v>21</v>
      </c>
      <c r="H500" t="str">
        <v>B</v>
      </c>
    </row>
    <row r="501" spans="1:8" x14ac:dyDescent="0.3">
      <c r="A501" t="s">
        <v>84</v>
      </c>
      <c r="B501" t="s">
        <v>155</v>
      </c>
      <c r="C501">
        <v>18</v>
      </c>
      <c r="D501">
        <v>7</v>
      </c>
      <c r="E501" s="33">
        <v>0.3888888888888889</v>
      </c>
      <c r="F501" t="s">
        <v>19</v>
      </c>
      <c r="G501">
        <v>33</v>
      </c>
      <c r="H501" t="str">
        <v>C</v>
      </c>
    </row>
    <row r="502" spans="1:8" x14ac:dyDescent="0.3">
      <c r="A502" t="s">
        <v>111</v>
      </c>
      <c r="B502" t="s">
        <v>18</v>
      </c>
      <c r="C502">
        <v>21</v>
      </c>
      <c r="D502">
        <v>13</v>
      </c>
      <c r="E502" s="33">
        <v>0.61904761904761907</v>
      </c>
      <c r="F502" t="s">
        <v>19</v>
      </c>
      <c r="G502">
        <v>5</v>
      </c>
      <c r="H502" t="str">
        <v>A</v>
      </c>
    </row>
    <row r="503" spans="1:8" hidden="1" x14ac:dyDescent="0.3">
      <c r="A503" t="s">
        <v>111</v>
      </c>
      <c r="B503" t="s">
        <v>159</v>
      </c>
      <c r="C503">
        <v>1</v>
      </c>
      <c r="D503">
        <v>0</v>
      </c>
      <c r="E503" s="33">
        <v>0</v>
      </c>
      <c r="F503" t="s">
        <v>26</v>
      </c>
      <c r="G503" t="s">
        <v>27</v>
      </c>
      <c r="H503" t="str">
        <v>N/A</v>
      </c>
    </row>
    <row r="504" spans="1:8" x14ac:dyDescent="0.3">
      <c r="A504" t="s">
        <v>112</v>
      </c>
      <c r="B504" t="s">
        <v>158</v>
      </c>
      <c r="C504">
        <v>303</v>
      </c>
      <c r="D504">
        <v>121</v>
      </c>
      <c r="E504" s="33">
        <v>0.39933993399339934</v>
      </c>
      <c r="F504" t="s">
        <v>19</v>
      </c>
      <c r="G504">
        <v>35</v>
      </c>
      <c r="H504" t="str">
        <v>C</v>
      </c>
    </row>
    <row r="505" spans="1:8" hidden="1" x14ac:dyDescent="0.3">
      <c r="A505" t="s">
        <v>112</v>
      </c>
      <c r="B505" t="s">
        <v>157</v>
      </c>
      <c r="C505">
        <v>3</v>
      </c>
      <c r="D505">
        <v>1</v>
      </c>
      <c r="E505" s="33">
        <v>0.33333333333333331</v>
      </c>
      <c r="F505" t="s">
        <v>26</v>
      </c>
      <c r="G505" t="s">
        <v>27</v>
      </c>
      <c r="H505" t="str">
        <v>N/A</v>
      </c>
    </row>
    <row r="506" spans="1:8" hidden="1" x14ac:dyDescent="0.3">
      <c r="A506" t="s">
        <v>112</v>
      </c>
      <c r="B506" t="s">
        <v>18</v>
      </c>
      <c r="C506">
        <v>5</v>
      </c>
      <c r="D506">
        <v>1</v>
      </c>
      <c r="E506" s="33">
        <v>0.2</v>
      </c>
      <c r="F506" t="s">
        <v>26</v>
      </c>
      <c r="G506" t="s">
        <v>27</v>
      </c>
      <c r="H506" t="str">
        <v>N/A</v>
      </c>
    </row>
    <row r="507" spans="1:8" hidden="1" x14ac:dyDescent="0.3">
      <c r="A507" t="s">
        <v>112</v>
      </c>
      <c r="B507" t="s">
        <v>155</v>
      </c>
      <c r="C507">
        <v>3</v>
      </c>
      <c r="D507">
        <v>2</v>
      </c>
      <c r="E507" s="33">
        <v>0.66666666666666663</v>
      </c>
      <c r="F507" t="s">
        <v>26</v>
      </c>
      <c r="G507" t="s">
        <v>27</v>
      </c>
      <c r="H507" t="str">
        <v>N/A</v>
      </c>
    </row>
    <row r="508" spans="1:8" hidden="1" x14ac:dyDescent="0.3">
      <c r="A508" t="s">
        <v>112</v>
      </c>
      <c r="B508" t="s">
        <v>156</v>
      </c>
      <c r="C508">
        <v>2</v>
      </c>
      <c r="D508">
        <v>0</v>
      </c>
      <c r="E508" s="33">
        <v>0</v>
      </c>
      <c r="F508" t="s">
        <v>26</v>
      </c>
      <c r="G508" t="s">
        <v>27</v>
      </c>
      <c r="H508" t="str">
        <v>N/A</v>
      </c>
    </row>
    <row r="509" spans="1:8" x14ac:dyDescent="0.3">
      <c r="A509" t="s">
        <v>147</v>
      </c>
      <c r="B509" t="s">
        <v>157</v>
      </c>
      <c r="C509">
        <v>80</v>
      </c>
      <c r="D509">
        <v>38</v>
      </c>
      <c r="E509" s="33">
        <v>0.47499999999999998</v>
      </c>
      <c r="F509" t="s">
        <v>19</v>
      </c>
      <c r="G509">
        <v>31</v>
      </c>
      <c r="H509" t="str">
        <v>C</v>
      </c>
    </row>
    <row r="510" spans="1:8" x14ac:dyDescent="0.3">
      <c r="A510" t="s">
        <v>147</v>
      </c>
      <c r="B510" t="s">
        <v>156</v>
      </c>
      <c r="C510">
        <v>52</v>
      </c>
      <c r="D510">
        <v>24</v>
      </c>
      <c r="E510" s="33">
        <v>0.46153846153846156</v>
      </c>
      <c r="F510" t="s">
        <v>19</v>
      </c>
      <c r="G510">
        <v>24</v>
      </c>
      <c r="H510" t="str">
        <v>C</v>
      </c>
    </row>
    <row r="511" spans="1:8" hidden="1" x14ac:dyDescent="0.3">
      <c r="A511" t="s">
        <v>147</v>
      </c>
      <c r="B511" t="s">
        <v>155</v>
      </c>
      <c r="C511">
        <v>3</v>
      </c>
      <c r="D511">
        <v>2</v>
      </c>
      <c r="E511" s="33">
        <v>0.66666666666666663</v>
      </c>
      <c r="F511" t="s">
        <v>26</v>
      </c>
      <c r="G511" t="s">
        <v>27</v>
      </c>
      <c r="H511" t="str">
        <v>N/A</v>
      </c>
    </row>
    <row r="512" spans="1:8" x14ac:dyDescent="0.3">
      <c r="A512" t="s">
        <v>147</v>
      </c>
      <c r="B512" t="s">
        <v>159</v>
      </c>
      <c r="C512">
        <v>10</v>
      </c>
      <c r="D512">
        <v>4</v>
      </c>
      <c r="E512" s="33">
        <v>0.4</v>
      </c>
      <c r="F512" t="s">
        <v>19</v>
      </c>
      <c r="G512">
        <v>23</v>
      </c>
      <c r="H512" t="str">
        <v>C</v>
      </c>
    </row>
    <row r="513" spans="1:8" x14ac:dyDescent="0.3">
      <c r="A513" t="s">
        <v>85</v>
      </c>
      <c r="B513" t="s">
        <v>155</v>
      </c>
      <c r="C513">
        <v>88</v>
      </c>
      <c r="D513">
        <v>31</v>
      </c>
      <c r="E513" s="33">
        <v>0.35227272727272729</v>
      </c>
      <c r="F513" t="s">
        <v>19</v>
      </c>
      <c r="G513">
        <v>35</v>
      </c>
      <c r="H513" t="str">
        <v>C</v>
      </c>
    </row>
    <row r="514" spans="1:8" x14ac:dyDescent="0.3">
      <c r="A514" t="s">
        <v>113</v>
      </c>
      <c r="B514" t="s">
        <v>157</v>
      </c>
      <c r="C514">
        <v>15</v>
      </c>
      <c r="D514">
        <v>6</v>
      </c>
      <c r="E514" s="33">
        <v>0.4</v>
      </c>
      <c r="F514" t="s">
        <v>19</v>
      </c>
      <c r="G514">
        <v>36</v>
      </c>
      <c r="H514" t="str">
        <v>C</v>
      </c>
    </row>
    <row r="515" spans="1:8" hidden="1" x14ac:dyDescent="0.3">
      <c r="A515" t="s">
        <v>113</v>
      </c>
      <c r="B515" t="s">
        <v>158</v>
      </c>
      <c r="C515">
        <v>2</v>
      </c>
      <c r="D515">
        <v>1</v>
      </c>
      <c r="E515" s="33">
        <v>0.5</v>
      </c>
      <c r="F515" t="s">
        <v>26</v>
      </c>
      <c r="G515" t="s">
        <v>27</v>
      </c>
      <c r="H515" t="str">
        <v>N/A</v>
      </c>
    </row>
    <row r="516" spans="1:8" hidden="1" x14ac:dyDescent="0.3">
      <c r="A516" t="s">
        <v>113</v>
      </c>
      <c r="B516" t="s">
        <v>156</v>
      </c>
      <c r="C516">
        <v>5</v>
      </c>
      <c r="D516">
        <v>2</v>
      </c>
      <c r="E516" s="33">
        <v>0.4</v>
      </c>
      <c r="F516" t="s">
        <v>26</v>
      </c>
      <c r="G516" t="s">
        <v>27</v>
      </c>
      <c r="H516" t="str">
        <v>N/A</v>
      </c>
    </row>
    <row r="517" spans="1:8" hidden="1" x14ac:dyDescent="0.3">
      <c r="A517" t="s">
        <v>113</v>
      </c>
      <c r="B517" t="s">
        <v>18</v>
      </c>
      <c r="C517">
        <v>9</v>
      </c>
      <c r="D517">
        <v>7</v>
      </c>
      <c r="E517" s="33">
        <v>0.77777777777777779</v>
      </c>
      <c r="F517" t="s">
        <v>26</v>
      </c>
      <c r="G517" t="s">
        <v>27</v>
      </c>
      <c r="H517" t="str">
        <v>N/A</v>
      </c>
    </row>
    <row r="518" spans="1:8" hidden="1" x14ac:dyDescent="0.3">
      <c r="A518" t="s">
        <v>113</v>
      </c>
      <c r="B518" t="s">
        <v>159</v>
      </c>
      <c r="C518">
        <v>3</v>
      </c>
      <c r="D518">
        <v>1</v>
      </c>
      <c r="E518" s="33">
        <v>0.33333333333333331</v>
      </c>
      <c r="F518" t="s">
        <v>26</v>
      </c>
      <c r="G518" t="s">
        <v>27</v>
      </c>
      <c r="H518" t="str">
        <v>N/A</v>
      </c>
    </row>
    <row r="519" spans="1:8" x14ac:dyDescent="0.3">
      <c r="A519" t="s">
        <v>114</v>
      </c>
      <c r="B519" t="s">
        <v>157</v>
      </c>
      <c r="C519">
        <v>33</v>
      </c>
      <c r="D519">
        <v>19</v>
      </c>
      <c r="E519" s="33">
        <v>0.5757575757575758</v>
      </c>
      <c r="F519" t="s">
        <v>19</v>
      </c>
      <c r="G519">
        <v>9</v>
      </c>
      <c r="H519" t="str">
        <v>A</v>
      </c>
    </row>
    <row r="520" spans="1:8" x14ac:dyDescent="0.3">
      <c r="A520" t="s">
        <v>114</v>
      </c>
      <c r="B520" t="s">
        <v>156</v>
      </c>
      <c r="C520">
        <v>18</v>
      </c>
      <c r="D520">
        <v>12</v>
      </c>
      <c r="E520" s="33">
        <v>0.66666666666666663</v>
      </c>
      <c r="F520" t="s">
        <v>19</v>
      </c>
      <c r="G520">
        <v>4</v>
      </c>
      <c r="H520" t="str">
        <v>S</v>
      </c>
    </row>
    <row r="521" spans="1:8" x14ac:dyDescent="0.3">
      <c r="A521" t="s">
        <v>114</v>
      </c>
      <c r="B521" t="s">
        <v>18</v>
      </c>
      <c r="C521">
        <v>25</v>
      </c>
      <c r="D521">
        <v>14</v>
      </c>
      <c r="E521" s="33">
        <v>0.56000000000000005</v>
      </c>
      <c r="F521" t="s">
        <v>19</v>
      </c>
      <c r="G521">
        <v>10</v>
      </c>
      <c r="H521" t="str">
        <v>A</v>
      </c>
    </row>
    <row r="522" spans="1:8" x14ac:dyDescent="0.3">
      <c r="A522" t="s">
        <v>131</v>
      </c>
      <c r="B522" t="s">
        <v>155</v>
      </c>
      <c r="C522">
        <v>10</v>
      </c>
      <c r="D522">
        <v>3</v>
      </c>
      <c r="E522" s="33">
        <v>0.3</v>
      </c>
      <c r="F522" t="s">
        <v>19</v>
      </c>
      <c r="G522">
        <v>36</v>
      </c>
      <c r="H522" t="str">
        <v>D</v>
      </c>
    </row>
    <row r="523" spans="1:8" x14ac:dyDescent="0.3">
      <c r="A523" t="s">
        <v>114</v>
      </c>
      <c r="B523" t="s">
        <v>158</v>
      </c>
      <c r="C523">
        <v>12</v>
      </c>
      <c r="D523">
        <v>5</v>
      </c>
      <c r="E523" s="33">
        <v>0.41666666666666669</v>
      </c>
      <c r="F523" t="s">
        <v>19</v>
      </c>
      <c r="G523">
        <v>34</v>
      </c>
      <c r="H523" t="str">
        <v>C</v>
      </c>
    </row>
    <row r="524" spans="1:8" x14ac:dyDescent="0.3">
      <c r="A524" t="s">
        <v>114</v>
      </c>
      <c r="B524" t="s">
        <v>159</v>
      </c>
      <c r="C524">
        <v>13</v>
      </c>
      <c r="D524">
        <v>8</v>
      </c>
      <c r="E524" s="33">
        <v>0.61538461538461542</v>
      </c>
      <c r="F524" t="s">
        <v>19</v>
      </c>
      <c r="G524">
        <v>4</v>
      </c>
      <c r="H524" t="str">
        <v>A</v>
      </c>
    </row>
    <row r="525" spans="1:8" x14ac:dyDescent="0.3">
      <c r="A525" t="s">
        <v>115</v>
      </c>
      <c r="B525" t="s">
        <v>157</v>
      </c>
      <c r="C525">
        <v>50</v>
      </c>
      <c r="D525">
        <v>19</v>
      </c>
      <c r="E525" s="33">
        <v>0.38</v>
      </c>
      <c r="F525" t="s">
        <v>19</v>
      </c>
      <c r="G525">
        <v>38</v>
      </c>
      <c r="H525" t="str">
        <v>C</v>
      </c>
    </row>
    <row r="526" spans="1:8" x14ac:dyDescent="0.3">
      <c r="A526" t="s">
        <v>115</v>
      </c>
      <c r="B526" t="s">
        <v>159</v>
      </c>
      <c r="C526">
        <v>10</v>
      </c>
      <c r="D526">
        <v>3</v>
      </c>
      <c r="E526" s="33">
        <v>0.3</v>
      </c>
      <c r="F526" t="s">
        <v>19</v>
      </c>
      <c r="G526">
        <v>27</v>
      </c>
      <c r="H526" t="str">
        <v>D</v>
      </c>
    </row>
    <row r="527" spans="1:8" x14ac:dyDescent="0.3">
      <c r="A527" t="s">
        <v>115</v>
      </c>
      <c r="B527" t="s">
        <v>156</v>
      </c>
      <c r="C527">
        <v>48</v>
      </c>
      <c r="D527">
        <v>24</v>
      </c>
      <c r="E527" s="33">
        <v>0.5</v>
      </c>
      <c r="F527" t="s">
        <v>19</v>
      </c>
      <c r="G527">
        <v>19</v>
      </c>
      <c r="H527" t="str">
        <v>B</v>
      </c>
    </row>
    <row r="528" spans="1:8" hidden="1" x14ac:dyDescent="0.3">
      <c r="A528" t="s">
        <v>115</v>
      </c>
      <c r="B528" t="s">
        <v>18</v>
      </c>
      <c r="C528">
        <v>3</v>
      </c>
      <c r="D528">
        <v>1</v>
      </c>
      <c r="E528" s="33">
        <v>0.33333333333333331</v>
      </c>
      <c r="F528" t="s">
        <v>26</v>
      </c>
      <c r="G528" t="s">
        <v>27</v>
      </c>
      <c r="H528" t="str">
        <v>N/A</v>
      </c>
    </row>
    <row r="529" spans="1:8" x14ac:dyDescent="0.3">
      <c r="A529" t="s">
        <v>148</v>
      </c>
      <c r="B529" t="s">
        <v>156</v>
      </c>
      <c r="C529">
        <v>40</v>
      </c>
      <c r="D529">
        <v>24</v>
      </c>
      <c r="E529" s="33">
        <v>0.6</v>
      </c>
      <c r="F529" t="s">
        <v>19</v>
      </c>
      <c r="G529">
        <v>7</v>
      </c>
      <c r="H529" t="str">
        <v>A</v>
      </c>
    </row>
    <row r="530" spans="1:8" hidden="1" x14ac:dyDescent="0.3">
      <c r="A530" t="s">
        <v>148</v>
      </c>
      <c r="B530" t="s">
        <v>155</v>
      </c>
      <c r="C530">
        <v>2</v>
      </c>
      <c r="D530">
        <v>1</v>
      </c>
      <c r="E530" s="33">
        <v>0.5</v>
      </c>
      <c r="F530" t="s">
        <v>26</v>
      </c>
      <c r="G530" t="s">
        <v>27</v>
      </c>
      <c r="H530" t="str">
        <v>N/A</v>
      </c>
    </row>
    <row r="531" spans="1:8" x14ac:dyDescent="0.3">
      <c r="A531" t="s">
        <v>148</v>
      </c>
      <c r="B531" t="s">
        <v>157</v>
      </c>
      <c r="C531">
        <v>50</v>
      </c>
      <c r="D531">
        <v>25</v>
      </c>
      <c r="E531" s="33">
        <v>0.5</v>
      </c>
      <c r="F531" t="s">
        <v>19</v>
      </c>
      <c r="G531">
        <v>22</v>
      </c>
      <c r="H531" t="str">
        <v>B</v>
      </c>
    </row>
    <row r="532" spans="1:8" hidden="1" x14ac:dyDescent="0.3">
      <c r="A532" t="s">
        <v>148</v>
      </c>
      <c r="B532" t="s">
        <v>159</v>
      </c>
      <c r="C532">
        <v>3</v>
      </c>
      <c r="D532">
        <v>1</v>
      </c>
      <c r="E532" s="33">
        <v>0.33333333333333331</v>
      </c>
      <c r="F532" t="s">
        <v>26</v>
      </c>
      <c r="G532" t="s">
        <v>27</v>
      </c>
      <c r="H532" t="str">
        <v>N/A</v>
      </c>
    </row>
    <row r="533" spans="1:8" x14ac:dyDescent="0.3">
      <c r="A533" t="s">
        <v>17</v>
      </c>
      <c r="B533" t="s">
        <v>155</v>
      </c>
      <c r="C533">
        <v>24</v>
      </c>
      <c r="D533">
        <v>7</v>
      </c>
      <c r="E533" s="33">
        <v>0.29166666666666669</v>
      </c>
      <c r="F533" t="s">
        <v>19</v>
      </c>
      <c r="G533">
        <v>37</v>
      </c>
      <c r="H533" t="str">
        <v>D</v>
      </c>
    </row>
    <row r="534" spans="1:8" x14ac:dyDescent="0.3">
      <c r="A534" t="s">
        <v>116</v>
      </c>
      <c r="B534" t="s">
        <v>18</v>
      </c>
      <c r="C534">
        <v>52</v>
      </c>
      <c r="D534">
        <v>29</v>
      </c>
      <c r="E534" s="33">
        <v>0.55769230769230771</v>
      </c>
      <c r="F534" t="s">
        <v>19</v>
      </c>
      <c r="G534">
        <v>10</v>
      </c>
      <c r="H534" t="str">
        <v>A</v>
      </c>
    </row>
    <row r="535" spans="1:8" hidden="1" x14ac:dyDescent="0.3">
      <c r="A535" t="s">
        <v>116</v>
      </c>
      <c r="B535" t="s">
        <v>157</v>
      </c>
      <c r="C535">
        <v>1</v>
      </c>
      <c r="D535">
        <v>1</v>
      </c>
      <c r="E535" s="33">
        <v>1</v>
      </c>
      <c r="F535" t="s">
        <v>26</v>
      </c>
      <c r="G535" t="s">
        <v>27</v>
      </c>
      <c r="H535" t="str">
        <v>N/A</v>
      </c>
    </row>
    <row r="536" spans="1:8" x14ac:dyDescent="0.3">
      <c r="A536" t="s">
        <v>117</v>
      </c>
      <c r="B536" t="s">
        <v>157</v>
      </c>
      <c r="C536">
        <v>59</v>
      </c>
      <c r="D536">
        <v>31</v>
      </c>
      <c r="E536" s="33">
        <v>0.52542372881355937</v>
      </c>
      <c r="F536" t="s">
        <v>19</v>
      </c>
      <c r="G536">
        <v>17</v>
      </c>
      <c r="H536" t="str">
        <v>B</v>
      </c>
    </row>
    <row r="537" spans="1:8" x14ac:dyDescent="0.3">
      <c r="A537" t="s">
        <v>117</v>
      </c>
      <c r="B537" t="s">
        <v>156</v>
      </c>
      <c r="C537">
        <v>41</v>
      </c>
      <c r="D537">
        <v>19</v>
      </c>
      <c r="E537" s="33">
        <v>0.46341463414634149</v>
      </c>
      <c r="F537" t="s">
        <v>19</v>
      </c>
      <c r="G537">
        <v>24</v>
      </c>
      <c r="H537" t="str">
        <v>C</v>
      </c>
    </row>
    <row r="538" spans="1:8" x14ac:dyDescent="0.3">
      <c r="A538" t="s">
        <v>117</v>
      </c>
      <c r="B538" t="s">
        <v>158</v>
      </c>
      <c r="C538">
        <v>40</v>
      </c>
      <c r="D538">
        <v>15</v>
      </c>
      <c r="E538" s="33">
        <v>0.375</v>
      </c>
      <c r="F538" t="s">
        <v>19</v>
      </c>
      <c r="G538">
        <v>38</v>
      </c>
      <c r="H538" t="str">
        <v>C</v>
      </c>
    </row>
    <row r="539" spans="1:8" x14ac:dyDescent="0.3">
      <c r="A539" t="s">
        <v>117</v>
      </c>
      <c r="B539" t="s">
        <v>18</v>
      </c>
      <c r="C539">
        <v>15</v>
      </c>
      <c r="D539">
        <v>11</v>
      </c>
      <c r="E539" s="33">
        <v>0.73333333333333328</v>
      </c>
      <c r="F539" t="s">
        <v>19</v>
      </c>
      <c r="G539">
        <v>1</v>
      </c>
      <c r="H539" t="str">
        <v>S</v>
      </c>
    </row>
    <row r="540" spans="1:8" hidden="1" x14ac:dyDescent="0.3">
      <c r="A540" t="s">
        <v>117</v>
      </c>
      <c r="B540" t="s">
        <v>155</v>
      </c>
      <c r="C540">
        <v>4</v>
      </c>
      <c r="D540">
        <v>2</v>
      </c>
      <c r="E540" s="33">
        <v>0.5</v>
      </c>
      <c r="F540" t="s">
        <v>26</v>
      </c>
      <c r="G540" t="s">
        <v>27</v>
      </c>
      <c r="H540" t="str">
        <v>N/A</v>
      </c>
    </row>
    <row r="541" spans="1:8" x14ac:dyDescent="0.3">
      <c r="A541" t="s">
        <v>117</v>
      </c>
      <c r="B541" t="s">
        <v>159</v>
      </c>
      <c r="C541">
        <v>11</v>
      </c>
      <c r="D541">
        <v>5</v>
      </c>
      <c r="E541" s="33">
        <v>0.45454545454545453</v>
      </c>
      <c r="F541" t="s">
        <v>19</v>
      </c>
      <c r="G541">
        <v>21</v>
      </c>
      <c r="H541" t="str">
        <v>C</v>
      </c>
    </row>
  </sheetData>
  <autoFilter ref="A1:G541" xr:uid="{5489FE98-8272-428E-BD00-37997E8140AF}">
    <filterColumn colId="5">
      <filters>
        <filter val="Yes"/>
      </filters>
    </filterColumn>
    <sortState xmlns:xlrd2="http://schemas.microsoft.com/office/spreadsheetml/2017/richdata2" ref="A2:G533">
      <sortCondition descending="1" ref="E1:E541"/>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53F19-72F6-4B7A-A527-1F5289A673F5}">
  <dimension ref="A1:I128"/>
  <sheetViews>
    <sheetView workbookViewId="0">
      <selection activeCell="H2" sqref="H2"/>
    </sheetView>
  </sheetViews>
  <sheetFormatPr defaultRowHeight="14.4" x14ac:dyDescent="0.3"/>
  <cols>
    <col min="1" max="1" width="17.33203125" bestFit="1" customWidth="1"/>
    <col min="3" max="3" width="13.109375" bestFit="1" customWidth="1"/>
  </cols>
  <sheetData>
    <row r="1" spans="1:9" x14ac:dyDescent="0.3">
      <c r="A1" s="21" t="s">
        <v>10</v>
      </c>
      <c r="B1" s="16" t="s">
        <v>12</v>
      </c>
      <c r="C1" s="16" t="s">
        <v>150</v>
      </c>
      <c r="D1" s="16" t="s">
        <v>151</v>
      </c>
      <c r="E1" s="22" t="s">
        <v>152</v>
      </c>
      <c r="F1" s="17" t="s">
        <v>13</v>
      </c>
      <c r="G1" s="17" t="s">
        <v>14</v>
      </c>
      <c r="H1" s="17" t="s">
        <v>153</v>
      </c>
      <c r="I1" s="17" t="s">
        <v>154</v>
      </c>
    </row>
    <row r="2" spans="1:9" x14ac:dyDescent="0.3">
      <c r="A2" s="23" t="s">
        <v>17</v>
      </c>
      <c r="B2" s="26">
        <v>56</v>
      </c>
      <c r="C2" s="26">
        <v>310</v>
      </c>
      <c r="D2" s="27">
        <v>1.1231448054552748E-2</v>
      </c>
      <c r="E2" s="28">
        <v>6.2174087444845566E-2</v>
      </c>
      <c r="F2">
        <v>19</v>
      </c>
      <c r="G2" s="18">
        <v>0.3392857142857143</v>
      </c>
      <c r="H2" s="29">
        <v>0.18799424101770673</v>
      </c>
      <c r="I2" t="s">
        <v>160</v>
      </c>
    </row>
    <row r="3" spans="1:9" x14ac:dyDescent="0.3">
      <c r="A3" s="24" t="s">
        <v>20</v>
      </c>
      <c r="B3" s="26">
        <v>303</v>
      </c>
      <c r="C3" s="26">
        <v>1092</v>
      </c>
      <c r="D3" s="27">
        <v>6.0770156438026475E-2</v>
      </c>
      <c r="E3" s="28">
        <v>0.21901323706377859</v>
      </c>
      <c r="F3">
        <v>160</v>
      </c>
      <c r="G3" s="18">
        <v>0.528052805280528</v>
      </c>
      <c r="H3" s="29">
        <v>0.33397225101571526</v>
      </c>
      <c r="I3" t="s">
        <v>161</v>
      </c>
    </row>
    <row r="4" spans="1:9" x14ac:dyDescent="0.3">
      <c r="A4" s="23" t="s">
        <v>119</v>
      </c>
      <c r="B4" s="26">
        <v>65</v>
      </c>
      <c r="C4" s="26">
        <v>65</v>
      </c>
      <c r="D4" s="27">
        <v>1.3036502206177296E-2</v>
      </c>
      <c r="E4" s="28">
        <v>1.3036502206177296E-2</v>
      </c>
      <c r="F4">
        <v>29</v>
      </c>
      <c r="G4" s="18">
        <v>0.44615384615384618</v>
      </c>
      <c r="H4" s="29">
        <v>0.22959517418001171</v>
      </c>
      <c r="I4" t="s">
        <v>162</v>
      </c>
    </row>
    <row r="5" spans="1:9" x14ac:dyDescent="0.3">
      <c r="A5" s="24" t="s">
        <v>21</v>
      </c>
      <c r="B5" s="26">
        <v>70</v>
      </c>
      <c r="C5" s="26">
        <v>91</v>
      </c>
      <c r="D5" s="27">
        <v>1.4039310068190935E-2</v>
      </c>
      <c r="E5" s="28">
        <v>1.8251103088648215E-2</v>
      </c>
      <c r="F5">
        <v>36</v>
      </c>
      <c r="G5" s="18">
        <v>0.51428571428571423</v>
      </c>
      <c r="H5" s="29">
        <v>0.26521546043206695</v>
      </c>
      <c r="I5" t="s">
        <v>162</v>
      </c>
    </row>
    <row r="6" spans="1:9" x14ac:dyDescent="0.3">
      <c r="A6" s="23" t="s">
        <v>120</v>
      </c>
      <c r="B6" s="26">
        <v>13</v>
      </c>
      <c r="C6" s="26">
        <v>198</v>
      </c>
      <c r="D6" s="27">
        <v>2.6073004412354591E-3</v>
      </c>
      <c r="E6" s="28">
        <v>3.9711191335740074E-2</v>
      </c>
      <c r="F6">
        <v>8</v>
      </c>
      <c r="G6" s="18">
        <v>0.61538461538461542</v>
      </c>
      <c r="H6" s="29">
        <v>0.31827193063655157</v>
      </c>
      <c r="I6" t="s">
        <v>161</v>
      </c>
    </row>
    <row r="7" spans="1:9" x14ac:dyDescent="0.3">
      <c r="A7" s="24" t="s">
        <v>22</v>
      </c>
      <c r="B7" s="26">
        <v>211</v>
      </c>
      <c r="C7" s="26">
        <v>120</v>
      </c>
      <c r="D7" s="27">
        <v>4.2318491776975532E-2</v>
      </c>
      <c r="E7" s="28">
        <v>2.4067388688327317E-2</v>
      </c>
      <c r="F7">
        <v>101</v>
      </c>
      <c r="G7" s="18">
        <v>0.47867298578199052</v>
      </c>
      <c r="H7" s="29">
        <v>0.25593296300732099</v>
      </c>
      <c r="I7" t="s">
        <v>162</v>
      </c>
    </row>
    <row r="8" spans="1:9" x14ac:dyDescent="0.3">
      <c r="A8" s="23" t="s">
        <v>121</v>
      </c>
      <c r="B8" s="26">
        <v>69</v>
      </c>
      <c r="C8" s="26">
        <v>199</v>
      </c>
      <c r="D8" s="27">
        <v>1.3838748495788207E-2</v>
      </c>
      <c r="E8" s="28">
        <v>3.9911752908142799E-2</v>
      </c>
      <c r="F8">
        <v>39</v>
      </c>
      <c r="G8" s="18">
        <v>0.56521739130434778</v>
      </c>
      <c r="H8" s="29">
        <v>0.29604632100315664</v>
      </c>
      <c r="I8" t="s">
        <v>163</v>
      </c>
    </row>
    <row r="9" spans="1:9" x14ac:dyDescent="0.3">
      <c r="A9" s="24" t="s">
        <v>23</v>
      </c>
      <c r="B9" s="26">
        <v>281</v>
      </c>
      <c r="C9" s="26">
        <v>1455</v>
      </c>
      <c r="D9" s="27">
        <v>5.6357801845166464E-2</v>
      </c>
      <c r="E9" s="28">
        <v>0.29181708784596871</v>
      </c>
      <c r="F9">
        <v>165</v>
      </c>
      <c r="G9" s="18">
        <v>0.58718861209964412</v>
      </c>
      <c r="H9" s="29">
        <v>0.38063802847260586</v>
      </c>
      <c r="I9" t="s">
        <v>164</v>
      </c>
    </row>
    <row r="10" spans="1:9" x14ac:dyDescent="0.3">
      <c r="A10" s="23" t="s">
        <v>24</v>
      </c>
      <c r="B10" s="26">
        <v>416</v>
      </c>
      <c r="C10" s="26">
        <v>1082</v>
      </c>
      <c r="D10" s="27">
        <v>8.3433614119534691E-2</v>
      </c>
      <c r="E10" s="28">
        <v>0.21700762133975129</v>
      </c>
      <c r="F10">
        <v>208</v>
      </c>
      <c r="G10" s="18">
        <v>0.5</v>
      </c>
      <c r="H10" s="29">
        <v>0.32511030886482151</v>
      </c>
      <c r="I10" t="s">
        <v>161</v>
      </c>
    </row>
    <row r="11" spans="1:9" x14ac:dyDescent="0.3">
      <c r="A11" s="24" t="s">
        <v>25</v>
      </c>
      <c r="B11" s="26">
        <v>21</v>
      </c>
      <c r="C11" s="26">
        <v>72</v>
      </c>
      <c r="D11" s="27">
        <v>4.2117930204572801E-3</v>
      </c>
      <c r="E11" s="28">
        <v>1.444043321299639E-2</v>
      </c>
      <c r="F11">
        <v>9</v>
      </c>
      <c r="G11" s="18">
        <v>0.42857142857142855</v>
      </c>
      <c r="H11" s="29">
        <v>0.21894877084407768</v>
      </c>
      <c r="I11" t="s">
        <v>160</v>
      </c>
    </row>
    <row r="12" spans="1:9" x14ac:dyDescent="0.3">
      <c r="A12" s="23" t="s">
        <v>28</v>
      </c>
      <c r="B12" s="26">
        <v>41</v>
      </c>
      <c r="C12" s="26">
        <v>36</v>
      </c>
      <c r="D12" s="27">
        <v>8.2230244685118324E-3</v>
      </c>
      <c r="E12" s="28">
        <v>7.2202166064981952E-3</v>
      </c>
      <c r="F12">
        <v>25</v>
      </c>
      <c r="G12" s="18">
        <v>0.6097560975609756</v>
      </c>
      <c r="H12" s="29">
        <v>0.30873885904924031</v>
      </c>
      <c r="I12" t="s">
        <v>161</v>
      </c>
    </row>
    <row r="13" spans="1:9" x14ac:dyDescent="0.3">
      <c r="A13" s="24" t="s">
        <v>29</v>
      </c>
      <c r="B13" s="26">
        <v>117</v>
      </c>
      <c r="C13" s="26">
        <v>402</v>
      </c>
      <c r="D13" s="27">
        <v>2.3465703971119134E-2</v>
      </c>
      <c r="E13" s="28">
        <v>8.0625752105896509E-2</v>
      </c>
      <c r="F13">
        <v>50</v>
      </c>
      <c r="G13" s="18">
        <v>0.42735042735042733</v>
      </c>
      <c r="H13" s="29">
        <v>0.23969807769446758</v>
      </c>
      <c r="I13" t="s">
        <v>162</v>
      </c>
    </row>
    <row r="14" spans="1:9" x14ac:dyDescent="0.3">
      <c r="A14" s="23" t="s">
        <v>30</v>
      </c>
      <c r="B14" s="26">
        <v>374</v>
      </c>
      <c r="C14" s="26">
        <v>581</v>
      </c>
      <c r="D14" s="27">
        <v>7.5010028078620131E-2</v>
      </c>
      <c r="E14" s="28">
        <v>0.11652627356598476</v>
      </c>
      <c r="F14">
        <v>177</v>
      </c>
      <c r="G14" s="18">
        <v>0.4732620320855615</v>
      </c>
      <c r="H14" s="29">
        <v>0.28451509145393195</v>
      </c>
      <c r="I14" t="s">
        <v>163</v>
      </c>
    </row>
    <row r="15" spans="1:9" x14ac:dyDescent="0.3">
      <c r="A15" s="24" t="s">
        <v>31</v>
      </c>
      <c r="B15" s="26">
        <v>28</v>
      </c>
      <c r="C15" s="26">
        <v>36</v>
      </c>
      <c r="D15" s="27">
        <v>5.6157240272763738E-3</v>
      </c>
      <c r="E15" s="28">
        <v>7.2202166064981952E-3</v>
      </c>
      <c r="F15">
        <v>13</v>
      </c>
      <c r="G15" s="18">
        <v>0.4642857142857143</v>
      </c>
      <c r="H15" s="29">
        <v>0.2353518423013008</v>
      </c>
      <c r="I15" t="s">
        <v>162</v>
      </c>
    </row>
    <row r="16" spans="1:9" x14ac:dyDescent="0.3">
      <c r="A16" s="23" t="s">
        <v>32</v>
      </c>
      <c r="B16" s="26">
        <v>157</v>
      </c>
      <c r="C16" s="26">
        <v>85</v>
      </c>
      <c r="D16" s="27">
        <v>3.1488166867228239E-2</v>
      </c>
      <c r="E16" s="28">
        <v>1.7047733654231848E-2</v>
      </c>
      <c r="F16">
        <v>69</v>
      </c>
      <c r="G16" s="18">
        <v>0.43949044585987262</v>
      </c>
      <c r="H16" s="29">
        <v>0.23187919806030133</v>
      </c>
      <c r="I16" t="s">
        <v>162</v>
      </c>
    </row>
    <row r="17" spans="1:9" x14ac:dyDescent="0.3">
      <c r="A17" s="24" t="s">
        <v>33</v>
      </c>
      <c r="B17" s="26">
        <v>109</v>
      </c>
      <c r="C17" s="26">
        <v>12</v>
      </c>
      <c r="D17" s="27">
        <v>2.1861211391897312E-2</v>
      </c>
      <c r="E17" s="28">
        <v>2.4067388688327317E-3</v>
      </c>
      <c r="F17">
        <v>50</v>
      </c>
      <c r="G17" s="18">
        <v>0.45871559633027525</v>
      </c>
      <c r="H17" s="29">
        <v>0.23542478573032014</v>
      </c>
      <c r="I17" t="s">
        <v>162</v>
      </c>
    </row>
    <row r="18" spans="1:9" x14ac:dyDescent="0.3">
      <c r="A18" s="23" t="s">
        <v>34</v>
      </c>
      <c r="B18" s="26">
        <v>67</v>
      </c>
      <c r="C18" s="26">
        <v>86</v>
      </c>
      <c r="D18" s="27">
        <v>1.3437625350982751E-2</v>
      </c>
      <c r="E18" s="28">
        <v>1.7248295226634576E-2</v>
      </c>
      <c r="F18">
        <v>38</v>
      </c>
      <c r="G18" s="18">
        <v>0.56716417910447758</v>
      </c>
      <c r="H18" s="29">
        <v>0.29125356969664312</v>
      </c>
      <c r="I18" t="s">
        <v>163</v>
      </c>
    </row>
    <row r="19" spans="1:9" x14ac:dyDescent="0.3">
      <c r="A19" s="24" t="s">
        <v>35</v>
      </c>
      <c r="B19" s="26">
        <v>117</v>
      </c>
      <c r="C19" s="26">
        <v>184</v>
      </c>
      <c r="D19" s="27">
        <v>2.3465703971119134E-2</v>
      </c>
      <c r="E19" s="28">
        <v>3.6903329322101885E-2</v>
      </c>
      <c r="F19">
        <v>60</v>
      </c>
      <c r="G19" s="18">
        <v>0.51282051282051277</v>
      </c>
      <c r="H19" s="29">
        <v>0.27150251473356163</v>
      </c>
      <c r="I19" t="s">
        <v>163</v>
      </c>
    </row>
    <row r="20" spans="1:9" x14ac:dyDescent="0.3">
      <c r="A20" s="23" t="s">
        <v>36</v>
      </c>
      <c r="B20" s="26">
        <v>123</v>
      </c>
      <c r="C20" s="26">
        <v>57</v>
      </c>
      <c r="D20" s="27">
        <v>2.4669073405535501E-2</v>
      </c>
      <c r="E20" s="28">
        <v>1.1432009626955475E-2</v>
      </c>
      <c r="F20">
        <v>69</v>
      </c>
      <c r="G20" s="18">
        <v>0.56097560975609762</v>
      </c>
      <c r="H20" s="29">
        <v>0.28951307563617157</v>
      </c>
      <c r="I20" t="s">
        <v>163</v>
      </c>
    </row>
    <row r="21" spans="1:9" x14ac:dyDescent="0.3">
      <c r="A21" s="24" t="s">
        <v>122</v>
      </c>
      <c r="B21" s="26">
        <v>194</v>
      </c>
      <c r="C21" s="26">
        <v>16</v>
      </c>
      <c r="D21" s="27">
        <v>3.8908945046129163E-2</v>
      </c>
      <c r="E21" s="28">
        <v>3.208985158443642E-3</v>
      </c>
      <c r="F21">
        <v>104</v>
      </c>
      <c r="G21" s="18">
        <v>0.53608247422680411</v>
      </c>
      <c r="H21" s="29">
        <v>0.27857071966454522</v>
      </c>
      <c r="I21" t="s">
        <v>163</v>
      </c>
    </row>
    <row r="22" spans="1:9" x14ac:dyDescent="0.3">
      <c r="A22" s="23" t="s">
        <v>37</v>
      </c>
      <c r="B22" s="26">
        <v>46</v>
      </c>
      <c r="C22" s="26">
        <v>69</v>
      </c>
      <c r="D22" s="27">
        <v>9.2258323305254714E-3</v>
      </c>
      <c r="E22" s="28">
        <v>1.3838748495788207E-2</v>
      </c>
      <c r="F22">
        <v>18</v>
      </c>
      <c r="G22" s="18">
        <v>0.39130434782608697</v>
      </c>
      <c r="H22" s="29">
        <v>0.20141831911962191</v>
      </c>
      <c r="I22" t="s">
        <v>160</v>
      </c>
    </row>
    <row r="23" spans="1:9" x14ac:dyDescent="0.3">
      <c r="A23" s="24" t="s">
        <v>123</v>
      </c>
      <c r="B23" s="26">
        <v>147</v>
      </c>
      <c r="C23" s="26">
        <v>67</v>
      </c>
      <c r="D23" s="27">
        <v>2.9482551143200964E-2</v>
      </c>
      <c r="E23" s="28">
        <v>1.3437625350982751E-2</v>
      </c>
      <c r="F23">
        <v>59</v>
      </c>
      <c r="G23" s="18">
        <v>0.40136054421768708</v>
      </c>
      <c r="H23" s="29">
        <v>0.21141031623238948</v>
      </c>
      <c r="I23" t="s">
        <v>160</v>
      </c>
    </row>
    <row r="24" spans="1:9" x14ac:dyDescent="0.3">
      <c r="A24" s="23" t="s">
        <v>38</v>
      </c>
      <c r="B24" s="26">
        <v>257</v>
      </c>
      <c r="C24" s="26">
        <v>232</v>
      </c>
      <c r="D24" s="27">
        <v>5.1544324107501004E-2</v>
      </c>
      <c r="E24" s="28">
        <v>4.6530284797432812E-2</v>
      </c>
      <c r="F24">
        <v>130</v>
      </c>
      <c r="G24" s="18">
        <v>0.50583657587548636</v>
      </c>
      <c r="H24" s="29">
        <v>0.27743694016397663</v>
      </c>
      <c r="I24" t="s">
        <v>163</v>
      </c>
    </row>
    <row r="25" spans="1:9" x14ac:dyDescent="0.3">
      <c r="A25" s="24" t="s">
        <v>124</v>
      </c>
      <c r="B25" s="26">
        <v>77</v>
      </c>
      <c r="C25" s="26">
        <v>164</v>
      </c>
      <c r="D25" s="27">
        <v>1.5443241075010028E-2</v>
      </c>
      <c r="E25" s="28">
        <v>3.289209787404733E-2</v>
      </c>
      <c r="F25">
        <v>37</v>
      </c>
      <c r="G25" s="18">
        <v>0.48051948051948051</v>
      </c>
      <c r="H25" s="29">
        <v>0.2523435749970046</v>
      </c>
      <c r="I25" t="s">
        <v>162</v>
      </c>
    </row>
    <row r="26" spans="1:9" x14ac:dyDescent="0.3">
      <c r="A26" s="23" t="s">
        <v>39</v>
      </c>
      <c r="B26" s="26">
        <v>107</v>
      </c>
      <c r="C26" s="26">
        <v>284</v>
      </c>
      <c r="D26" s="27">
        <v>2.1460088247091856E-2</v>
      </c>
      <c r="E26" s="28">
        <v>5.695948656237465E-2</v>
      </c>
      <c r="F26">
        <v>56</v>
      </c>
      <c r="G26" s="18">
        <v>0.52336448598130836</v>
      </c>
      <c r="H26" s="29">
        <v>0.2812871366930208</v>
      </c>
      <c r="I26" t="s">
        <v>163</v>
      </c>
    </row>
    <row r="27" spans="1:9" x14ac:dyDescent="0.3">
      <c r="A27" s="24" t="s">
        <v>40</v>
      </c>
      <c r="B27" s="26">
        <v>447</v>
      </c>
      <c r="C27" s="26">
        <v>165</v>
      </c>
      <c r="D27" s="27">
        <v>8.9651022864019256E-2</v>
      </c>
      <c r="E27" s="28">
        <v>3.3092659446450061E-2</v>
      </c>
      <c r="F27">
        <v>206</v>
      </c>
      <c r="G27" s="18">
        <v>0.46085011185682329</v>
      </c>
      <c r="H27" s="29">
        <v>0.26111097650602894</v>
      </c>
      <c r="I27" t="s">
        <v>162</v>
      </c>
    </row>
    <row r="28" spans="1:9" x14ac:dyDescent="0.3">
      <c r="A28" s="23" t="s">
        <v>41</v>
      </c>
      <c r="B28" s="26">
        <v>322</v>
      </c>
      <c r="C28" s="26">
        <v>921</v>
      </c>
      <c r="D28" s="27">
        <v>6.45808263136783E-2</v>
      </c>
      <c r="E28" s="28">
        <v>0.18471720818291215</v>
      </c>
      <c r="F28">
        <v>170</v>
      </c>
      <c r="G28" s="18">
        <v>0.52795031055900621</v>
      </c>
      <c r="H28" s="29">
        <v>0.32629966390365073</v>
      </c>
      <c r="I28" t="s">
        <v>161</v>
      </c>
    </row>
    <row r="29" spans="1:9" x14ac:dyDescent="0.3">
      <c r="A29" s="24" t="s">
        <v>42</v>
      </c>
      <c r="B29" s="26">
        <v>129</v>
      </c>
      <c r="C29" s="26">
        <v>49</v>
      </c>
      <c r="D29" s="27">
        <v>2.5872442839951864E-2</v>
      </c>
      <c r="E29" s="28">
        <v>9.8275170477336547E-3</v>
      </c>
      <c r="F29">
        <v>67</v>
      </c>
      <c r="G29" s="18">
        <v>0.51937984496124034</v>
      </c>
      <c r="H29" s="29">
        <v>0.26861491245254154</v>
      </c>
      <c r="I29" t="s">
        <v>162</v>
      </c>
    </row>
    <row r="30" spans="1:9" x14ac:dyDescent="0.3">
      <c r="A30" s="23" t="s">
        <v>125</v>
      </c>
      <c r="B30" s="26">
        <v>60</v>
      </c>
      <c r="C30" s="26">
        <v>127</v>
      </c>
      <c r="D30" s="27">
        <v>1.2033694344163659E-2</v>
      </c>
      <c r="E30" s="28">
        <v>2.5471319695146408E-2</v>
      </c>
      <c r="F30">
        <v>25</v>
      </c>
      <c r="G30" s="18">
        <v>0.41666666666666669</v>
      </c>
      <c r="H30" s="29">
        <v>0.21770958684316086</v>
      </c>
      <c r="I30" t="s">
        <v>160</v>
      </c>
    </row>
    <row r="31" spans="1:9" x14ac:dyDescent="0.3">
      <c r="A31" s="24" t="s">
        <v>126</v>
      </c>
      <c r="B31" s="26">
        <v>86</v>
      </c>
      <c r="C31" s="26">
        <v>37</v>
      </c>
      <c r="D31" s="27">
        <v>1.7248295226634576E-2</v>
      </c>
      <c r="E31" s="28">
        <v>7.420778178900923E-3</v>
      </c>
      <c r="F31">
        <v>43</v>
      </c>
      <c r="G31" s="18">
        <v>0.5</v>
      </c>
      <c r="H31" s="29">
        <v>0.25616726835138387</v>
      </c>
      <c r="I31" t="s">
        <v>162</v>
      </c>
    </row>
    <row r="32" spans="1:9" x14ac:dyDescent="0.3">
      <c r="A32" s="23" t="s">
        <v>43</v>
      </c>
      <c r="B32" s="26">
        <v>46</v>
      </c>
      <c r="C32" s="26">
        <v>21</v>
      </c>
      <c r="D32" s="27">
        <v>9.2258323305254714E-3</v>
      </c>
      <c r="E32" s="28">
        <v>4.2117930204572801E-3</v>
      </c>
      <c r="F32">
        <v>19</v>
      </c>
      <c r="G32" s="18">
        <v>0.41304347826086957</v>
      </c>
      <c r="H32" s="29">
        <v>0.20988114546818046</v>
      </c>
      <c r="I32" t="s">
        <v>160</v>
      </c>
    </row>
    <row r="33" spans="1:9" x14ac:dyDescent="0.3">
      <c r="A33" s="24" t="s">
        <v>44</v>
      </c>
      <c r="B33" s="26">
        <v>16</v>
      </c>
      <c r="C33" s="26">
        <v>7</v>
      </c>
      <c r="D33" s="27">
        <v>3.208985158443642E-3</v>
      </c>
      <c r="E33" s="28">
        <v>1.4039310068190934E-3</v>
      </c>
      <c r="F33">
        <v>4</v>
      </c>
      <c r="G33" s="18">
        <v>0.25</v>
      </c>
      <c r="H33" s="29">
        <v>0.12615322904131568</v>
      </c>
      <c r="I33" t="s">
        <v>160</v>
      </c>
    </row>
    <row r="34" spans="1:9" x14ac:dyDescent="0.3">
      <c r="A34" s="23" t="s">
        <v>45</v>
      </c>
      <c r="B34" s="26">
        <v>403</v>
      </c>
      <c r="C34" s="26">
        <v>492</v>
      </c>
      <c r="D34" s="27">
        <v>8.0826313678299233E-2</v>
      </c>
      <c r="E34" s="28">
        <v>9.8676293622142003E-2</v>
      </c>
      <c r="F34">
        <v>200</v>
      </c>
      <c r="G34" s="18">
        <v>0.49627791563275436</v>
      </c>
      <c r="H34" s="29">
        <v>0.29301460964148746</v>
      </c>
      <c r="I34" t="s">
        <v>163</v>
      </c>
    </row>
    <row r="35" spans="1:9" x14ac:dyDescent="0.3">
      <c r="A35" s="24" t="s">
        <v>46</v>
      </c>
      <c r="B35" s="26">
        <v>219</v>
      </c>
      <c r="C35" s="26">
        <v>216</v>
      </c>
      <c r="D35" s="27">
        <v>4.3922984356197355E-2</v>
      </c>
      <c r="E35" s="28">
        <v>4.3321299638989168E-2</v>
      </c>
      <c r="F35">
        <v>113</v>
      </c>
      <c r="G35" s="18">
        <v>0.51598173515981738</v>
      </c>
      <c r="H35" s="29">
        <v>0.27980193857870533</v>
      </c>
      <c r="I35" t="s">
        <v>163</v>
      </c>
    </row>
    <row r="36" spans="1:9" x14ac:dyDescent="0.3">
      <c r="A36" s="23" t="s">
        <v>47</v>
      </c>
      <c r="B36" s="26">
        <v>32</v>
      </c>
      <c r="C36" s="26">
        <v>210</v>
      </c>
      <c r="D36" s="27">
        <v>6.417970316887284E-3</v>
      </c>
      <c r="E36" s="28">
        <v>4.2117930204572801E-2</v>
      </c>
      <c r="F36">
        <v>21</v>
      </c>
      <c r="G36" s="18">
        <v>0.65625</v>
      </c>
      <c r="H36" s="29">
        <v>0.34025897513036502</v>
      </c>
      <c r="I36" t="s">
        <v>161</v>
      </c>
    </row>
    <row r="37" spans="1:9" x14ac:dyDescent="0.3">
      <c r="A37" s="24" t="s">
        <v>48</v>
      </c>
      <c r="B37" s="26">
        <v>145</v>
      </c>
      <c r="C37" s="26">
        <v>221</v>
      </c>
      <c r="D37" s="27">
        <v>2.9081427998395509E-2</v>
      </c>
      <c r="E37" s="28">
        <v>4.432410750100281E-2</v>
      </c>
      <c r="F37">
        <v>71</v>
      </c>
      <c r="G37" s="18">
        <v>0.48965517241379308</v>
      </c>
      <c r="H37" s="29">
        <v>0.26317897008174612</v>
      </c>
      <c r="I37" t="s">
        <v>162</v>
      </c>
    </row>
    <row r="38" spans="1:9" x14ac:dyDescent="0.3">
      <c r="A38" s="23" t="s">
        <v>49</v>
      </c>
      <c r="B38" s="26">
        <v>232</v>
      </c>
      <c r="C38" s="26">
        <v>113</v>
      </c>
      <c r="D38" s="27">
        <v>4.6530284797432812E-2</v>
      </c>
      <c r="E38" s="28">
        <v>2.2663457681508223E-2</v>
      </c>
      <c r="F38">
        <v>118</v>
      </c>
      <c r="G38" s="18">
        <v>0.50862068965517238</v>
      </c>
      <c r="H38" s="29">
        <v>0.2716087804473214</v>
      </c>
      <c r="I38" t="s">
        <v>163</v>
      </c>
    </row>
    <row r="39" spans="1:9" x14ac:dyDescent="0.3">
      <c r="A39" s="24" t="s">
        <v>127</v>
      </c>
      <c r="B39" s="26">
        <v>134</v>
      </c>
      <c r="C39" s="26">
        <v>94</v>
      </c>
      <c r="D39" s="27">
        <v>2.6875250701965503E-2</v>
      </c>
      <c r="E39" s="28">
        <v>1.8852787805856398E-2</v>
      </c>
      <c r="F39">
        <v>63</v>
      </c>
      <c r="G39" s="18">
        <v>0.47014925373134331</v>
      </c>
      <c r="H39" s="29">
        <v>0.24650663649262713</v>
      </c>
      <c r="I39" t="s">
        <v>162</v>
      </c>
    </row>
    <row r="40" spans="1:9" x14ac:dyDescent="0.3">
      <c r="A40" s="23" t="s">
        <v>50</v>
      </c>
      <c r="B40" s="26">
        <v>542</v>
      </c>
      <c r="C40" s="26">
        <v>294</v>
      </c>
      <c r="D40" s="27">
        <v>0.10870437224227839</v>
      </c>
      <c r="E40" s="28">
        <v>5.8965102286401928E-2</v>
      </c>
      <c r="F40">
        <v>285</v>
      </c>
      <c r="G40" s="18">
        <v>0.52583025830258301</v>
      </c>
      <c r="H40" s="29">
        <v>0.30483249778346161</v>
      </c>
      <c r="I40" t="s">
        <v>161</v>
      </c>
    </row>
    <row r="41" spans="1:9" x14ac:dyDescent="0.3">
      <c r="A41" s="24" t="s">
        <v>51</v>
      </c>
      <c r="B41" s="26">
        <v>110</v>
      </c>
      <c r="C41" s="26">
        <v>565</v>
      </c>
      <c r="D41" s="27">
        <v>2.2061772964300039E-2</v>
      </c>
      <c r="E41" s="28">
        <v>0.11331728840754111</v>
      </c>
      <c r="F41">
        <v>68</v>
      </c>
      <c r="G41" s="18">
        <v>0.61818181818181817</v>
      </c>
      <c r="H41" s="29">
        <v>0.34293567443386935</v>
      </c>
      <c r="I41" t="s">
        <v>161</v>
      </c>
    </row>
    <row r="42" spans="1:9" x14ac:dyDescent="0.3">
      <c r="A42" s="23" t="s">
        <v>128</v>
      </c>
      <c r="B42" s="26">
        <v>220</v>
      </c>
      <c r="C42" s="26">
        <v>202</v>
      </c>
      <c r="D42" s="27">
        <v>4.4123545928600079E-2</v>
      </c>
      <c r="E42" s="28">
        <v>4.0513437625350986E-2</v>
      </c>
      <c r="F42">
        <v>102</v>
      </c>
      <c r="G42" s="18">
        <v>0.46363636363636362</v>
      </c>
      <c r="H42" s="29">
        <v>0.25297742770666959</v>
      </c>
      <c r="I42" t="s">
        <v>162</v>
      </c>
    </row>
    <row r="43" spans="1:9" x14ac:dyDescent="0.3">
      <c r="A43" s="24" t="s">
        <v>52</v>
      </c>
      <c r="B43" s="26">
        <v>139</v>
      </c>
      <c r="C43" s="26">
        <v>394</v>
      </c>
      <c r="D43" s="27">
        <v>2.7878058563979142E-2</v>
      </c>
      <c r="E43" s="28">
        <v>7.9021259526674686E-2</v>
      </c>
      <c r="F43">
        <v>77</v>
      </c>
      <c r="G43" s="18">
        <v>0.5539568345323741</v>
      </c>
      <c r="H43" s="29">
        <v>0.30370324678885047</v>
      </c>
      <c r="I43" t="s">
        <v>161</v>
      </c>
    </row>
    <row r="44" spans="1:9" x14ac:dyDescent="0.3">
      <c r="A44" s="23" t="s">
        <v>53</v>
      </c>
      <c r="B44" s="26">
        <v>428</v>
      </c>
      <c r="C44" s="26">
        <v>181</v>
      </c>
      <c r="D44" s="27">
        <v>8.5840352988367424E-2</v>
      </c>
      <c r="E44" s="28">
        <v>3.6301644604893706E-2</v>
      </c>
      <c r="F44">
        <v>215</v>
      </c>
      <c r="G44" s="18">
        <v>0.50233644859813087</v>
      </c>
      <c r="H44" s="29">
        <v>0.28170372369738067</v>
      </c>
      <c r="I44" t="s">
        <v>163</v>
      </c>
    </row>
    <row r="45" spans="1:9" x14ac:dyDescent="0.3">
      <c r="A45" s="24" t="s">
        <v>129</v>
      </c>
      <c r="B45" s="26">
        <v>89</v>
      </c>
      <c r="C45" s="26">
        <v>65</v>
      </c>
      <c r="D45" s="27">
        <v>1.7849979943842759E-2</v>
      </c>
      <c r="E45" s="28">
        <v>1.3036502206177296E-2</v>
      </c>
      <c r="F45">
        <v>53</v>
      </c>
      <c r="G45" s="18">
        <v>0.5955056179775281</v>
      </c>
      <c r="H45" s="29">
        <v>0.30547442952626908</v>
      </c>
      <c r="I45" t="s">
        <v>161</v>
      </c>
    </row>
    <row r="46" spans="1:9" x14ac:dyDescent="0.3">
      <c r="A46" s="23" t="s">
        <v>54</v>
      </c>
      <c r="B46" s="26">
        <v>168</v>
      </c>
      <c r="C46" s="26">
        <v>279</v>
      </c>
      <c r="D46" s="27">
        <v>3.3694344163658241E-2</v>
      </c>
      <c r="E46" s="28">
        <v>5.5956678700361008E-2</v>
      </c>
      <c r="F46">
        <v>90</v>
      </c>
      <c r="G46" s="18">
        <v>0.5357142857142857</v>
      </c>
      <c r="H46" s="29">
        <v>0.29026989857314767</v>
      </c>
      <c r="I46" t="s">
        <v>163</v>
      </c>
    </row>
    <row r="47" spans="1:9" x14ac:dyDescent="0.3">
      <c r="A47" s="24" t="s">
        <v>55</v>
      </c>
      <c r="B47" s="26">
        <v>159</v>
      </c>
      <c r="C47" s="26">
        <v>312</v>
      </c>
      <c r="D47" s="27">
        <v>3.1889290012033694E-2</v>
      </c>
      <c r="E47" s="28">
        <v>6.2575210589651029E-2</v>
      </c>
      <c r="F47">
        <v>96</v>
      </c>
      <c r="G47" s="18">
        <v>0.60377358490566035</v>
      </c>
      <c r="H47" s="29">
        <v>0.3255029176032514</v>
      </c>
      <c r="I47" t="s">
        <v>161</v>
      </c>
    </row>
    <row r="48" spans="1:9" x14ac:dyDescent="0.3">
      <c r="A48" s="23" t="s">
        <v>56</v>
      </c>
      <c r="B48" s="26">
        <v>146</v>
      </c>
      <c r="C48" s="26">
        <v>100</v>
      </c>
      <c r="D48" s="27">
        <v>2.9281989570798236E-2</v>
      </c>
      <c r="E48" s="28">
        <v>2.0056157240272765E-2</v>
      </c>
      <c r="F48">
        <v>82</v>
      </c>
      <c r="G48" s="18">
        <v>0.56164383561643838</v>
      </c>
      <c r="H48" s="29">
        <v>0.29315645451098693</v>
      </c>
      <c r="I48" t="s">
        <v>163</v>
      </c>
    </row>
    <row r="49" spans="1:9" x14ac:dyDescent="0.3">
      <c r="A49" s="24" t="s">
        <v>57</v>
      </c>
      <c r="B49" s="26">
        <v>104</v>
      </c>
      <c r="C49" s="26">
        <v>128</v>
      </c>
      <c r="D49" s="27">
        <v>2.0858403529883673E-2</v>
      </c>
      <c r="E49" s="28">
        <v>2.5671881267549136E-2</v>
      </c>
      <c r="F49">
        <v>57</v>
      </c>
      <c r="G49" s="18">
        <v>0.54807692307692313</v>
      </c>
      <c r="H49" s="29">
        <v>0.2856710327378198</v>
      </c>
      <c r="I49" t="s">
        <v>163</v>
      </c>
    </row>
    <row r="50" spans="1:9" x14ac:dyDescent="0.3">
      <c r="A50" s="23" t="s">
        <v>58</v>
      </c>
      <c r="B50" s="26">
        <v>106</v>
      </c>
      <c r="C50" s="26">
        <v>48</v>
      </c>
      <c r="D50" s="27">
        <v>2.1259526674689128E-2</v>
      </c>
      <c r="E50" s="28">
        <v>9.6269554753309269E-3</v>
      </c>
      <c r="F50">
        <v>54</v>
      </c>
      <c r="G50" s="18">
        <v>0.50943396226415094</v>
      </c>
      <c r="H50" s="29">
        <v>0.2624386016695805</v>
      </c>
      <c r="I50" t="s">
        <v>162</v>
      </c>
    </row>
    <row r="51" spans="1:9" x14ac:dyDescent="0.3">
      <c r="A51" s="24" t="s">
        <v>59</v>
      </c>
      <c r="B51" s="26">
        <v>91</v>
      </c>
      <c r="C51" s="26">
        <v>117</v>
      </c>
      <c r="D51" s="27">
        <v>1.8251103088648215E-2</v>
      </c>
      <c r="E51" s="28">
        <v>2.3465703971119134E-2</v>
      </c>
      <c r="F51">
        <v>48</v>
      </c>
      <c r="G51" s="18">
        <v>0.52747252747252749</v>
      </c>
      <c r="H51" s="29">
        <v>0.27416546550120557</v>
      </c>
      <c r="I51" t="s">
        <v>163</v>
      </c>
    </row>
    <row r="52" spans="1:9" x14ac:dyDescent="0.3">
      <c r="A52" s="23" t="s">
        <v>130</v>
      </c>
      <c r="B52" s="26">
        <v>297</v>
      </c>
      <c r="C52" s="26">
        <v>77</v>
      </c>
      <c r="D52" s="27">
        <v>5.9566787003610108E-2</v>
      </c>
      <c r="E52" s="28">
        <v>1.5443241075010028E-2</v>
      </c>
      <c r="F52">
        <v>145</v>
      </c>
      <c r="G52" s="18">
        <v>0.48821548821548821</v>
      </c>
      <c r="H52" s="29">
        <v>0.26286025112739914</v>
      </c>
      <c r="I52" t="s">
        <v>162</v>
      </c>
    </row>
    <row r="53" spans="1:9" x14ac:dyDescent="0.3">
      <c r="A53" s="24" t="s">
        <v>60</v>
      </c>
      <c r="B53" s="26">
        <v>297</v>
      </c>
      <c r="C53" s="26">
        <v>372</v>
      </c>
      <c r="D53" s="27">
        <v>5.9566787003610108E-2</v>
      </c>
      <c r="E53" s="28">
        <v>7.4608904933814682E-2</v>
      </c>
      <c r="F53">
        <v>143</v>
      </c>
      <c r="G53" s="18">
        <v>0.48148148148148145</v>
      </c>
      <c r="H53" s="29">
        <v>0.27428466372509697</v>
      </c>
      <c r="I53" t="s">
        <v>163</v>
      </c>
    </row>
    <row r="54" spans="1:9" x14ac:dyDescent="0.3">
      <c r="A54" s="23" t="s">
        <v>131</v>
      </c>
      <c r="B54" s="26">
        <v>164</v>
      </c>
      <c r="C54" s="26">
        <v>98</v>
      </c>
      <c r="D54" s="27">
        <v>3.289209787404733E-2</v>
      </c>
      <c r="E54" s="28">
        <v>1.9655034095467309E-2</v>
      </c>
      <c r="F54">
        <v>83</v>
      </c>
      <c r="G54" s="18">
        <v>0.50609756097560976</v>
      </c>
      <c r="H54" s="29">
        <v>0.26618556348018352</v>
      </c>
      <c r="I54" t="s">
        <v>162</v>
      </c>
    </row>
    <row r="55" spans="1:9" x14ac:dyDescent="0.3">
      <c r="A55" s="24" t="s">
        <v>61</v>
      </c>
      <c r="B55" s="26">
        <v>437</v>
      </c>
      <c r="C55" s="26">
        <v>82</v>
      </c>
      <c r="D55" s="27">
        <v>8.7645407139991971E-2</v>
      </c>
      <c r="E55" s="28">
        <v>1.6446048937023665E-2</v>
      </c>
      <c r="F55">
        <v>209</v>
      </c>
      <c r="G55" s="18">
        <v>0.47826086956521741</v>
      </c>
      <c r="H55" s="29">
        <v>0.26515329880186261</v>
      </c>
      <c r="I55" t="s">
        <v>162</v>
      </c>
    </row>
    <row r="56" spans="1:9" x14ac:dyDescent="0.3">
      <c r="A56" s="23" t="s">
        <v>62</v>
      </c>
      <c r="B56" s="26">
        <v>136</v>
      </c>
      <c r="C56" s="26">
        <v>439</v>
      </c>
      <c r="D56" s="27">
        <v>2.7276373846770958E-2</v>
      </c>
      <c r="E56" s="28">
        <v>8.8046530284797433E-2</v>
      </c>
      <c r="F56">
        <v>86</v>
      </c>
      <c r="G56" s="18">
        <v>0.63235294117647056</v>
      </c>
      <c r="H56" s="29">
        <v>0.34500719662112739</v>
      </c>
      <c r="I56" t="s">
        <v>161</v>
      </c>
    </row>
    <row r="57" spans="1:9" x14ac:dyDescent="0.3">
      <c r="A57" s="24" t="s">
        <v>132</v>
      </c>
      <c r="B57" s="26">
        <v>435</v>
      </c>
      <c r="C57" s="26">
        <v>190</v>
      </c>
      <c r="D57" s="27">
        <v>8.7244283995186522E-2</v>
      </c>
      <c r="E57" s="28">
        <v>3.8106698756518252E-2</v>
      </c>
      <c r="F57">
        <v>220</v>
      </c>
      <c r="G57" s="18">
        <v>0.50574712643678166</v>
      </c>
      <c r="H57" s="29">
        <v>0.28421130890631702</v>
      </c>
      <c r="I57" t="s">
        <v>163</v>
      </c>
    </row>
    <row r="58" spans="1:9" x14ac:dyDescent="0.3">
      <c r="A58" s="23" t="s">
        <v>63</v>
      </c>
      <c r="B58" s="26">
        <v>30</v>
      </c>
      <c r="C58" s="26">
        <v>28</v>
      </c>
      <c r="D58" s="27">
        <v>6.0168471720818293E-3</v>
      </c>
      <c r="E58" s="28">
        <v>5.6157240272763738E-3</v>
      </c>
      <c r="F58">
        <v>16</v>
      </c>
      <c r="G58" s="18">
        <v>0.53333333333333333</v>
      </c>
      <c r="H58" s="29">
        <v>0.26957480946650619</v>
      </c>
      <c r="I58" t="s">
        <v>162</v>
      </c>
    </row>
    <row r="59" spans="1:9" x14ac:dyDescent="0.3">
      <c r="A59" s="24" t="s">
        <v>64</v>
      </c>
      <c r="B59" s="26">
        <v>71</v>
      </c>
      <c r="C59" s="26">
        <v>203</v>
      </c>
      <c r="D59" s="27">
        <v>1.4239871640593663E-2</v>
      </c>
      <c r="E59" s="28">
        <v>4.071399919775371E-2</v>
      </c>
      <c r="F59">
        <v>36</v>
      </c>
      <c r="G59" s="18">
        <v>0.50704225352112675</v>
      </c>
      <c r="H59" s="29">
        <v>0.26725959447015019</v>
      </c>
      <c r="I59" t="s">
        <v>162</v>
      </c>
    </row>
    <row r="60" spans="1:9" x14ac:dyDescent="0.3">
      <c r="A60" s="23" t="s">
        <v>65</v>
      </c>
      <c r="B60" s="26">
        <v>98</v>
      </c>
      <c r="C60" s="26">
        <v>360</v>
      </c>
      <c r="D60" s="27">
        <v>1.9655034095467309E-2</v>
      </c>
      <c r="E60" s="28">
        <v>7.2202166064981949E-2</v>
      </c>
      <c r="F60">
        <v>37</v>
      </c>
      <c r="G60" s="18">
        <v>0.37755102040816324</v>
      </c>
      <c r="H60" s="29">
        <v>0.21173981024419394</v>
      </c>
      <c r="I60" t="s">
        <v>160</v>
      </c>
    </row>
    <row r="61" spans="1:9" x14ac:dyDescent="0.3">
      <c r="A61" s="24" t="s">
        <v>66</v>
      </c>
      <c r="B61" s="26">
        <v>297</v>
      </c>
      <c r="C61" s="26">
        <v>205</v>
      </c>
      <c r="D61" s="27">
        <v>5.9566787003610108E-2</v>
      </c>
      <c r="E61" s="28">
        <v>4.1115122342559166E-2</v>
      </c>
      <c r="F61">
        <v>139</v>
      </c>
      <c r="G61" s="18">
        <v>0.46801346801346799</v>
      </c>
      <c r="H61" s="29">
        <v>0.25917721134327631</v>
      </c>
      <c r="I61" t="s">
        <v>162</v>
      </c>
    </row>
    <row r="62" spans="1:9" x14ac:dyDescent="0.3">
      <c r="A62" s="23" t="s">
        <v>67</v>
      </c>
      <c r="B62" s="26">
        <v>61</v>
      </c>
      <c r="C62" s="26">
        <v>161</v>
      </c>
      <c r="D62" s="27">
        <v>1.2234255916566386E-2</v>
      </c>
      <c r="E62" s="28">
        <v>3.229041315683915E-2</v>
      </c>
      <c r="F62">
        <v>25</v>
      </c>
      <c r="G62" s="18">
        <v>0.4098360655737705</v>
      </c>
      <c r="H62" s="29">
        <v>0.21604920005523662</v>
      </c>
      <c r="I62" t="s">
        <v>160</v>
      </c>
    </row>
    <row r="63" spans="1:9" x14ac:dyDescent="0.3">
      <c r="A63" s="24" t="s">
        <v>68</v>
      </c>
      <c r="B63" s="26">
        <v>64</v>
      </c>
      <c r="C63" s="26">
        <v>157</v>
      </c>
      <c r="D63" s="27">
        <v>1.2835940633774568E-2</v>
      </c>
      <c r="E63" s="28">
        <v>3.1488166867228239E-2</v>
      </c>
      <c r="F63">
        <v>24</v>
      </c>
      <c r="G63" s="18">
        <v>0.375</v>
      </c>
      <c r="H63" s="29">
        <v>0.1985810268752507</v>
      </c>
      <c r="I63" t="s">
        <v>160</v>
      </c>
    </row>
    <row r="64" spans="1:9" x14ac:dyDescent="0.3">
      <c r="A64" s="23" t="s">
        <v>69</v>
      </c>
      <c r="B64" s="26">
        <v>58</v>
      </c>
      <c r="C64" s="26">
        <v>16</v>
      </c>
      <c r="D64" s="27">
        <v>1.1632571199358203E-2</v>
      </c>
      <c r="E64" s="28">
        <v>3.208985158443642E-3</v>
      </c>
      <c r="F64">
        <v>32</v>
      </c>
      <c r="G64" s="18">
        <v>0.55172413793103448</v>
      </c>
      <c r="H64" s="29">
        <v>0.27957245805496767</v>
      </c>
      <c r="I64" t="s">
        <v>163</v>
      </c>
    </row>
    <row r="65" spans="1:9" x14ac:dyDescent="0.3">
      <c r="A65" s="24" t="s">
        <v>70</v>
      </c>
      <c r="B65" s="26">
        <v>374</v>
      </c>
      <c r="C65" s="26">
        <v>650</v>
      </c>
      <c r="D65" s="27">
        <v>7.5010028078620131E-2</v>
      </c>
      <c r="E65" s="28">
        <v>0.13036502206177297</v>
      </c>
      <c r="F65">
        <v>212</v>
      </c>
      <c r="G65" s="18">
        <v>0.5668449197860963</v>
      </c>
      <c r="H65" s="29">
        <v>0.33476622242814641</v>
      </c>
      <c r="I65" t="s">
        <v>161</v>
      </c>
    </row>
    <row r="66" spans="1:9" x14ac:dyDescent="0.3">
      <c r="A66" s="23" t="s">
        <v>133</v>
      </c>
      <c r="B66" s="26">
        <v>83</v>
      </c>
      <c r="C66" s="26">
        <v>126</v>
      </c>
      <c r="D66" s="27">
        <v>1.6646610509426393E-2</v>
      </c>
      <c r="E66" s="28">
        <v>2.5270758122743681E-2</v>
      </c>
      <c r="F66">
        <v>35</v>
      </c>
      <c r="G66" s="18">
        <v>0.42168674698795183</v>
      </c>
      <c r="H66" s="29">
        <v>0.22132271565201844</v>
      </c>
      <c r="I66" t="s">
        <v>162</v>
      </c>
    </row>
    <row r="67" spans="1:9" x14ac:dyDescent="0.3">
      <c r="A67" s="24" t="s">
        <v>71</v>
      </c>
      <c r="B67" s="26">
        <v>338</v>
      </c>
      <c r="C67" s="26">
        <v>388</v>
      </c>
      <c r="D67" s="27">
        <v>6.7789811472121944E-2</v>
      </c>
      <c r="E67" s="28">
        <v>7.7817890092258327E-2</v>
      </c>
      <c r="F67">
        <v>167</v>
      </c>
      <c r="G67" s="18">
        <v>0.49408284023668642</v>
      </c>
      <c r="H67" s="29">
        <v>0.28344334550943828</v>
      </c>
      <c r="I67" t="s">
        <v>163</v>
      </c>
    </row>
    <row r="68" spans="1:9" x14ac:dyDescent="0.3">
      <c r="A68" s="23" t="s">
        <v>72</v>
      </c>
      <c r="B68" s="26">
        <v>33</v>
      </c>
      <c r="C68" s="26">
        <v>113</v>
      </c>
      <c r="D68" s="27">
        <v>6.6185318892900118E-3</v>
      </c>
      <c r="E68" s="28">
        <v>2.2663457681508223E-2</v>
      </c>
      <c r="F68">
        <v>20</v>
      </c>
      <c r="G68" s="18">
        <v>0.60606060606060608</v>
      </c>
      <c r="H68" s="29">
        <v>0.31035080042300256</v>
      </c>
      <c r="I68" t="s">
        <v>161</v>
      </c>
    </row>
    <row r="69" spans="1:9" x14ac:dyDescent="0.3">
      <c r="A69" s="24" t="s">
        <v>73</v>
      </c>
      <c r="B69" s="26">
        <v>106</v>
      </c>
      <c r="C69" s="26">
        <v>288</v>
      </c>
      <c r="D69" s="27">
        <v>2.1259526674689128E-2</v>
      </c>
      <c r="E69" s="28">
        <v>5.7761732851985562E-2</v>
      </c>
      <c r="F69">
        <v>53</v>
      </c>
      <c r="G69" s="18">
        <v>0.5</v>
      </c>
      <c r="H69" s="29">
        <v>0.26975531488166865</v>
      </c>
      <c r="I69" t="s">
        <v>162</v>
      </c>
    </row>
    <row r="70" spans="1:9" x14ac:dyDescent="0.3">
      <c r="A70" s="23" t="s">
        <v>74</v>
      </c>
      <c r="B70" s="26">
        <v>119</v>
      </c>
      <c r="C70" s="26">
        <v>128</v>
      </c>
      <c r="D70" s="27">
        <v>2.386682711592459E-2</v>
      </c>
      <c r="E70" s="28">
        <v>2.5671881267549136E-2</v>
      </c>
      <c r="F70">
        <v>66</v>
      </c>
      <c r="G70" s="18">
        <v>0.55462184873949583</v>
      </c>
      <c r="H70" s="29">
        <v>0.28969560146561635</v>
      </c>
      <c r="I70" t="s">
        <v>163</v>
      </c>
    </row>
    <row r="71" spans="1:9" x14ac:dyDescent="0.3">
      <c r="A71" s="24" t="s">
        <v>75</v>
      </c>
      <c r="B71" s="26">
        <v>115</v>
      </c>
      <c r="C71" s="26">
        <v>129</v>
      </c>
      <c r="D71" s="27">
        <v>2.3064580826313678E-2</v>
      </c>
      <c r="E71" s="28">
        <v>2.5872442839951864E-2</v>
      </c>
      <c r="F71">
        <v>55</v>
      </c>
      <c r="G71" s="18">
        <v>0.47826086956521741</v>
      </c>
      <c r="H71" s="29">
        <v>0.25136469069917511</v>
      </c>
      <c r="I71" t="s">
        <v>162</v>
      </c>
    </row>
    <row r="72" spans="1:9" x14ac:dyDescent="0.3">
      <c r="A72" s="23" t="s">
        <v>76</v>
      </c>
      <c r="B72" s="26">
        <v>178</v>
      </c>
      <c r="C72" s="26">
        <v>600</v>
      </c>
      <c r="D72" s="27">
        <v>3.5699959887685519E-2</v>
      </c>
      <c r="E72" s="28">
        <v>0.12033694344163658</v>
      </c>
      <c r="F72">
        <v>100</v>
      </c>
      <c r="G72" s="18">
        <v>0.5617977528089888</v>
      </c>
      <c r="H72" s="29">
        <v>0.31990810223682492</v>
      </c>
      <c r="I72" t="s">
        <v>161</v>
      </c>
    </row>
    <row r="73" spans="1:9" x14ac:dyDescent="0.3">
      <c r="A73" s="24" t="s">
        <v>77</v>
      </c>
      <c r="B73" s="26">
        <v>250</v>
      </c>
      <c r="C73" s="26">
        <v>12</v>
      </c>
      <c r="D73" s="27">
        <v>5.0140393100681913E-2</v>
      </c>
      <c r="E73" s="28">
        <v>2.4067388688327317E-3</v>
      </c>
      <c r="F73">
        <v>125</v>
      </c>
      <c r="G73" s="18">
        <v>0.5</v>
      </c>
      <c r="H73" s="29">
        <v>0.26313678299237864</v>
      </c>
      <c r="I73" t="s">
        <v>162</v>
      </c>
    </row>
    <row r="74" spans="1:9" x14ac:dyDescent="0.3">
      <c r="A74" s="23" t="s">
        <v>78</v>
      </c>
      <c r="B74" s="26">
        <v>26</v>
      </c>
      <c r="C74" s="26">
        <v>15</v>
      </c>
      <c r="D74" s="27">
        <v>5.2146008824709182E-3</v>
      </c>
      <c r="E74" s="28">
        <v>3.0084235860409147E-3</v>
      </c>
      <c r="F74">
        <v>14</v>
      </c>
      <c r="G74" s="18">
        <v>0.53846153846153844</v>
      </c>
      <c r="H74" s="29">
        <v>0.27128652534789716</v>
      </c>
      <c r="I74" t="s">
        <v>163</v>
      </c>
    </row>
    <row r="75" spans="1:9" x14ac:dyDescent="0.3">
      <c r="A75" s="24" t="s">
        <v>134</v>
      </c>
      <c r="B75" s="26">
        <v>71</v>
      </c>
      <c r="C75" s="26">
        <v>123</v>
      </c>
      <c r="D75" s="27">
        <v>1.4239871640593663E-2</v>
      </c>
      <c r="E75" s="28">
        <v>2.4669073405535501E-2</v>
      </c>
      <c r="F75">
        <v>38</v>
      </c>
      <c r="G75" s="18">
        <v>0.53521126760563376</v>
      </c>
      <c r="H75" s="29">
        <v>0.27733287006434915</v>
      </c>
      <c r="I75" t="s">
        <v>163</v>
      </c>
    </row>
    <row r="76" spans="1:9" x14ac:dyDescent="0.3">
      <c r="A76" s="23" t="s">
        <v>135</v>
      </c>
      <c r="B76" s="26">
        <v>46</v>
      </c>
      <c r="C76" s="26">
        <v>128</v>
      </c>
      <c r="D76" s="27">
        <v>9.2258323305254714E-3</v>
      </c>
      <c r="E76" s="28">
        <v>2.5671881267549136E-2</v>
      </c>
      <c r="F76">
        <v>25</v>
      </c>
      <c r="G76" s="18">
        <v>0.54347826086956519</v>
      </c>
      <c r="H76" s="29">
        <v>0.28046355883430124</v>
      </c>
      <c r="I76" t="s">
        <v>163</v>
      </c>
    </row>
    <row r="77" spans="1:9" x14ac:dyDescent="0.3">
      <c r="A77" s="24" t="s">
        <v>79</v>
      </c>
      <c r="B77" s="26">
        <v>638</v>
      </c>
      <c r="C77" s="26">
        <v>1127</v>
      </c>
      <c r="D77" s="27">
        <v>0.12795828319294023</v>
      </c>
      <c r="E77" s="28">
        <v>0.22603289209787406</v>
      </c>
      <c r="F77">
        <v>342</v>
      </c>
      <c r="G77" s="18">
        <v>0.53605015673981193</v>
      </c>
      <c r="H77" s="29">
        <v>0.35652287219260953</v>
      </c>
      <c r="I77" t="s">
        <v>164</v>
      </c>
    </row>
    <row r="78" spans="1:9" x14ac:dyDescent="0.3">
      <c r="A78" s="23" t="s">
        <v>136</v>
      </c>
      <c r="B78" s="26">
        <v>67</v>
      </c>
      <c r="C78" s="26">
        <v>25</v>
      </c>
      <c r="D78" s="27">
        <v>1.3437625350982751E-2</v>
      </c>
      <c r="E78" s="28">
        <v>5.0140393100681913E-3</v>
      </c>
      <c r="F78">
        <v>27</v>
      </c>
      <c r="G78" s="18">
        <v>0.40298507462686567</v>
      </c>
      <c r="H78" s="29">
        <v>0.20610545347869558</v>
      </c>
      <c r="I78" t="s">
        <v>160</v>
      </c>
    </row>
    <row r="79" spans="1:9" x14ac:dyDescent="0.3">
      <c r="A79" s="24" t="s">
        <v>137</v>
      </c>
      <c r="B79" s="26">
        <v>51</v>
      </c>
      <c r="C79" s="26">
        <v>72</v>
      </c>
      <c r="D79" s="27">
        <v>1.022864019253911E-2</v>
      </c>
      <c r="E79" s="28">
        <v>1.444043321299639E-2</v>
      </c>
      <c r="F79">
        <v>23</v>
      </c>
      <c r="G79" s="18">
        <v>0.45098039215686275</v>
      </c>
      <c r="H79" s="29">
        <v>0.23165746442981525</v>
      </c>
      <c r="I79" t="s">
        <v>162</v>
      </c>
    </row>
    <row r="80" spans="1:9" x14ac:dyDescent="0.3">
      <c r="A80" s="23" t="s">
        <v>80</v>
      </c>
      <c r="B80" s="26">
        <v>589</v>
      </c>
      <c r="C80" s="26">
        <v>835</v>
      </c>
      <c r="D80" s="27">
        <v>0.11813076614520658</v>
      </c>
      <c r="E80" s="28">
        <v>0.16746891295627758</v>
      </c>
      <c r="F80">
        <v>354</v>
      </c>
      <c r="G80" s="18">
        <v>0.60101867572156198</v>
      </c>
      <c r="H80" s="29">
        <v>0.37190925763615207</v>
      </c>
      <c r="I80" t="s">
        <v>164</v>
      </c>
    </row>
    <row r="81" spans="1:9" x14ac:dyDescent="0.3">
      <c r="A81" s="24" t="s">
        <v>81</v>
      </c>
      <c r="B81" s="26">
        <v>120</v>
      </c>
      <c r="C81" s="26">
        <v>95</v>
      </c>
      <c r="D81" s="27">
        <v>2.4067388688327317E-2</v>
      </c>
      <c r="E81" s="28">
        <v>1.9053349378259126E-2</v>
      </c>
      <c r="F81">
        <v>58</v>
      </c>
      <c r="G81" s="18">
        <v>0.48333333333333334</v>
      </c>
      <c r="H81" s="29">
        <v>0.25244685118331328</v>
      </c>
      <c r="I81" t="s">
        <v>162</v>
      </c>
    </row>
    <row r="82" spans="1:9" x14ac:dyDescent="0.3">
      <c r="A82" s="23" t="s">
        <v>138</v>
      </c>
      <c r="B82" s="26">
        <v>273</v>
      </c>
      <c r="C82" s="26">
        <v>795</v>
      </c>
      <c r="D82" s="27">
        <v>5.4753309265944648E-2</v>
      </c>
      <c r="E82" s="28">
        <v>0.15944645006016847</v>
      </c>
      <c r="F82">
        <v>156</v>
      </c>
      <c r="G82" s="18">
        <v>0.5714285714285714</v>
      </c>
      <c r="H82" s="29">
        <v>0.33926422554581398</v>
      </c>
      <c r="I82" t="s">
        <v>161</v>
      </c>
    </row>
    <row r="83" spans="1:9" x14ac:dyDescent="0.3">
      <c r="A83" s="24" t="s">
        <v>82</v>
      </c>
      <c r="B83" s="26">
        <v>299</v>
      </c>
      <c r="C83" s="26">
        <v>78</v>
      </c>
      <c r="D83" s="27">
        <v>5.9967910148415564E-2</v>
      </c>
      <c r="E83" s="28">
        <v>1.5643802647412757E-2</v>
      </c>
      <c r="F83">
        <v>144</v>
      </c>
      <c r="G83" s="18">
        <v>0.48160535117056857</v>
      </c>
      <c r="H83" s="29">
        <v>0.2597056037842414</v>
      </c>
      <c r="I83" t="s">
        <v>162</v>
      </c>
    </row>
    <row r="84" spans="1:9" x14ac:dyDescent="0.3">
      <c r="A84" s="23" t="s">
        <v>83</v>
      </c>
      <c r="B84" s="26">
        <v>51</v>
      </c>
      <c r="C84" s="26">
        <v>73</v>
      </c>
      <c r="D84" s="27">
        <v>1.022864019253911E-2</v>
      </c>
      <c r="E84" s="28">
        <v>1.4640994785399118E-2</v>
      </c>
      <c r="F84">
        <v>31</v>
      </c>
      <c r="G84" s="18">
        <v>0.60784313725490191</v>
      </c>
      <c r="H84" s="29">
        <v>0.31013897737193552</v>
      </c>
      <c r="I84" t="s">
        <v>161</v>
      </c>
    </row>
    <row r="85" spans="1:9" x14ac:dyDescent="0.3">
      <c r="A85" s="24" t="s">
        <v>84</v>
      </c>
      <c r="B85" s="26">
        <v>482</v>
      </c>
      <c r="C85" s="26">
        <v>738</v>
      </c>
      <c r="D85" s="27">
        <v>9.6670677898114718E-2</v>
      </c>
      <c r="E85" s="28">
        <v>0.14801444043321299</v>
      </c>
      <c r="F85">
        <v>238</v>
      </c>
      <c r="G85" s="18">
        <v>0.49377593360995853</v>
      </c>
      <c r="H85" s="29">
        <v>0.30805924638781124</v>
      </c>
      <c r="I85" t="s">
        <v>161</v>
      </c>
    </row>
    <row r="86" spans="1:9" x14ac:dyDescent="0.3">
      <c r="A86" s="23" t="s">
        <v>85</v>
      </c>
      <c r="B86" s="26">
        <v>187</v>
      </c>
      <c r="C86" s="26">
        <v>190</v>
      </c>
      <c r="D86" s="27">
        <v>3.7505014039310065E-2</v>
      </c>
      <c r="E86" s="28">
        <v>3.8106698756518252E-2</v>
      </c>
      <c r="F86">
        <v>73</v>
      </c>
      <c r="G86" s="18">
        <v>0.39037433155080214</v>
      </c>
      <c r="H86" s="29">
        <v>0.21409009397435816</v>
      </c>
      <c r="I86" t="s">
        <v>160</v>
      </c>
    </row>
    <row r="87" spans="1:9" x14ac:dyDescent="0.3">
      <c r="A87" s="24" t="s">
        <v>86</v>
      </c>
      <c r="B87" s="26">
        <v>35</v>
      </c>
      <c r="C87" s="26">
        <v>57</v>
      </c>
      <c r="D87" s="27">
        <v>7.0196550340954674E-3</v>
      </c>
      <c r="E87" s="28">
        <v>1.1432009626955475E-2</v>
      </c>
      <c r="F87">
        <v>13</v>
      </c>
      <c r="G87" s="18">
        <v>0.37142857142857144</v>
      </c>
      <c r="H87" s="29">
        <v>0.19032720187954846</v>
      </c>
      <c r="I87" t="s">
        <v>160</v>
      </c>
    </row>
    <row r="88" spans="1:9" x14ac:dyDescent="0.3">
      <c r="A88" s="23" t="s">
        <v>139</v>
      </c>
      <c r="B88" s="26">
        <v>267</v>
      </c>
      <c r="C88" s="26">
        <v>185</v>
      </c>
      <c r="D88" s="27">
        <v>5.3549939831528282E-2</v>
      </c>
      <c r="E88" s="28">
        <v>3.710389089450461E-2</v>
      </c>
      <c r="F88">
        <v>123</v>
      </c>
      <c r="G88" s="18">
        <v>0.4606741573033708</v>
      </c>
      <c r="H88" s="29">
        <v>0.25300053633319364</v>
      </c>
      <c r="I88" t="s">
        <v>162</v>
      </c>
    </row>
    <row r="89" spans="1:9" x14ac:dyDescent="0.3">
      <c r="A89" s="24" t="s">
        <v>87</v>
      </c>
      <c r="B89" s="26">
        <v>1065</v>
      </c>
      <c r="C89" s="26">
        <v>521</v>
      </c>
      <c r="D89" s="27">
        <v>0.21359807460890493</v>
      </c>
      <c r="E89" s="28">
        <v>0.10449257922182111</v>
      </c>
      <c r="F89">
        <v>547</v>
      </c>
      <c r="G89" s="18">
        <v>0.51361502347417842</v>
      </c>
      <c r="H89" s="29">
        <v>0.33633017519477076</v>
      </c>
      <c r="I89" t="s">
        <v>161</v>
      </c>
    </row>
    <row r="90" spans="1:9" x14ac:dyDescent="0.3">
      <c r="A90" s="23" t="s">
        <v>88</v>
      </c>
      <c r="B90" s="26">
        <v>247</v>
      </c>
      <c r="C90" s="26">
        <v>713</v>
      </c>
      <c r="D90" s="27">
        <v>4.9538708383473726E-2</v>
      </c>
      <c r="E90" s="28">
        <v>0.1430004011231448</v>
      </c>
      <c r="F90">
        <v>114</v>
      </c>
      <c r="G90" s="18">
        <v>0.46153846153846156</v>
      </c>
      <c r="H90" s="29">
        <v>0.2789040081458854</v>
      </c>
      <c r="I90" t="s">
        <v>163</v>
      </c>
    </row>
    <row r="91" spans="1:9" x14ac:dyDescent="0.3">
      <c r="A91" s="24" t="s">
        <v>89</v>
      </c>
      <c r="B91" s="26">
        <v>309</v>
      </c>
      <c r="C91" s="26">
        <v>581</v>
      </c>
      <c r="D91" s="27">
        <v>6.1973525872442842E-2</v>
      </c>
      <c r="E91" s="28">
        <v>0.11652627356598476</v>
      </c>
      <c r="F91">
        <v>137</v>
      </c>
      <c r="G91" s="18">
        <v>0.44336569579288027</v>
      </c>
      <c r="H91" s="29">
        <v>0.26630779775604702</v>
      </c>
      <c r="I91" t="s">
        <v>162</v>
      </c>
    </row>
    <row r="92" spans="1:9" x14ac:dyDescent="0.3">
      <c r="A92" s="23" t="s">
        <v>90</v>
      </c>
      <c r="B92" s="26">
        <v>450</v>
      </c>
      <c r="C92" s="26">
        <v>216</v>
      </c>
      <c r="D92" s="27">
        <v>9.0252707581227443E-2</v>
      </c>
      <c r="E92" s="28">
        <v>4.3321299638989168E-2</v>
      </c>
      <c r="F92">
        <v>204</v>
      </c>
      <c r="G92" s="18">
        <v>0.45333333333333331</v>
      </c>
      <c r="H92" s="29">
        <v>0.26006016847172081</v>
      </c>
      <c r="I92" t="s">
        <v>162</v>
      </c>
    </row>
    <row r="93" spans="1:9" x14ac:dyDescent="0.3">
      <c r="A93" s="24" t="s">
        <v>91</v>
      </c>
      <c r="B93" s="26">
        <v>274</v>
      </c>
      <c r="C93" s="26">
        <v>72</v>
      </c>
      <c r="D93" s="27">
        <v>5.4953870838347373E-2</v>
      </c>
      <c r="E93" s="28">
        <v>1.444043321299639E-2</v>
      </c>
      <c r="F93">
        <v>142</v>
      </c>
      <c r="G93" s="18">
        <v>0.51824817518248179</v>
      </c>
      <c r="H93" s="29">
        <v>0.27647266360407685</v>
      </c>
      <c r="I93" t="s">
        <v>163</v>
      </c>
    </row>
    <row r="94" spans="1:9" x14ac:dyDescent="0.3">
      <c r="A94" s="23" t="s">
        <v>140</v>
      </c>
      <c r="B94" s="26">
        <v>173</v>
      </c>
      <c r="C94" s="26">
        <v>167</v>
      </c>
      <c r="D94" s="27">
        <v>3.4697152025671883E-2</v>
      </c>
      <c r="E94" s="28">
        <v>3.3493782591255516E-2</v>
      </c>
      <c r="F94">
        <v>82</v>
      </c>
      <c r="G94" s="18">
        <v>0.47398843930635837</v>
      </c>
      <c r="H94" s="29">
        <v>0.25404195330741103</v>
      </c>
      <c r="I94" t="s">
        <v>162</v>
      </c>
    </row>
    <row r="95" spans="1:9" x14ac:dyDescent="0.3">
      <c r="A95" s="24" t="s">
        <v>92</v>
      </c>
      <c r="B95" s="26">
        <v>243</v>
      </c>
      <c r="C95" s="26">
        <v>195</v>
      </c>
      <c r="D95" s="27">
        <v>4.8736462093862815E-2</v>
      </c>
      <c r="E95" s="28">
        <v>3.9109506618531888E-2</v>
      </c>
      <c r="F95">
        <v>118</v>
      </c>
      <c r="G95" s="18">
        <v>0.48559670781893005</v>
      </c>
      <c r="H95" s="29">
        <v>0.2647598460875637</v>
      </c>
      <c r="I95" t="s">
        <v>162</v>
      </c>
    </row>
    <row r="96" spans="1:9" x14ac:dyDescent="0.3">
      <c r="A96" s="23" t="s">
        <v>93</v>
      </c>
      <c r="B96" s="26">
        <v>432</v>
      </c>
      <c r="C96" s="26">
        <v>508</v>
      </c>
      <c r="D96" s="27">
        <v>8.6642599277978335E-2</v>
      </c>
      <c r="E96" s="28">
        <v>0.10188527878058563</v>
      </c>
      <c r="F96">
        <v>239</v>
      </c>
      <c r="G96" s="18">
        <v>0.5532407407407407</v>
      </c>
      <c r="H96" s="29">
        <v>0.32375233988501134</v>
      </c>
      <c r="I96" t="s">
        <v>161</v>
      </c>
    </row>
    <row r="97" spans="1:9" x14ac:dyDescent="0.3">
      <c r="A97" s="24" t="s">
        <v>94</v>
      </c>
      <c r="B97" s="26">
        <v>162</v>
      </c>
      <c r="C97" s="26">
        <v>358</v>
      </c>
      <c r="D97" s="27">
        <v>3.2490974729241874E-2</v>
      </c>
      <c r="E97" s="28">
        <v>7.18010429201765E-2</v>
      </c>
      <c r="F97">
        <v>81</v>
      </c>
      <c r="G97" s="18">
        <v>0.5</v>
      </c>
      <c r="H97" s="29">
        <v>0.27607300441235461</v>
      </c>
      <c r="I97" t="s">
        <v>163</v>
      </c>
    </row>
    <row r="98" spans="1:9" x14ac:dyDescent="0.3">
      <c r="A98" s="23" t="s">
        <v>95</v>
      </c>
      <c r="B98" s="26">
        <v>219</v>
      </c>
      <c r="C98" s="26">
        <v>459</v>
      </c>
      <c r="D98" s="27">
        <v>4.3922984356197355E-2</v>
      </c>
      <c r="E98" s="28">
        <v>9.2057761732851989E-2</v>
      </c>
      <c r="F98">
        <v>102</v>
      </c>
      <c r="G98" s="18">
        <v>0.46575342465753422</v>
      </c>
      <c r="H98" s="29">
        <v>0.26687189885102947</v>
      </c>
      <c r="I98" t="s">
        <v>162</v>
      </c>
    </row>
    <row r="99" spans="1:9" x14ac:dyDescent="0.3">
      <c r="A99" s="24" t="s">
        <v>96</v>
      </c>
      <c r="B99" s="26">
        <v>215</v>
      </c>
      <c r="C99" s="26">
        <v>153</v>
      </c>
      <c r="D99" s="27">
        <v>4.3120738066586443E-2</v>
      </c>
      <c r="E99" s="28">
        <v>3.0685920577617327E-2</v>
      </c>
      <c r="F99">
        <v>109</v>
      </c>
      <c r="G99" s="18">
        <v>0.50697674418604655</v>
      </c>
      <c r="H99" s="29">
        <v>0.27194003675407419</v>
      </c>
      <c r="I99" t="s">
        <v>163</v>
      </c>
    </row>
    <row r="100" spans="1:9" x14ac:dyDescent="0.3">
      <c r="A100" s="23" t="s">
        <v>141</v>
      </c>
      <c r="B100" s="26">
        <v>17</v>
      </c>
      <c r="C100" s="26">
        <v>37</v>
      </c>
      <c r="D100" s="27">
        <v>3.4095467308463698E-3</v>
      </c>
      <c r="E100" s="28">
        <v>7.420778178900923E-3</v>
      </c>
      <c r="F100">
        <v>8</v>
      </c>
      <c r="G100" s="18">
        <v>0.47058823529411764</v>
      </c>
      <c r="H100" s="29">
        <v>0.23800169887449565</v>
      </c>
      <c r="I100" t="s">
        <v>162</v>
      </c>
    </row>
    <row r="101" spans="1:9" x14ac:dyDescent="0.3">
      <c r="A101" s="24" t="s">
        <v>97</v>
      </c>
      <c r="B101" s="26">
        <v>381</v>
      </c>
      <c r="C101" s="26">
        <v>243</v>
      </c>
      <c r="D101" s="27">
        <v>7.6413959085439229E-2</v>
      </c>
      <c r="E101" s="28">
        <v>4.8736462093862815E-2</v>
      </c>
      <c r="F101">
        <v>186</v>
      </c>
      <c r="G101" s="18">
        <v>0.48818897637795278</v>
      </c>
      <c r="H101" s="29">
        <v>0.27538209348380188</v>
      </c>
      <c r="I101" t="s">
        <v>163</v>
      </c>
    </row>
    <row r="102" spans="1:9" x14ac:dyDescent="0.3">
      <c r="A102" s="23" t="s">
        <v>142</v>
      </c>
      <c r="B102" s="26">
        <v>297</v>
      </c>
      <c r="C102" s="26">
        <v>482</v>
      </c>
      <c r="D102" s="27">
        <v>5.9566787003610108E-2</v>
      </c>
      <c r="E102" s="28">
        <v>9.6670677898114718E-2</v>
      </c>
      <c r="F102">
        <v>150</v>
      </c>
      <c r="G102" s="18">
        <v>0.50505050505050508</v>
      </c>
      <c r="H102" s="29">
        <v>0.29158461875068376</v>
      </c>
      <c r="I102" t="s">
        <v>163</v>
      </c>
    </row>
    <row r="103" spans="1:9" x14ac:dyDescent="0.3">
      <c r="A103" s="24" t="s">
        <v>143</v>
      </c>
      <c r="B103" s="26">
        <v>64</v>
      </c>
      <c r="C103" s="26">
        <v>19</v>
      </c>
      <c r="D103" s="27">
        <v>1.2835940633774568E-2</v>
      </c>
      <c r="E103" s="28">
        <v>3.810669875651825E-3</v>
      </c>
      <c r="F103">
        <v>31</v>
      </c>
      <c r="G103" s="18">
        <v>0.484375</v>
      </c>
      <c r="H103" s="29">
        <v>0.2463491526273566</v>
      </c>
      <c r="I103" t="s">
        <v>162</v>
      </c>
    </row>
    <row r="104" spans="1:9" x14ac:dyDescent="0.3">
      <c r="A104" s="23" t="s">
        <v>98</v>
      </c>
      <c r="B104" s="26">
        <v>200</v>
      </c>
      <c r="C104" s="26">
        <v>564</v>
      </c>
      <c r="D104" s="27">
        <v>4.011231448054553E-2</v>
      </c>
      <c r="E104" s="28">
        <v>0.11311672683513839</v>
      </c>
      <c r="F104">
        <v>105</v>
      </c>
      <c r="G104" s="18">
        <v>0.52500000000000002</v>
      </c>
      <c r="H104" s="29">
        <v>0.30080726032892097</v>
      </c>
      <c r="I104" t="s">
        <v>161</v>
      </c>
    </row>
    <row r="105" spans="1:9" x14ac:dyDescent="0.3">
      <c r="A105" s="24" t="s">
        <v>144</v>
      </c>
      <c r="B105" s="26">
        <v>235</v>
      </c>
      <c r="C105" s="26">
        <v>219</v>
      </c>
      <c r="D105" s="27">
        <v>4.7131969514640992E-2</v>
      </c>
      <c r="E105" s="28">
        <v>4.3922984356197355E-2</v>
      </c>
      <c r="F105">
        <v>114</v>
      </c>
      <c r="G105" s="18">
        <v>0.48510638297872338</v>
      </c>
      <c r="H105" s="29">
        <v>0.26531692995707129</v>
      </c>
      <c r="I105" t="s">
        <v>162</v>
      </c>
    </row>
    <row r="106" spans="1:9" x14ac:dyDescent="0.3">
      <c r="A106" s="23" t="s">
        <v>145</v>
      </c>
      <c r="B106" s="26">
        <v>148</v>
      </c>
      <c r="C106" s="26">
        <v>243</v>
      </c>
      <c r="D106" s="27">
        <v>2.9683112715603692E-2</v>
      </c>
      <c r="E106" s="28">
        <v>4.8736462093862815E-2</v>
      </c>
      <c r="F106">
        <v>88</v>
      </c>
      <c r="G106" s="18">
        <v>0.59459459459459463</v>
      </c>
      <c r="H106" s="29">
        <v>0.31690219099966394</v>
      </c>
      <c r="I106" t="s">
        <v>161</v>
      </c>
    </row>
    <row r="107" spans="1:9" x14ac:dyDescent="0.3">
      <c r="A107" s="24" t="s">
        <v>99</v>
      </c>
      <c r="B107" s="26">
        <v>576</v>
      </c>
      <c r="C107" s="26">
        <v>627</v>
      </c>
      <c r="D107" s="27">
        <v>0.11552346570397112</v>
      </c>
      <c r="E107" s="28">
        <v>0.12575210589651023</v>
      </c>
      <c r="F107">
        <v>269</v>
      </c>
      <c r="G107" s="18">
        <v>0.4670138888888889</v>
      </c>
      <c r="H107" s="29">
        <v>0.2938258373445648</v>
      </c>
      <c r="I107" t="s">
        <v>163</v>
      </c>
    </row>
    <row r="108" spans="1:9" x14ac:dyDescent="0.3">
      <c r="A108" s="23" t="s">
        <v>100</v>
      </c>
      <c r="B108" s="26">
        <v>127</v>
      </c>
      <c r="C108" s="26">
        <v>147</v>
      </c>
      <c r="D108" s="27">
        <v>2.5471319695146408E-2</v>
      </c>
      <c r="E108" s="28">
        <v>2.9482551143200964E-2</v>
      </c>
      <c r="F108">
        <v>57</v>
      </c>
      <c r="G108" s="18">
        <v>0.44881889763779526</v>
      </c>
      <c r="H108" s="29">
        <v>0.23814791652848447</v>
      </c>
      <c r="I108" t="s">
        <v>162</v>
      </c>
    </row>
    <row r="109" spans="1:9" x14ac:dyDescent="0.3">
      <c r="A109" s="24" t="s">
        <v>101</v>
      </c>
      <c r="B109" s="26">
        <v>25</v>
      </c>
      <c r="C109" s="26">
        <v>276</v>
      </c>
      <c r="D109" s="27">
        <v>5.0140393100681913E-3</v>
      </c>
      <c r="E109" s="28">
        <v>5.5354993983152828E-2</v>
      </c>
      <c r="F109">
        <v>8</v>
      </c>
      <c r="G109" s="18">
        <v>0.32</v>
      </c>
      <c r="H109" s="29">
        <v>0.17509225832330524</v>
      </c>
      <c r="I109" t="s">
        <v>160</v>
      </c>
    </row>
    <row r="110" spans="1:9" x14ac:dyDescent="0.3">
      <c r="A110" s="23" t="s">
        <v>102</v>
      </c>
      <c r="B110" s="26">
        <v>416</v>
      </c>
      <c r="C110" s="26">
        <v>313</v>
      </c>
      <c r="D110" s="27">
        <v>8.3433614119534691E-2</v>
      </c>
      <c r="E110" s="28">
        <v>6.2775772162053753E-2</v>
      </c>
      <c r="F110">
        <v>216</v>
      </c>
      <c r="G110" s="18">
        <v>0.51923076923076927</v>
      </c>
      <c r="H110" s="29">
        <v>0.29616773118578171</v>
      </c>
      <c r="I110" t="s">
        <v>163</v>
      </c>
    </row>
    <row r="111" spans="1:9" x14ac:dyDescent="0.3">
      <c r="A111" s="24" t="s">
        <v>103</v>
      </c>
      <c r="B111" s="26">
        <v>201</v>
      </c>
      <c r="C111" s="26">
        <v>184</v>
      </c>
      <c r="D111" s="27">
        <v>4.0312876052948254E-2</v>
      </c>
      <c r="E111" s="28">
        <v>3.6903329322101885E-2</v>
      </c>
      <c r="F111">
        <v>111</v>
      </c>
      <c r="G111" s="18">
        <v>0.55223880597014929</v>
      </c>
      <c r="H111" s="29">
        <v>0.29542345432883721</v>
      </c>
      <c r="I111" t="s">
        <v>163</v>
      </c>
    </row>
    <row r="112" spans="1:9" x14ac:dyDescent="0.3">
      <c r="A112" s="23" t="s">
        <v>104</v>
      </c>
      <c r="B112" s="26">
        <v>74</v>
      </c>
      <c r="C112" s="26">
        <v>104</v>
      </c>
      <c r="D112" s="27">
        <v>1.4841556357801846E-2</v>
      </c>
      <c r="E112" s="28">
        <v>2.0858403529883673E-2</v>
      </c>
      <c r="F112">
        <v>36</v>
      </c>
      <c r="G112" s="18">
        <v>0.48648648648648651</v>
      </c>
      <c r="H112" s="29">
        <v>0.25216823321516463</v>
      </c>
      <c r="I112" t="s">
        <v>162</v>
      </c>
    </row>
    <row r="113" spans="1:9" x14ac:dyDescent="0.3">
      <c r="A113" s="24" t="s">
        <v>146</v>
      </c>
      <c r="B113" s="26">
        <v>537</v>
      </c>
      <c r="C113" s="26">
        <v>416</v>
      </c>
      <c r="D113" s="27">
        <v>0.10770156438026474</v>
      </c>
      <c r="E113" s="28">
        <v>8.3433614119534691E-2</v>
      </c>
      <c r="F113">
        <v>293</v>
      </c>
      <c r="G113" s="18">
        <v>0.54562383612662946</v>
      </c>
      <c r="H113" s="29">
        <v>0.32059571268826459</v>
      </c>
      <c r="I113" t="s">
        <v>161</v>
      </c>
    </row>
    <row r="114" spans="1:9" x14ac:dyDescent="0.3">
      <c r="A114" s="23" t="s">
        <v>105</v>
      </c>
      <c r="B114" s="26">
        <v>230</v>
      </c>
      <c r="C114" s="26">
        <v>304</v>
      </c>
      <c r="D114" s="27">
        <v>4.6129161652627357E-2</v>
      </c>
      <c r="E114" s="28">
        <v>6.0970718010429199E-2</v>
      </c>
      <c r="F114">
        <v>104</v>
      </c>
      <c r="G114" s="18">
        <v>0.45217391304347826</v>
      </c>
      <c r="H114" s="29">
        <v>0.25286192643750327</v>
      </c>
      <c r="I114" t="s">
        <v>162</v>
      </c>
    </row>
    <row r="115" spans="1:9" x14ac:dyDescent="0.3">
      <c r="A115" s="24" t="s">
        <v>106</v>
      </c>
      <c r="B115" s="26">
        <v>87</v>
      </c>
      <c r="C115" s="26">
        <v>83</v>
      </c>
      <c r="D115" s="27">
        <v>1.7448856799037304E-2</v>
      </c>
      <c r="E115" s="28">
        <v>1.6646610509426393E-2</v>
      </c>
      <c r="F115">
        <v>35</v>
      </c>
      <c r="G115" s="18">
        <v>0.40229885057471265</v>
      </c>
      <c r="H115" s="29">
        <v>0.20967329211447225</v>
      </c>
      <c r="I115" t="s">
        <v>160</v>
      </c>
    </row>
    <row r="116" spans="1:9" x14ac:dyDescent="0.3">
      <c r="A116" s="23" t="s">
        <v>107</v>
      </c>
      <c r="B116" s="26">
        <v>216</v>
      </c>
      <c r="C116" s="26">
        <v>413</v>
      </c>
      <c r="D116" s="27">
        <v>4.3321299638989168E-2</v>
      </c>
      <c r="E116" s="28">
        <v>8.2831929402326518E-2</v>
      </c>
      <c r="F116">
        <v>103</v>
      </c>
      <c r="G116" s="18">
        <v>0.47685185185185186</v>
      </c>
      <c r="H116" s="29">
        <v>0.26996423318625484</v>
      </c>
      <c r="I116" t="s">
        <v>162</v>
      </c>
    </row>
    <row r="117" spans="1:9" x14ac:dyDescent="0.3">
      <c r="A117" s="24" t="s">
        <v>108</v>
      </c>
      <c r="B117" s="26">
        <v>112</v>
      </c>
      <c r="C117" s="26">
        <v>25</v>
      </c>
      <c r="D117" s="27">
        <v>2.2462896109105495E-2</v>
      </c>
      <c r="E117" s="28">
        <v>5.0140393100681913E-3</v>
      </c>
      <c r="F117">
        <v>47</v>
      </c>
      <c r="G117" s="18">
        <v>0.41964285714285715</v>
      </c>
      <c r="H117" s="29">
        <v>0.21669066242622198</v>
      </c>
      <c r="I117" t="s">
        <v>160</v>
      </c>
    </row>
    <row r="118" spans="1:9" x14ac:dyDescent="0.3">
      <c r="A118" s="23" t="s">
        <v>109</v>
      </c>
      <c r="B118" s="26">
        <v>288</v>
      </c>
      <c r="C118" s="26">
        <v>781</v>
      </c>
      <c r="D118" s="27">
        <v>5.7761732851985562E-2</v>
      </c>
      <c r="E118" s="28">
        <v>0.15663858804653027</v>
      </c>
      <c r="F118">
        <v>145</v>
      </c>
      <c r="G118" s="18">
        <v>0.50347222222222221</v>
      </c>
      <c r="H118" s="29">
        <v>0.30533619133574003</v>
      </c>
      <c r="I118" t="s">
        <v>161</v>
      </c>
    </row>
    <row r="119" spans="1:9" x14ac:dyDescent="0.3">
      <c r="A119" s="24" t="s">
        <v>110</v>
      </c>
      <c r="B119" s="26">
        <v>188</v>
      </c>
      <c r="C119" s="26">
        <v>588</v>
      </c>
      <c r="D119" s="27">
        <v>3.7705575611712797E-2</v>
      </c>
      <c r="E119" s="28">
        <v>0.11793020457280386</v>
      </c>
      <c r="F119">
        <v>97</v>
      </c>
      <c r="G119" s="18">
        <v>0.51595744680851063</v>
      </c>
      <c r="H119" s="29">
        <v>0.2968876684503845</v>
      </c>
      <c r="I119" t="s">
        <v>163</v>
      </c>
    </row>
    <row r="120" spans="1:9" x14ac:dyDescent="0.3">
      <c r="A120" s="23" t="s">
        <v>111</v>
      </c>
      <c r="B120" s="26">
        <v>22</v>
      </c>
      <c r="C120" s="26">
        <v>567</v>
      </c>
      <c r="D120" s="27">
        <v>4.4123545928600079E-3</v>
      </c>
      <c r="E120" s="28">
        <v>0.11371841155234658</v>
      </c>
      <c r="F120">
        <v>13</v>
      </c>
      <c r="G120" s="18">
        <v>0.59090909090909094</v>
      </c>
      <c r="H120" s="29">
        <v>0.32498723699084714</v>
      </c>
      <c r="I120" t="s">
        <v>161</v>
      </c>
    </row>
    <row r="121" spans="1:9" x14ac:dyDescent="0.3">
      <c r="A121" s="24" t="s">
        <v>112</v>
      </c>
      <c r="B121" s="26">
        <v>314</v>
      </c>
      <c r="C121" s="26">
        <v>813</v>
      </c>
      <c r="D121" s="27">
        <v>6.2976333734456477E-2</v>
      </c>
      <c r="E121" s="28">
        <v>0.16305655836341756</v>
      </c>
      <c r="F121">
        <v>125</v>
      </c>
      <c r="G121" s="18">
        <v>0.39808917197452232</v>
      </c>
      <c r="H121" s="29">
        <v>0.25555280901172966</v>
      </c>
      <c r="I121" t="s">
        <v>162</v>
      </c>
    </row>
    <row r="122" spans="1:9" x14ac:dyDescent="0.3">
      <c r="A122" s="23" t="s">
        <v>147</v>
      </c>
      <c r="B122" s="26">
        <v>144</v>
      </c>
      <c r="C122" s="26">
        <v>86</v>
      </c>
      <c r="D122" s="27">
        <v>2.8880866425992781E-2</v>
      </c>
      <c r="E122" s="28">
        <v>1.7248295226634576E-2</v>
      </c>
      <c r="F122">
        <v>68</v>
      </c>
      <c r="G122" s="18">
        <v>0.47222222222222221</v>
      </c>
      <c r="H122" s="29">
        <v>0.24764340152426795</v>
      </c>
      <c r="I122" t="s">
        <v>162</v>
      </c>
    </row>
    <row r="123" spans="1:9" x14ac:dyDescent="0.3">
      <c r="A123" s="24" t="s">
        <v>113</v>
      </c>
      <c r="B123" s="26">
        <v>189</v>
      </c>
      <c r="C123" s="26">
        <v>374</v>
      </c>
      <c r="D123" s="27">
        <v>3.7906137184115521E-2</v>
      </c>
      <c r="E123" s="28">
        <v>7.5010028078620131E-2</v>
      </c>
      <c r="F123">
        <v>85</v>
      </c>
      <c r="G123" s="18">
        <v>0.44973544973544971</v>
      </c>
      <c r="H123" s="29">
        <v>0.25309676618340876</v>
      </c>
      <c r="I123" t="s">
        <v>162</v>
      </c>
    </row>
    <row r="124" spans="1:9" x14ac:dyDescent="0.3">
      <c r="A124" s="23" t="s">
        <v>114</v>
      </c>
      <c r="B124" s="26">
        <v>160</v>
      </c>
      <c r="C124" s="26">
        <v>686</v>
      </c>
      <c r="D124" s="27">
        <v>3.2089851584436425E-2</v>
      </c>
      <c r="E124" s="28">
        <v>0.13758523866827116</v>
      </c>
      <c r="F124">
        <v>93</v>
      </c>
      <c r="G124" s="18">
        <v>0.58125000000000004</v>
      </c>
      <c r="H124" s="29">
        <v>0.33304377256317691</v>
      </c>
      <c r="I124" t="s">
        <v>161</v>
      </c>
    </row>
    <row r="125" spans="1:9" x14ac:dyDescent="0.3">
      <c r="A125" s="24" t="s">
        <v>115</v>
      </c>
      <c r="B125" s="26">
        <v>111</v>
      </c>
      <c r="C125" s="26">
        <v>84</v>
      </c>
      <c r="D125" s="27">
        <v>2.2262334536702767E-2</v>
      </c>
      <c r="E125" s="28">
        <v>1.684717208182912E-2</v>
      </c>
      <c r="F125">
        <v>47</v>
      </c>
      <c r="G125" s="18">
        <v>0.42342342342342343</v>
      </c>
      <c r="H125" s="29">
        <v>0.22148908836634468</v>
      </c>
      <c r="I125" t="s">
        <v>162</v>
      </c>
    </row>
    <row r="126" spans="1:9" x14ac:dyDescent="0.3">
      <c r="A126" s="23" t="s">
        <v>148</v>
      </c>
      <c r="B126" s="26">
        <v>95</v>
      </c>
      <c r="C126" s="26">
        <v>116</v>
      </c>
      <c r="D126" s="27">
        <v>1.9053349378259126E-2</v>
      </c>
      <c r="E126" s="28">
        <v>2.3265142398716406E-2</v>
      </c>
      <c r="F126">
        <v>51</v>
      </c>
      <c r="G126" s="18">
        <v>0.5368421052631579</v>
      </c>
      <c r="H126" s="29">
        <v>0.27900067557582287</v>
      </c>
      <c r="I126" t="s">
        <v>163</v>
      </c>
    </row>
    <row r="127" spans="1:9" x14ac:dyDescent="0.3">
      <c r="A127" s="24" t="s">
        <v>116</v>
      </c>
      <c r="B127" s="26">
        <v>115</v>
      </c>
      <c r="C127" s="26">
        <v>76</v>
      </c>
      <c r="D127" s="27">
        <v>2.3064580826313678E-2</v>
      </c>
      <c r="E127" s="28">
        <v>1.52426795026073E-2</v>
      </c>
      <c r="F127">
        <v>59</v>
      </c>
      <c r="G127" s="18">
        <v>0.5130434782608696</v>
      </c>
      <c r="H127" s="29">
        <v>0.26609855421266504</v>
      </c>
      <c r="I127" t="s">
        <v>162</v>
      </c>
    </row>
    <row r="128" spans="1:9" x14ac:dyDescent="0.3">
      <c r="A128" s="25" t="s">
        <v>117</v>
      </c>
      <c r="B128" s="26">
        <v>170</v>
      </c>
      <c r="C128" s="26">
        <v>196</v>
      </c>
      <c r="D128" s="27">
        <v>3.4095467308463696E-2</v>
      </c>
      <c r="E128" s="28">
        <v>3.9310068190934619E-2</v>
      </c>
      <c r="F128">
        <v>83</v>
      </c>
      <c r="G128" s="18">
        <v>0.48823529411764705</v>
      </c>
      <c r="H128" s="29">
        <v>0.26246903093367313</v>
      </c>
      <c r="I128" t="s">
        <v>162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4FB05-A976-485B-8A99-9836A9B80F19}">
  <dimension ref="A1:C15"/>
  <sheetViews>
    <sheetView zoomScale="103" workbookViewId="0">
      <selection activeCell="B7" sqref="B7"/>
    </sheetView>
  </sheetViews>
  <sheetFormatPr defaultRowHeight="14.4" x14ac:dyDescent="0.3"/>
  <cols>
    <col min="1" max="1" width="12.77734375" bestFit="1" customWidth="1"/>
    <col min="2" max="2" width="10.109375" bestFit="1" customWidth="1"/>
    <col min="3" max="3" width="12.109375" bestFit="1" customWidth="1"/>
  </cols>
  <sheetData>
    <row r="1" spans="1:3" x14ac:dyDescent="0.3">
      <c r="A1" s="19" t="s">
        <v>11</v>
      </c>
      <c r="B1" t="s">
        <v>436</v>
      </c>
    </row>
    <row r="3" spans="1:3" x14ac:dyDescent="0.3">
      <c r="A3" s="19" t="s">
        <v>118</v>
      </c>
      <c r="B3" t="s">
        <v>165</v>
      </c>
      <c r="C3" t="s">
        <v>166</v>
      </c>
    </row>
    <row r="4" spans="1:3" x14ac:dyDescent="0.3">
      <c r="A4" s="20" t="s">
        <v>132</v>
      </c>
      <c r="B4">
        <v>220</v>
      </c>
      <c r="C4">
        <v>438</v>
      </c>
    </row>
    <row r="5" spans="1:3" x14ac:dyDescent="0.3">
      <c r="A5" s="20" t="s">
        <v>61</v>
      </c>
      <c r="B5">
        <v>209</v>
      </c>
      <c r="C5">
        <v>438</v>
      </c>
    </row>
    <row r="6" spans="1:3" x14ac:dyDescent="0.3">
      <c r="A6" s="20" t="s">
        <v>90</v>
      </c>
      <c r="B6">
        <v>204</v>
      </c>
      <c r="C6">
        <v>450</v>
      </c>
    </row>
    <row r="7" spans="1:3" x14ac:dyDescent="0.3">
      <c r="A7" s="20" t="s">
        <v>40</v>
      </c>
      <c r="B7">
        <v>206</v>
      </c>
      <c r="C7">
        <v>450</v>
      </c>
    </row>
    <row r="8" spans="1:3" x14ac:dyDescent="0.3">
      <c r="A8" s="20" t="s">
        <v>84</v>
      </c>
      <c r="B8">
        <v>238</v>
      </c>
      <c r="C8">
        <v>484</v>
      </c>
    </row>
    <row r="9" spans="1:3" x14ac:dyDescent="0.3">
      <c r="A9" s="20" t="s">
        <v>146</v>
      </c>
      <c r="B9">
        <v>293</v>
      </c>
      <c r="C9">
        <v>541</v>
      </c>
    </row>
    <row r="10" spans="1:3" x14ac:dyDescent="0.3">
      <c r="A10" s="20" t="s">
        <v>50</v>
      </c>
      <c r="B10">
        <v>285</v>
      </c>
      <c r="C10">
        <v>543</v>
      </c>
    </row>
    <row r="11" spans="1:3" x14ac:dyDescent="0.3">
      <c r="A11" s="20" t="s">
        <v>99</v>
      </c>
      <c r="B11">
        <v>269</v>
      </c>
      <c r="C11">
        <v>577</v>
      </c>
    </row>
    <row r="12" spans="1:3" x14ac:dyDescent="0.3">
      <c r="A12" s="20" t="s">
        <v>80</v>
      </c>
      <c r="B12">
        <v>354</v>
      </c>
      <c r="C12">
        <v>591</v>
      </c>
    </row>
    <row r="13" spans="1:3" x14ac:dyDescent="0.3">
      <c r="A13" s="20" t="s">
        <v>79</v>
      </c>
      <c r="B13">
        <v>342</v>
      </c>
      <c r="C13">
        <v>643</v>
      </c>
    </row>
    <row r="14" spans="1:3" x14ac:dyDescent="0.3">
      <c r="A14" s="20" t="s">
        <v>87</v>
      </c>
      <c r="B14">
        <v>547</v>
      </c>
      <c r="C14">
        <v>1070</v>
      </c>
    </row>
    <row r="15" spans="1:3" x14ac:dyDescent="0.3">
      <c r="A15" s="20" t="s">
        <v>149</v>
      </c>
      <c r="B15">
        <v>3167</v>
      </c>
      <c r="C15">
        <v>6225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27969-E848-4AC1-87FC-F6D4768EF60B}">
  <dimension ref="A3:B14"/>
  <sheetViews>
    <sheetView topLeftCell="B1" workbookViewId="0">
      <selection activeCell="P17" sqref="P17"/>
    </sheetView>
  </sheetViews>
  <sheetFormatPr defaultRowHeight="14.4" x14ac:dyDescent="0.3"/>
  <cols>
    <col min="1" max="1" width="12.5546875" bestFit="1" customWidth="1"/>
    <col min="2" max="2" width="19.6640625" bestFit="1" customWidth="1"/>
  </cols>
  <sheetData>
    <row r="3" spans="1:2" x14ac:dyDescent="0.3">
      <c r="A3" s="19" t="s">
        <v>118</v>
      </c>
      <c r="B3" t="s">
        <v>167</v>
      </c>
    </row>
    <row r="4" spans="1:2" x14ac:dyDescent="0.3">
      <c r="A4" s="20" t="s">
        <v>23</v>
      </c>
      <c r="B4">
        <v>1455</v>
      </c>
    </row>
    <row r="5" spans="1:2" x14ac:dyDescent="0.3">
      <c r="A5" s="20" t="s">
        <v>79</v>
      </c>
      <c r="B5">
        <v>1127</v>
      </c>
    </row>
    <row r="6" spans="1:2" x14ac:dyDescent="0.3">
      <c r="A6" s="20" t="s">
        <v>20</v>
      </c>
      <c r="B6">
        <v>1092</v>
      </c>
    </row>
    <row r="7" spans="1:2" x14ac:dyDescent="0.3">
      <c r="A7" s="20" t="s">
        <v>24</v>
      </c>
      <c r="B7">
        <v>1082</v>
      </c>
    </row>
    <row r="8" spans="1:2" x14ac:dyDescent="0.3">
      <c r="A8" s="20" t="s">
        <v>41</v>
      </c>
      <c r="B8">
        <v>921</v>
      </c>
    </row>
    <row r="9" spans="1:2" x14ac:dyDescent="0.3">
      <c r="A9" s="20" t="s">
        <v>80</v>
      </c>
      <c r="B9">
        <v>835</v>
      </c>
    </row>
    <row r="10" spans="1:2" x14ac:dyDescent="0.3">
      <c r="A10" s="20" t="s">
        <v>112</v>
      </c>
      <c r="B10">
        <v>813</v>
      </c>
    </row>
    <row r="11" spans="1:2" x14ac:dyDescent="0.3">
      <c r="A11" s="20" t="s">
        <v>138</v>
      </c>
      <c r="B11">
        <v>795</v>
      </c>
    </row>
    <row r="12" spans="1:2" x14ac:dyDescent="0.3">
      <c r="A12" s="20" t="s">
        <v>109</v>
      </c>
      <c r="B12">
        <v>781</v>
      </c>
    </row>
    <row r="13" spans="1:2" x14ac:dyDescent="0.3">
      <c r="A13" s="20" t="s">
        <v>84</v>
      </c>
      <c r="B13">
        <v>738</v>
      </c>
    </row>
    <row r="14" spans="1:2" x14ac:dyDescent="0.3">
      <c r="A14" s="20" t="s">
        <v>149</v>
      </c>
      <c r="B14">
        <v>9639</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player_summary</vt:lpstr>
      <vt:lpstr>team_summary</vt:lpstr>
      <vt:lpstr>pivot_team_win_rate</vt:lpstr>
      <vt:lpstr>hero_lane_summary</vt:lpstr>
      <vt:lpstr>hero_summary</vt:lpstr>
      <vt:lpstr>pivot_win_rate</vt:lpstr>
      <vt:lpstr>pivot_ban_rate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HaiFoh Twitch</dc:creator>
  <cp:lastModifiedBy>HaiFoh Twitch</cp:lastModifiedBy>
  <dcterms:created xsi:type="dcterms:W3CDTF">2015-06-05T18:17:20Z</dcterms:created>
  <dcterms:modified xsi:type="dcterms:W3CDTF">2026-07-01T13:28:55Z</dcterms:modified>
</cp:coreProperties>
</file>