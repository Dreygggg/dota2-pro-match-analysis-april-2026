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\Downloads\202604\"/>
    </mc:Choice>
  </mc:AlternateContent>
  <xr:revisionPtr revIDLastSave="0" documentId="13_ncr:1_{5AE38F5D-ADE1-49ED-A725-0557A3EFF3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am_summary" sheetId="1" r:id="rId1"/>
    <sheet name="player_summary" sheetId="3" r:id="rId2"/>
    <sheet name="player_hero_summary" sheetId="2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L1" i="2" l="1"/>
  <c r="M1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B3" i="1"/>
  <c r="E3" i="1" s="1"/>
  <c r="B4" i="1"/>
  <c r="E4" i="1" s="1"/>
  <c r="B5" i="1"/>
  <c r="E5" i="1" s="1"/>
  <c r="B6" i="1"/>
  <c r="E6" i="1" s="1"/>
  <c r="B7" i="1"/>
  <c r="E7" i="1" s="1"/>
  <c r="B8" i="1"/>
  <c r="E8" i="1" s="1"/>
  <c r="B9" i="1"/>
  <c r="E9" i="1" s="1"/>
  <c r="B10" i="1"/>
  <c r="E10" i="1" s="1"/>
  <c r="B11" i="1"/>
  <c r="E11" i="1" s="1"/>
  <c r="B12" i="1"/>
  <c r="E12" i="1" s="1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E20" i="1" s="1"/>
  <c r="B21" i="1"/>
  <c r="E21" i="1" s="1"/>
  <c r="B22" i="1"/>
  <c r="E22" i="1" s="1"/>
  <c r="B23" i="1"/>
  <c r="E23" i="1" s="1"/>
  <c r="B24" i="1"/>
  <c r="E24" i="1" s="1"/>
  <c r="B25" i="1"/>
  <c r="E25" i="1" s="1"/>
  <c r="B26" i="1"/>
  <c r="E26" i="1" s="1"/>
  <c r="B27" i="1"/>
  <c r="E27" i="1" s="1"/>
  <c r="B28" i="1"/>
  <c r="E28" i="1" s="1"/>
  <c r="B29" i="1"/>
  <c r="E29" i="1" s="1"/>
  <c r="B30" i="1"/>
  <c r="E30" i="1" s="1"/>
  <c r="B31" i="1"/>
  <c r="E31" i="1" s="1"/>
  <c r="B32" i="1"/>
  <c r="E32" i="1" s="1"/>
  <c r="B33" i="1"/>
  <c r="E33" i="1" s="1"/>
  <c r="B34" i="1"/>
  <c r="E34" i="1" s="1"/>
  <c r="B35" i="1"/>
  <c r="E35" i="1" s="1"/>
  <c r="B36" i="1"/>
  <c r="E36" i="1" s="1"/>
  <c r="B37" i="1"/>
  <c r="E37" i="1" s="1"/>
  <c r="B38" i="1"/>
  <c r="E38" i="1" s="1"/>
  <c r="B39" i="1"/>
  <c r="E39" i="1" s="1"/>
  <c r="B40" i="1"/>
  <c r="E40" i="1" s="1"/>
  <c r="B41" i="1"/>
  <c r="E41" i="1" s="1"/>
  <c r="B42" i="1"/>
  <c r="E42" i="1" s="1"/>
  <c r="B43" i="1"/>
  <c r="E43" i="1" s="1"/>
  <c r="B44" i="1"/>
  <c r="E44" i="1" s="1"/>
  <c r="B45" i="1"/>
  <c r="E45" i="1" s="1"/>
  <c r="B46" i="1"/>
  <c r="E46" i="1" s="1"/>
  <c r="B47" i="1"/>
  <c r="E47" i="1" s="1"/>
  <c r="B48" i="1"/>
  <c r="E48" i="1" s="1"/>
  <c r="B49" i="1"/>
  <c r="E49" i="1" s="1"/>
  <c r="B50" i="1"/>
  <c r="E50" i="1" s="1"/>
  <c r="B51" i="1"/>
  <c r="E51" i="1" s="1"/>
  <c r="B52" i="1"/>
  <c r="E52" i="1" s="1"/>
  <c r="B53" i="1"/>
  <c r="E53" i="1" s="1"/>
  <c r="B54" i="1"/>
  <c r="E54" i="1" s="1"/>
  <c r="B55" i="1"/>
  <c r="E55" i="1" s="1"/>
  <c r="B56" i="1"/>
  <c r="E56" i="1" s="1"/>
  <c r="B57" i="1"/>
  <c r="E57" i="1" s="1"/>
  <c r="B58" i="1"/>
  <c r="E58" i="1" s="1"/>
  <c r="B59" i="1"/>
  <c r="E59" i="1" s="1"/>
  <c r="B60" i="1"/>
  <c r="E60" i="1" s="1"/>
  <c r="B61" i="1"/>
  <c r="E61" i="1" s="1"/>
  <c r="B62" i="1"/>
  <c r="E62" i="1" s="1"/>
  <c r="B63" i="1"/>
  <c r="E63" i="1" s="1"/>
  <c r="B64" i="1"/>
  <c r="E64" i="1" s="1"/>
  <c r="B65" i="1"/>
  <c r="E65" i="1" s="1"/>
  <c r="B66" i="1"/>
  <c r="E66" i="1" s="1"/>
  <c r="B67" i="1"/>
  <c r="E67" i="1" s="1"/>
  <c r="B68" i="1"/>
  <c r="E68" i="1" s="1"/>
  <c r="B69" i="1"/>
  <c r="E69" i="1" s="1"/>
  <c r="B70" i="1"/>
  <c r="E70" i="1" s="1"/>
  <c r="B71" i="1"/>
  <c r="E71" i="1" s="1"/>
  <c r="B72" i="1"/>
  <c r="E72" i="1" s="1"/>
  <c r="B73" i="1"/>
  <c r="E73" i="1" s="1"/>
  <c r="B74" i="1"/>
  <c r="E74" i="1" s="1"/>
  <c r="B75" i="1"/>
  <c r="E75" i="1" s="1"/>
  <c r="B76" i="1"/>
  <c r="E76" i="1" s="1"/>
  <c r="B77" i="1"/>
  <c r="E77" i="1" s="1"/>
  <c r="B78" i="1"/>
  <c r="E78" i="1" s="1"/>
  <c r="B79" i="1"/>
  <c r="E79" i="1" s="1"/>
  <c r="B80" i="1"/>
  <c r="E80" i="1" s="1"/>
  <c r="B81" i="1"/>
  <c r="E81" i="1" s="1"/>
  <c r="B82" i="1"/>
  <c r="E82" i="1" s="1"/>
  <c r="B83" i="1"/>
  <c r="E83" i="1" s="1"/>
  <c r="B84" i="1"/>
  <c r="E84" i="1" s="1"/>
  <c r="B85" i="1"/>
  <c r="E85" i="1" s="1"/>
  <c r="B86" i="1"/>
  <c r="E86" i="1" s="1"/>
  <c r="B87" i="1"/>
  <c r="E87" i="1" s="1"/>
  <c r="B88" i="1"/>
  <c r="E88" i="1" s="1"/>
  <c r="B89" i="1"/>
  <c r="E89" i="1" s="1"/>
  <c r="B90" i="1"/>
  <c r="E90" i="1" s="1"/>
  <c r="B91" i="1"/>
  <c r="E91" i="1" s="1"/>
  <c r="B92" i="1"/>
  <c r="E92" i="1" s="1"/>
  <c r="B93" i="1"/>
  <c r="E93" i="1" s="1"/>
  <c r="B94" i="1"/>
  <c r="E94" i="1" s="1"/>
  <c r="B95" i="1"/>
  <c r="E95" i="1" s="1"/>
  <c r="B96" i="1"/>
  <c r="E96" i="1" s="1"/>
  <c r="B97" i="1"/>
  <c r="E97" i="1" s="1"/>
  <c r="B98" i="1"/>
  <c r="E98" i="1" s="1"/>
  <c r="B99" i="1"/>
  <c r="E99" i="1" s="1"/>
  <c r="B100" i="1"/>
  <c r="E100" i="1" s="1"/>
  <c r="B101" i="1"/>
  <c r="E101" i="1" s="1"/>
  <c r="B102" i="1"/>
  <c r="E102" i="1" s="1"/>
  <c r="B103" i="1"/>
  <c r="E103" i="1" s="1"/>
  <c r="B104" i="1"/>
  <c r="E104" i="1" s="1"/>
  <c r="B105" i="1"/>
  <c r="E105" i="1" s="1"/>
  <c r="B106" i="1"/>
  <c r="E106" i="1" s="1"/>
  <c r="B107" i="1"/>
  <c r="E107" i="1" s="1"/>
  <c r="B108" i="1"/>
  <c r="E108" i="1" s="1"/>
  <c r="B109" i="1"/>
  <c r="E109" i="1" s="1"/>
  <c r="B110" i="1"/>
  <c r="E110" i="1" s="1"/>
  <c r="B111" i="1"/>
  <c r="E111" i="1" s="1"/>
  <c r="B112" i="1"/>
  <c r="E112" i="1" s="1"/>
  <c r="B113" i="1"/>
  <c r="E113" i="1" s="1"/>
  <c r="B114" i="1"/>
  <c r="E114" i="1" s="1"/>
  <c r="B115" i="1"/>
  <c r="E115" i="1" s="1"/>
  <c r="B116" i="1"/>
  <c r="E116" i="1" s="1"/>
  <c r="B117" i="1"/>
  <c r="E117" i="1" s="1"/>
  <c r="B118" i="1"/>
  <c r="E118" i="1" s="1"/>
  <c r="B119" i="1"/>
  <c r="E119" i="1" s="1"/>
  <c r="B120" i="1"/>
  <c r="E120" i="1" s="1"/>
  <c r="B121" i="1"/>
  <c r="E121" i="1" s="1"/>
  <c r="B122" i="1"/>
  <c r="E122" i="1" s="1"/>
  <c r="B123" i="1"/>
  <c r="E123" i="1" s="1"/>
  <c r="B124" i="1"/>
  <c r="E124" i="1" s="1"/>
  <c r="B125" i="1"/>
  <c r="E125" i="1" s="1"/>
  <c r="B126" i="1"/>
  <c r="E126" i="1" s="1"/>
  <c r="B127" i="1"/>
  <c r="E127" i="1" s="1"/>
  <c r="B128" i="1"/>
  <c r="E128" i="1" s="1"/>
  <c r="B129" i="1"/>
  <c r="E129" i="1" s="1"/>
  <c r="B130" i="1"/>
  <c r="E130" i="1" s="1"/>
  <c r="B131" i="1"/>
  <c r="E131" i="1" s="1"/>
  <c r="B132" i="1"/>
  <c r="E132" i="1" s="1"/>
  <c r="B133" i="1"/>
  <c r="E133" i="1" s="1"/>
  <c r="B134" i="1"/>
  <c r="E134" i="1" s="1"/>
  <c r="B135" i="1"/>
  <c r="E135" i="1" s="1"/>
  <c r="B136" i="1"/>
  <c r="E136" i="1" s="1"/>
  <c r="B137" i="1"/>
  <c r="E137" i="1" s="1"/>
  <c r="B138" i="1"/>
  <c r="E138" i="1" s="1"/>
  <c r="B139" i="1"/>
  <c r="E139" i="1" s="1"/>
  <c r="B140" i="1"/>
  <c r="E140" i="1" s="1"/>
  <c r="B141" i="1"/>
  <c r="E141" i="1" s="1"/>
  <c r="B142" i="1"/>
  <c r="E142" i="1" s="1"/>
  <c r="B143" i="1"/>
  <c r="E143" i="1" s="1"/>
  <c r="B144" i="1"/>
  <c r="E144" i="1" s="1"/>
  <c r="B145" i="1"/>
  <c r="E145" i="1" s="1"/>
  <c r="B146" i="1"/>
  <c r="E146" i="1" s="1"/>
  <c r="B147" i="1"/>
  <c r="E147" i="1" s="1"/>
  <c r="B148" i="1"/>
  <c r="E148" i="1" s="1"/>
  <c r="B149" i="1"/>
  <c r="E149" i="1" s="1"/>
  <c r="B150" i="1"/>
  <c r="E150" i="1" s="1"/>
  <c r="B151" i="1"/>
  <c r="E151" i="1" s="1"/>
  <c r="B152" i="1"/>
  <c r="E152" i="1" s="1"/>
  <c r="B153" i="1"/>
  <c r="E153" i="1" s="1"/>
  <c r="B154" i="1"/>
  <c r="E154" i="1" s="1"/>
  <c r="B155" i="1"/>
  <c r="E155" i="1" s="1"/>
  <c r="B156" i="1"/>
  <c r="E156" i="1" s="1"/>
  <c r="B157" i="1"/>
  <c r="E157" i="1" s="1"/>
  <c r="B158" i="1"/>
  <c r="E158" i="1" s="1"/>
  <c r="B159" i="1"/>
  <c r="E159" i="1" s="1"/>
  <c r="B160" i="1"/>
  <c r="E160" i="1" s="1"/>
  <c r="B161" i="1"/>
  <c r="E161" i="1" s="1"/>
  <c r="B162" i="1"/>
  <c r="E162" i="1" s="1"/>
  <c r="B163" i="1"/>
  <c r="E163" i="1" s="1"/>
  <c r="B164" i="1"/>
  <c r="E164" i="1" s="1"/>
  <c r="B165" i="1"/>
  <c r="E165" i="1" s="1"/>
  <c r="B166" i="1"/>
  <c r="E166" i="1" s="1"/>
  <c r="B167" i="1"/>
  <c r="E167" i="1" s="1"/>
  <c r="B168" i="1"/>
  <c r="E168" i="1" s="1"/>
  <c r="B169" i="1"/>
  <c r="E169" i="1" s="1"/>
  <c r="B170" i="1"/>
  <c r="E170" i="1" s="1"/>
  <c r="B171" i="1"/>
  <c r="E171" i="1" s="1"/>
  <c r="B172" i="1"/>
  <c r="E172" i="1" s="1"/>
  <c r="B173" i="1"/>
  <c r="E173" i="1" s="1"/>
  <c r="B174" i="1"/>
  <c r="E174" i="1" s="1"/>
  <c r="B175" i="1"/>
  <c r="E175" i="1" s="1"/>
  <c r="B176" i="1"/>
  <c r="E176" i="1" s="1"/>
  <c r="B177" i="1"/>
  <c r="E177" i="1" s="1"/>
  <c r="B178" i="1"/>
  <c r="E178" i="1" s="1"/>
  <c r="B179" i="1"/>
  <c r="E179" i="1" s="1"/>
  <c r="B180" i="1"/>
  <c r="E180" i="1" s="1"/>
  <c r="B181" i="1"/>
  <c r="E181" i="1" s="1"/>
  <c r="B182" i="1"/>
  <c r="E182" i="1" s="1"/>
  <c r="B183" i="1"/>
  <c r="E183" i="1" s="1"/>
  <c r="B184" i="1"/>
  <c r="E184" i="1" s="1"/>
  <c r="B185" i="1"/>
  <c r="E185" i="1" s="1"/>
  <c r="B186" i="1"/>
  <c r="E186" i="1" s="1"/>
  <c r="B187" i="1"/>
  <c r="E187" i="1" s="1"/>
  <c r="B188" i="1"/>
  <c r="E188" i="1" s="1"/>
  <c r="B189" i="1"/>
  <c r="E189" i="1" s="1"/>
  <c r="B190" i="1"/>
  <c r="E190" i="1" s="1"/>
  <c r="B191" i="1"/>
  <c r="E191" i="1" s="1"/>
  <c r="B192" i="1"/>
  <c r="E192" i="1" s="1"/>
  <c r="B193" i="1"/>
  <c r="E193" i="1" s="1"/>
  <c r="B194" i="1"/>
  <c r="E194" i="1" s="1"/>
  <c r="B195" i="1"/>
  <c r="E195" i="1" s="1"/>
  <c r="B196" i="1"/>
  <c r="E196" i="1" s="1"/>
  <c r="B197" i="1"/>
  <c r="E197" i="1" s="1"/>
  <c r="B198" i="1"/>
  <c r="E198" i="1" s="1"/>
  <c r="B199" i="1"/>
  <c r="E199" i="1" s="1"/>
  <c r="B200" i="1"/>
  <c r="E200" i="1" s="1"/>
  <c r="B201" i="1"/>
  <c r="E201" i="1" s="1"/>
  <c r="B202" i="1"/>
  <c r="E202" i="1" s="1"/>
  <c r="B203" i="1"/>
  <c r="E203" i="1" s="1"/>
  <c r="B204" i="1"/>
  <c r="E204" i="1" s="1"/>
  <c r="B205" i="1"/>
  <c r="E205" i="1" s="1"/>
  <c r="B206" i="1"/>
  <c r="E206" i="1" s="1"/>
  <c r="B207" i="1"/>
  <c r="E207" i="1" s="1"/>
  <c r="B208" i="1"/>
  <c r="E208" i="1" s="1"/>
  <c r="B209" i="1"/>
  <c r="E209" i="1" s="1"/>
  <c r="B210" i="1"/>
  <c r="E210" i="1" s="1"/>
  <c r="B211" i="1"/>
  <c r="E211" i="1" s="1"/>
  <c r="B212" i="1"/>
  <c r="E212" i="1" s="1"/>
  <c r="B213" i="1"/>
  <c r="E213" i="1" s="1"/>
  <c r="B214" i="1"/>
  <c r="E214" i="1" s="1"/>
  <c r="B215" i="1"/>
  <c r="E215" i="1" s="1"/>
  <c r="B216" i="1"/>
  <c r="E216" i="1" s="1"/>
  <c r="B217" i="1"/>
  <c r="E217" i="1" s="1"/>
  <c r="B218" i="1"/>
  <c r="E218" i="1" s="1"/>
  <c r="B219" i="1"/>
  <c r="E219" i="1" s="1"/>
  <c r="B220" i="1"/>
  <c r="E220" i="1" s="1"/>
  <c r="B221" i="1"/>
  <c r="E221" i="1" s="1"/>
  <c r="B222" i="1"/>
  <c r="E222" i="1" s="1"/>
  <c r="B223" i="1"/>
  <c r="E223" i="1" s="1"/>
  <c r="B224" i="1"/>
  <c r="E224" i="1" s="1"/>
  <c r="B225" i="1"/>
  <c r="E225" i="1" s="1"/>
  <c r="B226" i="1"/>
  <c r="E226" i="1" s="1"/>
  <c r="B227" i="1"/>
  <c r="E227" i="1" s="1"/>
  <c r="B228" i="1"/>
  <c r="E228" i="1" s="1"/>
  <c r="B229" i="1"/>
  <c r="E229" i="1" s="1"/>
  <c r="B230" i="1"/>
  <c r="E230" i="1" s="1"/>
  <c r="B231" i="1"/>
  <c r="E231" i="1" s="1"/>
  <c r="B232" i="1"/>
  <c r="E232" i="1" s="1"/>
  <c r="B233" i="1"/>
  <c r="E233" i="1" s="1"/>
  <c r="B234" i="1"/>
  <c r="E234" i="1" s="1"/>
  <c r="B235" i="1"/>
  <c r="E235" i="1" s="1"/>
  <c r="B236" i="1"/>
  <c r="E236" i="1" s="1"/>
  <c r="B237" i="1"/>
  <c r="E237" i="1" s="1"/>
  <c r="B238" i="1"/>
  <c r="E238" i="1" s="1"/>
  <c r="B239" i="1"/>
  <c r="E239" i="1" s="1"/>
  <c r="B240" i="1"/>
  <c r="E240" i="1" s="1"/>
  <c r="B241" i="1"/>
  <c r="E241" i="1" s="1"/>
  <c r="B242" i="1"/>
  <c r="E242" i="1" s="1"/>
  <c r="B243" i="1"/>
  <c r="E243" i="1" s="1"/>
  <c r="B244" i="1"/>
  <c r="E244" i="1" s="1"/>
  <c r="B245" i="1"/>
  <c r="E245" i="1" s="1"/>
  <c r="B246" i="1"/>
  <c r="E246" i="1" s="1"/>
  <c r="B247" i="1"/>
  <c r="E247" i="1" s="1"/>
  <c r="B248" i="1"/>
  <c r="E248" i="1" s="1"/>
  <c r="B249" i="1"/>
  <c r="E249" i="1" s="1"/>
  <c r="B250" i="1"/>
  <c r="E250" i="1" s="1"/>
  <c r="B251" i="1"/>
  <c r="E251" i="1" s="1"/>
  <c r="B252" i="1"/>
  <c r="E252" i="1" s="1"/>
  <c r="B253" i="1"/>
  <c r="E253" i="1" s="1"/>
  <c r="B254" i="1"/>
  <c r="E254" i="1" s="1"/>
  <c r="B255" i="1"/>
  <c r="E255" i="1" s="1"/>
  <c r="B256" i="1"/>
  <c r="E256" i="1" s="1"/>
  <c r="B257" i="1"/>
  <c r="E257" i="1" s="1"/>
  <c r="B258" i="1"/>
  <c r="E258" i="1" s="1"/>
  <c r="B259" i="1"/>
  <c r="E259" i="1" s="1"/>
  <c r="B260" i="1"/>
  <c r="E260" i="1" s="1"/>
  <c r="B261" i="1"/>
  <c r="E261" i="1" s="1"/>
  <c r="B2" i="1"/>
  <c r="E2" i="1" s="1"/>
  <c r="D17" i="1" l="1"/>
  <c r="D5" i="1"/>
  <c r="D257" i="1"/>
  <c r="D245" i="1"/>
  <c r="D233" i="1"/>
  <c r="D221" i="1"/>
  <c r="D209" i="1"/>
  <c r="D197" i="1"/>
  <c r="D185" i="1"/>
  <c r="D173" i="1"/>
  <c r="D161" i="1"/>
  <c r="D149" i="1"/>
  <c r="D137" i="1"/>
  <c r="D125" i="1"/>
  <c r="D113" i="1"/>
  <c r="D101" i="1"/>
  <c r="D89" i="1"/>
  <c r="D77" i="1"/>
  <c r="D65" i="1"/>
  <c r="D53" i="1"/>
  <c r="D41" i="1"/>
  <c r="D29" i="1"/>
  <c r="A2" i="2" a="1"/>
  <c r="D258" i="1"/>
  <c r="D246" i="1"/>
  <c r="D234" i="1"/>
  <c r="D222" i="1"/>
  <c r="D210" i="1"/>
  <c r="D198" i="1"/>
  <c r="D186" i="1"/>
  <c r="D174" i="1"/>
  <c r="D162" i="1"/>
  <c r="D150" i="1"/>
  <c r="D138" i="1"/>
  <c r="D126" i="1"/>
  <c r="D114" i="1"/>
  <c r="D102" i="1"/>
  <c r="D90" i="1"/>
  <c r="D78" i="1"/>
  <c r="D66" i="1"/>
  <c r="D54" i="1"/>
  <c r="D42" i="1"/>
  <c r="D30" i="1"/>
  <c r="D18" i="1"/>
  <c r="D6" i="1"/>
  <c r="D256" i="1"/>
  <c r="D244" i="1"/>
  <c r="D232" i="1"/>
  <c r="D220" i="1"/>
  <c r="D208" i="1"/>
  <c r="D196" i="1"/>
  <c r="D184" i="1"/>
  <c r="D172" i="1"/>
  <c r="D160" i="1"/>
  <c r="D148" i="1"/>
  <c r="D136" i="1"/>
  <c r="D124" i="1"/>
  <c r="D112" i="1"/>
  <c r="D100" i="1"/>
  <c r="D88" i="1"/>
  <c r="D76" i="1"/>
  <c r="D64" i="1"/>
  <c r="D52" i="1"/>
  <c r="D40" i="1"/>
  <c r="D28" i="1"/>
  <c r="D16" i="1"/>
  <c r="D4" i="1"/>
  <c r="D255" i="1"/>
  <c r="D243" i="1"/>
  <c r="D231" i="1"/>
  <c r="D219" i="1"/>
  <c r="D207" i="1"/>
  <c r="D195" i="1"/>
  <c r="D183" i="1"/>
  <c r="D171" i="1"/>
  <c r="D159" i="1"/>
  <c r="D147" i="1"/>
  <c r="D135" i="1"/>
  <c r="D123" i="1"/>
  <c r="D111" i="1"/>
  <c r="D99" i="1"/>
  <c r="D87" i="1"/>
  <c r="D75" i="1"/>
  <c r="D63" i="1"/>
  <c r="D51" i="1"/>
  <c r="D39" i="1"/>
  <c r="D27" i="1"/>
  <c r="D15" i="1"/>
  <c r="D3" i="1"/>
  <c r="D254" i="1"/>
  <c r="D242" i="1"/>
  <c r="D230" i="1"/>
  <c r="D218" i="1"/>
  <c r="D206" i="1"/>
  <c r="D194" i="1"/>
  <c r="D182" i="1"/>
  <c r="D170" i="1"/>
  <c r="D158" i="1"/>
  <c r="D146" i="1"/>
  <c r="D134" i="1"/>
  <c r="D122" i="1"/>
  <c r="D110" i="1"/>
  <c r="D98" i="1"/>
  <c r="D86" i="1"/>
  <c r="D74" i="1"/>
  <c r="D62" i="1"/>
  <c r="D50" i="1"/>
  <c r="D38" i="1"/>
  <c r="D26" i="1"/>
  <c r="D14" i="1"/>
  <c r="D253" i="1"/>
  <c r="D241" i="1"/>
  <c r="D229" i="1"/>
  <c r="D217" i="1"/>
  <c r="D205" i="1"/>
  <c r="D193" i="1"/>
  <c r="D181" i="1"/>
  <c r="D169" i="1"/>
  <c r="D157" i="1"/>
  <c r="D145" i="1"/>
  <c r="D133" i="1"/>
  <c r="D121" i="1"/>
  <c r="D109" i="1"/>
  <c r="D97" i="1"/>
  <c r="D85" i="1"/>
  <c r="D73" i="1"/>
  <c r="D61" i="1"/>
  <c r="D49" i="1"/>
  <c r="D37" i="1"/>
  <c r="D25" i="1"/>
  <c r="D13" i="1"/>
  <c r="D252" i="1"/>
  <c r="D240" i="1"/>
  <c r="D228" i="1"/>
  <c r="D216" i="1"/>
  <c r="D204" i="1"/>
  <c r="D192" i="1"/>
  <c r="D180" i="1"/>
  <c r="D168" i="1"/>
  <c r="D156" i="1"/>
  <c r="D144" i="1"/>
  <c r="D132" i="1"/>
  <c r="D120" i="1"/>
  <c r="D108" i="1"/>
  <c r="D96" i="1"/>
  <c r="D84" i="1"/>
  <c r="D72" i="1"/>
  <c r="D60" i="1"/>
  <c r="D48" i="1"/>
  <c r="D36" i="1"/>
  <c r="D24" i="1"/>
  <c r="D12" i="1"/>
  <c r="D251" i="1"/>
  <c r="D239" i="1"/>
  <c r="D227" i="1"/>
  <c r="D215" i="1"/>
  <c r="D203" i="1"/>
  <c r="D191" i="1"/>
  <c r="D179" i="1"/>
  <c r="D167" i="1"/>
  <c r="D155" i="1"/>
  <c r="D143" i="1"/>
  <c r="D131" i="1"/>
  <c r="D119" i="1"/>
  <c r="D107" i="1"/>
  <c r="D95" i="1"/>
  <c r="D83" i="1"/>
  <c r="D71" i="1"/>
  <c r="D59" i="1"/>
  <c r="D47" i="1"/>
  <c r="D35" i="1"/>
  <c r="D23" i="1"/>
  <c r="D11" i="1"/>
  <c r="D2" i="1"/>
  <c r="D250" i="1"/>
  <c r="D238" i="1"/>
  <c r="D226" i="1"/>
  <c r="D214" i="1"/>
  <c r="D202" i="1"/>
  <c r="D190" i="1"/>
  <c r="D178" i="1"/>
  <c r="D166" i="1"/>
  <c r="D154" i="1"/>
  <c r="D142" i="1"/>
  <c r="D130" i="1"/>
  <c r="D118" i="1"/>
  <c r="D106" i="1"/>
  <c r="D94" i="1"/>
  <c r="D82" i="1"/>
  <c r="D70" i="1"/>
  <c r="D58" i="1"/>
  <c r="D46" i="1"/>
  <c r="D34" i="1"/>
  <c r="D22" i="1"/>
  <c r="D10" i="1"/>
  <c r="D261" i="1"/>
  <c r="D249" i="1"/>
  <c r="D237" i="1"/>
  <c r="D225" i="1"/>
  <c r="D213" i="1"/>
  <c r="D201" i="1"/>
  <c r="D189" i="1"/>
  <c r="D177" i="1"/>
  <c r="D165" i="1"/>
  <c r="D153" i="1"/>
  <c r="D141" i="1"/>
  <c r="D129" i="1"/>
  <c r="D117" i="1"/>
  <c r="D105" i="1"/>
  <c r="D93" i="1"/>
  <c r="D81" i="1"/>
  <c r="D69" i="1"/>
  <c r="D57" i="1"/>
  <c r="D45" i="1"/>
  <c r="D33" i="1"/>
  <c r="D21" i="1"/>
  <c r="D9" i="1"/>
  <c r="D260" i="1"/>
  <c r="D248" i="1"/>
  <c r="D236" i="1"/>
  <c r="D224" i="1"/>
  <c r="D212" i="1"/>
  <c r="D200" i="1"/>
  <c r="D188" i="1"/>
  <c r="D176" i="1"/>
  <c r="D164" i="1"/>
  <c r="D152" i="1"/>
  <c r="D140" i="1"/>
  <c r="D128" i="1"/>
  <c r="D116" i="1"/>
  <c r="D104" i="1"/>
  <c r="D92" i="1"/>
  <c r="D80" i="1"/>
  <c r="D68" i="1"/>
  <c r="D56" i="1"/>
  <c r="D44" i="1"/>
  <c r="D32" i="1"/>
  <c r="D20" i="1"/>
  <c r="D8" i="1"/>
  <c r="D259" i="1"/>
  <c r="D247" i="1"/>
  <c r="D235" i="1"/>
  <c r="D223" i="1"/>
  <c r="D211" i="1"/>
  <c r="D199" i="1"/>
  <c r="D187" i="1"/>
  <c r="D175" i="1"/>
  <c r="D163" i="1"/>
  <c r="D151" i="1"/>
  <c r="D139" i="1"/>
  <c r="D127" i="1"/>
  <c r="D115" i="1"/>
  <c r="D103" i="1"/>
  <c r="D91" i="1"/>
  <c r="D79" i="1"/>
  <c r="D67" i="1"/>
  <c r="D55" i="1"/>
  <c r="D43" i="1"/>
  <c r="D31" i="1"/>
  <c r="D19" i="1"/>
  <c r="D7" i="1"/>
  <c r="E225" i="2" l="1"/>
  <c r="E237" i="2"/>
  <c r="E249" i="2"/>
  <c r="E261" i="2"/>
  <c r="E273" i="2"/>
  <c r="E285" i="2"/>
  <c r="E297" i="2"/>
  <c r="E309" i="2"/>
  <c r="E321" i="2"/>
  <c r="E333" i="2"/>
  <c r="E345" i="2"/>
  <c r="E357" i="2"/>
  <c r="E369" i="2"/>
  <c r="E381" i="2"/>
  <c r="E393" i="2"/>
  <c r="E405" i="2"/>
  <c r="E417" i="2"/>
  <c r="E429" i="2"/>
  <c r="E441" i="2"/>
  <c r="E453" i="2"/>
  <c r="E465" i="2"/>
  <c r="E477" i="2"/>
  <c r="E489" i="2"/>
  <c r="E501" i="2"/>
  <c r="E513" i="2"/>
  <c r="E525" i="2"/>
  <c r="E537" i="2"/>
  <c r="E549" i="2"/>
  <c r="E561" i="2"/>
  <c r="E573" i="2"/>
  <c r="E585" i="2"/>
  <c r="E597" i="2"/>
  <c r="E609" i="2"/>
  <c r="E621" i="2"/>
  <c r="E633" i="2"/>
  <c r="E645" i="2"/>
  <c r="E657" i="2"/>
  <c r="E669" i="2"/>
  <c r="E226" i="2"/>
  <c r="E238" i="2"/>
  <c r="E250" i="2"/>
  <c r="E262" i="2"/>
  <c r="E274" i="2"/>
  <c r="E286" i="2"/>
  <c r="E298" i="2"/>
  <c r="E310" i="2"/>
  <c r="E322" i="2"/>
  <c r="E334" i="2"/>
  <c r="E346" i="2"/>
  <c r="E358" i="2"/>
  <c r="E370" i="2"/>
  <c r="E382" i="2"/>
  <c r="E394" i="2"/>
  <c r="E406" i="2"/>
  <c r="E418" i="2"/>
  <c r="E430" i="2"/>
  <c r="E442" i="2"/>
  <c r="E454" i="2"/>
  <c r="E466" i="2"/>
  <c r="E478" i="2"/>
  <c r="E490" i="2"/>
  <c r="E502" i="2"/>
  <c r="E514" i="2"/>
  <c r="E526" i="2"/>
  <c r="E538" i="2"/>
  <c r="E550" i="2"/>
  <c r="E562" i="2"/>
  <c r="E574" i="2"/>
  <c r="E586" i="2"/>
  <c r="E598" i="2"/>
  <c r="E610" i="2"/>
  <c r="E622" i="2"/>
  <c r="E634" i="2"/>
  <c r="E646" i="2"/>
  <c r="E658" i="2"/>
  <c r="E670" i="2"/>
  <c r="E230" i="2"/>
  <c r="E242" i="2"/>
  <c r="E254" i="2"/>
  <c r="E266" i="2"/>
  <c r="E278" i="2"/>
  <c r="E290" i="2"/>
  <c r="E302" i="2"/>
  <c r="E314" i="2"/>
  <c r="E326" i="2"/>
  <c r="E338" i="2"/>
  <c r="E350" i="2"/>
  <c r="E362" i="2"/>
  <c r="E374" i="2"/>
  <c r="E386" i="2"/>
  <c r="E398" i="2"/>
  <c r="E410" i="2"/>
  <c r="E422" i="2"/>
  <c r="E434" i="2"/>
  <c r="E446" i="2"/>
  <c r="E458" i="2"/>
  <c r="E470" i="2"/>
  <c r="E482" i="2"/>
  <c r="E494" i="2"/>
  <c r="E506" i="2"/>
  <c r="E518" i="2"/>
  <c r="E530" i="2"/>
  <c r="E542" i="2"/>
  <c r="E554" i="2"/>
  <c r="E566" i="2"/>
  <c r="E578" i="2"/>
  <c r="E590" i="2"/>
  <c r="E602" i="2"/>
  <c r="E614" i="2"/>
  <c r="E626" i="2"/>
  <c r="E638" i="2"/>
  <c r="E650" i="2"/>
  <c r="E662" i="2"/>
  <c r="E228" i="2"/>
  <c r="E244" i="2"/>
  <c r="E259" i="2"/>
  <c r="E276" i="2"/>
  <c r="E292" i="2"/>
  <c r="E307" i="2"/>
  <c r="E324" i="2"/>
  <c r="E340" i="2"/>
  <c r="E355" i="2"/>
  <c r="E372" i="2"/>
  <c r="E388" i="2"/>
  <c r="E403" i="2"/>
  <c r="E420" i="2"/>
  <c r="E436" i="2"/>
  <c r="E451" i="2"/>
  <c r="E468" i="2"/>
  <c r="E484" i="2"/>
  <c r="E499" i="2"/>
  <c r="E516" i="2"/>
  <c r="E532" i="2"/>
  <c r="E547" i="2"/>
  <c r="E564" i="2"/>
  <c r="E580" i="2"/>
  <c r="E595" i="2"/>
  <c r="E612" i="2"/>
  <c r="E628" i="2"/>
  <c r="E643" i="2"/>
  <c r="E660" i="2"/>
  <c r="E675" i="2"/>
  <c r="E687" i="2"/>
  <c r="E699" i="2"/>
  <c r="E711" i="2"/>
  <c r="E723" i="2"/>
  <c r="E735" i="2"/>
  <c r="E747" i="2"/>
  <c r="E759" i="2"/>
  <c r="E771" i="2"/>
  <c r="E783" i="2"/>
  <c r="E795" i="2"/>
  <c r="E807" i="2"/>
  <c r="E819" i="2"/>
  <c r="E831" i="2"/>
  <c r="E843" i="2"/>
  <c r="E855" i="2"/>
  <c r="E867" i="2"/>
  <c r="E879" i="2"/>
  <c r="E891" i="2"/>
  <c r="E903" i="2"/>
  <c r="E915" i="2"/>
  <c r="E927" i="2"/>
  <c r="E939" i="2"/>
  <c r="E951" i="2"/>
  <c r="E963" i="2"/>
  <c r="E975" i="2"/>
  <c r="E987" i="2"/>
  <c r="E999" i="2"/>
  <c r="E1011" i="2"/>
  <c r="E1023" i="2"/>
  <c r="E1035" i="2"/>
  <c r="E1047" i="2"/>
  <c r="E1059" i="2"/>
  <c r="E1071" i="2"/>
  <c r="E1083" i="2"/>
  <c r="E1095" i="2"/>
  <c r="E1107" i="2"/>
  <c r="E1119" i="2"/>
  <c r="E1131" i="2"/>
  <c r="E1143" i="2"/>
  <c r="E1155" i="2"/>
  <c r="E1167" i="2"/>
  <c r="E1179" i="2"/>
  <c r="E233" i="2"/>
  <c r="E251" i="2"/>
  <c r="E268" i="2"/>
  <c r="E284" i="2"/>
  <c r="E222" i="2"/>
  <c r="E240" i="2"/>
  <c r="E257" i="2"/>
  <c r="E275" i="2"/>
  <c r="E223" i="2"/>
  <c r="E245" i="2"/>
  <c r="E265" i="2"/>
  <c r="E287" i="2"/>
  <c r="E304" i="2"/>
  <c r="E320" i="2"/>
  <c r="E339" i="2"/>
  <c r="E356" i="2"/>
  <c r="E375" i="2"/>
  <c r="E391" i="2"/>
  <c r="E409" i="2"/>
  <c r="E426" i="2"/>
  <c r="E444" i="2"/>
  <c r="E461" i="2"/>
  <c r="E479" i="2"/>
  <c r="E496" i="2"/>
  <c r="E512" i="2"/>
  <c r="E531" i="2"/>
  <c r="E548" i="2"/>
  <c r="E567" i="2"/>
  <c r="E583" i="2"/>
  <c r="E601" i="2"/>
  <c r="E618" i="2"/>
  <c r="E636" i="2"/>
  <c r="E653" i="2"/>
  <c r="E671" i="2"/>
  <c r="E684" i="2"/>
  <c r="E697" i="2"/>
  <c r="E710" i="2"/>
  <c r="E724" i="2"/>
  <c r="E737" i="2"/>
  <c r="E750" i="2"/>
  <c r="E763" i="2"/>
  <c r="E776" i="2"/>
  <c r="E789" i="2"/>
  <c r="E802" i="2"/>
  <c r="E815" i="2"/>
  <c r="E828" i="2"/>
  <c r="E841" i="2"/>
  <c r="E854" i="2"/>
  <c r="E868" i="2"/>
  <c r="E881" i="2"/>
  <c r="E894" i="2"/>
  <c r="E907" i="2"/>
  <c r="E920" i="2"/>
  <c r="E933" i="2"/>
  <c r="E946" i="2"/>
  <c r="E959" i="2"/>
  <c r="E972" i="2"/>
  <c r="E985" i="2"/>
  <c r="E998" i="2"/>
  <c r="E1012" i="2"/>
  <c r="E1025" i="2"/>
  <c r="E1038" i="2"/>
  <c r="E1051" i="2"/>
  <c r="E1064" i="2"/>
  <c r="E1077" i="2"/>
  <c r="E1090" i="2"/>
  <c r="E1103" i="2"/>
  <c r="E1116" i="2"/>
  <c r="E1129" i="2"/>
  <c r="E1142" i="2"/>
  <c r="E1156" i="2"/>
  <c r="E1169" i="2"/>
  <c r="E1182" i="2"/>
  <c r="E1194" i="2"/>
  <c r="E1206" i="2"/>
  <c r="E1218" i="2"/>
  <c r="E1230" i="2"/>
  <c r="E1242" i="2"/>
  <c r="E1254" i="2"/>
  <c r="E1266" i="2"/>
  <c r="E1278" i="2"/>
  <c r="E1290" i="2"/>
  <c r="E1302" i="2"/>
  <c r="E1314" i="2"/>
  <c r="E1326" i="2"/>
  <c r="E1338" i="2"/>
  <c r="E1350" i="2"/>
  <c r="E1362" i="2"/>
  <c r="E1374" i="2"/>
  <c r="E1386" i="2"/>
  <c r="E1398" i="2"/>
  <c r="E1410" i="2"/>
  <c r="E1422" i="2"/>
  <c r="E1434" i="2"/>
  <c r="E1446" i="2"/>
  <c r="E1458" i="2"/>
  <c r="E1470" i="2"/>
  <c r="E1482" i="2"/>
  <c r="E1494" i="2"/>
  <c r="E1506" i="2"/>
  <c r="E1518" i="2"/>
  <c r="E1530" i="2"/>
  <c r="E1542" i="2"/>
  <c r="E1554" i="2"/>
  <c r="E1566" i="2"/>
  <c r="E1578" i="2"/>
  <c r="E1590" i="2"/>
  <c r="E1602" i="2"/>
  <c r="E1614" i="2"/>
  <c r="E1626" i="2"/>
  <c r="E1638" i="2"/>
  <c r="E1650" i="2"/>
  <c r="E224" i="2"/>
  <c r="E246" i="2"/>
  <c r="E267" i="2"/>
  <c r="E288" i="2"/>
  <c r="E305" i="2"/>
  <c r="E323" i="2"/>
  <c r="E341" i="2"/>
  <c r="E359" i="2"/>
  <c r="E376" i="2"/>
  <c r="E392" i="2"/>
  <c r="E411" i="2"/>
  <c r="E427" i="2"/>
  <c r="E445" i="2"/>
  <c r="E462" i="2"/>
  <c r="E480" i="2"/>
  <c r="E497" i="2"/>
  <c r="E515" i="2"/>
  <c r="E533" i="2"/>
  <c r="E551" i="2"/>
  <c r="E568" i="2"/>
  <c r="E584" i="2"/>
  <c r="E603" i="2"/>
  <c r="E619" i="2"/>
  <c r="E637" i="2"/>
  <c r="E654" i="2"/>
  <c r="E672" i="2"/>
  <c r="E685" i="2"/>
  <c r="E698" i="2"/>
  <c r="E712" i="2"/>
  <c r="E725" i="2"/>
  <c r="E738" i="2"/>
  <c r="E751" i="2"/>
  <c r="E764" i="2"/>
  <c r="E777" i="2"/>
  <c r="E790" i="2"/>
  <c r="E803" i="2"/>
  <c r="E816" i="2"/>
  <c r="E829" i="2"/>
  <c r="E842" i="2"/>
  <c r="E856" i="2"/>
  <c r="E869" i="2"/>
  <c r="E882" i="2"/>
  <c r="E895" i="2"/>
  <c r="E908" i="2"/>
  <c r="E921" i="2"/>
  <c r="E934" i="2"/>
  <c r="E947" i="2"/>
  <c r="E960" i="2"/>
  <c r="E973" i="2"/>
  <c r="E986" i="2"/>
  <c r="E1000" i="2"/>
  <c r="E1013" i="2"/>
  <c r="E1026" i="2"/>
  <c r="E1039" i="2"/>
  <c r="E1052" i="2"/>
  <c r="E1065" i="2"/>
  <c r="E1078" i="2"/>
  <c r="E1091" i="2"/>
  <c r="E1104" i="2"/>
  <c r="E1117" i="2"/>
  <c r="E1130" i="2"/>
  <c r="E1144" i="2"/>
  <c r="E1157" i="2"/>
  <c r="E1170" i="2"/>
  <c r="E1183" i="2"/>
  <c r="E1195" i="2"/>
  <c r="E1207" i="2"/>
  <c r="E1219" i="2"/>
  <c r="E1231" i="2"/>
  <c r="E1243" i="2"/>
  <c r="E1255" i="2"/>
  <c r="E1267" i="2"/>
  <c r="E1279" i="2"/>
  <c r="E1291" i="2"/>
  <c r="E1303" i="2"/>
  <c r="E1315" i="2"/>
  <c r="E1327" i="2"/>
  <c r="E1339" i="2"/>
  <c r="E1351" i="2"/>
  <c r="E1363" i="2"/>
  <c r="E1375" i="2"/>
  <c r="E1387" i="2"/>
  <c r="E1399" i="2"/>
  <c r="E1411" i="2"/>
  <c r="E1423" i="2"/>
  <c r="E1435" i="2"/>
  <c r="E1447" i="2"/>
  <c r="E1459" i="2"/>
  <c r="E1471" i="2"/>
  <c r="E1483" i="2"/>
  <c r="E1495" i="2"/>
  <c r="E1507" i="2"/>
  <c r="E1519" i="2"/>
  <c r="E1531" i="2"/>
  <c r="E1543" i="2"/>
  <c r="E1555" i="2"/>
  <c r="E1567" i="2"/>
  <c r="E1579" i="2"/>
  <c r="E1591" i="2"/>
  <c r="E1603" i="2"/>
  <c r="E1615" i="2"/>
  <c r="E1627" i="2"/>
  <c r="E1639" i="2"/>
  <c r="E1651" i="2"/>
  <c r="E1663" i="2"/>
  <c r="E1675" i="2"/>
  <c r="E1687" i="2"/>
  <c r="E1699" i="2"/>
  <c r="E1711" i="2"/>
  <c r="E232" i="2"/>
  <c r="E253" i="2"/>
  <c r="E272" i="2"/>
  <c r="E294" i="2"/>
  <c r="E312" i="2"/>
  <c r="E329" i="2"/>
  <c r="E347" i="2"/>
  <c r="E364" i="2"/>
  <c r="E380" i="2"/>
  <c r="E399" i="2"/>
  <c r="E415" i="2"/>
  <c r="E433" i="2"/>
  <c r="E450" i="2"/>
  <c r="E469" i="2"/>
  <c r="E486" i="2"/>
  <c r="E504" i="2"/>
  <c r="E521" i="2"/>
  <c r="E539" i="2"/>
  <c r="E556" i="2"/>
  <c r="E572" i="2"/>
  <c r="E591" i="2"/>
  <c r="E607" i="2"/>
  <c r="E625" i="2"/>
  <c r="E642" i="2"/>
  <c r="E661" i="2"/>
  <c r="E677" i="2"/>
  <c r="E690" i="2"/>
  <c r="E703" i="2"/>
  <c r="E716" i="2"/>
  <c r="E729" i="2"/>
  <c r="E742" i="2"/>
  <c r="E755" i="2"/>
  <c r="E768" i="2"/>
  <c r="E781" i="2"/>
  <c r="E794" i="2"/>
  <c r="E808" i="2"/>
  <c r="E821" i="2"/>
  <c r="E834" i="2"/>
  <c r="E847" i="2"/>
  <c r="E860" i="2"/>
  <c r="E873" i="2"/>
  <c r="E886" i="2"/>
  <c r="E899" i="2"/>
  <c r="E912" i="2"/>
  <c r="E925" i="2"/>
  <c r="E938" i="2"/>
  <c r="E952" i="2"/>
  <c r="E965" i="2"/>
  <c r="E978" i="2"/>
  <c r="E991" i="2"/>
  <c r="E1004" i="2"/>
  <c r="E1017" i="2"/>
  <c r="E1030" i="2"/>
  <c r="E1043" i="2"/>
  <c r="E1056" i="2"/>
  <c r="E1069" i="2"/>
  <c r="E1082" i="2"/>
  <c r="E1096" i="2"/>
  <c r="E1109" i="2"/>
  <c r="E1122" i="2"/>
  <c r="E1135" i="2"/>
  <c r="E1148" i="2"/>
  <c r="E1161" i="2"/>
  <c r="E1174" i="2"/>
  <c r="E1187" i="2"/>
  <c r="E1199" i="2"/>
  <c r="E1211" i="2"/>
  <c r="E1223" i="2"/>
  <c r="E1235" i="2"/>
  <c r="E1247" i="2"/>
  <c r="E1259" i="2"/>
  <c r="E1271" i="2"/>
  <c r="E1283" i="2"/>
  <c r="E1295" i="2"/>
  <c r="E1307" i="2"/>
  <c r="E1319" i="2"/>
  <c r="E1331" i="2"/>
  <c r="E1343" i="2"/>
  <c r="E1355" i="2"/>
  <c r="E1367" i="2"/>
  <c r="E1379" i="2"/>
  <c r="E1391" i="2"/>
  <c r="E1403" i="2"/>
  <c r="E1415" i="2"/>
  <c r="E1427" i="2"/>
  <c r="E1439" i="2"/>
  <c r="E1451" i="2"/>
  <c r="E1463" i="2"/>
  <c r="E1475" i="2"/>
  <c r="E1487" i="2"/>
  <c r="E1499" i="2"/>
  <c r="E1511" i="2"/>
  <c r="E1523" i="2"/>
  <c r="E1535" i="2"/>
  <c r="E1547" i="2"/>
  <c r="E1559" i="2"/>
  <c r="E1571" i="2"/>
  <c r="E1583" i="2"/>
  <c r="E1595" i="2"/>
  <c r="E1607" i="2"/>
  <c r="E1619" i="2"/>
  <c r="E1631" i="2"/>
  <c r="E1643" i="2"/>
  <c r="E1655" i="2"/>
  <c r="E235" i="2"/>
  <c r="E263" i="2"/>
  <c r="E291" i="2"/>
  <c r="E315" i="2"/>
  <c r="E336" i="2"/>
  <c r="E361" i="2"/>
  <c r="E384" i="2"/>
  <c r="E407" i="2"/>
  <c r="E431" i="2"/>
  <c r="E455" i="2"/>
  <c r="E475" i="2"/>
  <c r="E500" i="2"/>
  <c r="E523" i="2"/>
  <c r="E545" i="2"/>
  <c r="E570" i="2"/>
  <c r="E593" i="2"/>
  <c r="E616" i="2"/>
  <c r="E640" i="2"/>
  <c r="E664" i="2"/>
  <c r="E682" i="2"/>
  <c r="E701" i="2"/>
  <c r="E718" i="2"/>
  <c r="E734" i="2"/>
  <c r="E753" i="2"/>
  <c r="E770" i="2"/>
  <c r="E787" i="2"/>
  <c r="E805" i="2"/>
  <c r="E823" i="2"/>
  <c r="E839" i="2"/>
  <c r="E858" i="2"/>
  <c r="E875" i="2"/>
  <c r="E892" i="2"/>
  <c r="E910" i="2"/>
  <c r="E928" i="2"/>
  <c r="E944" i="2"/>
  <c r="E962" i="2"/>
  <c r="E980" i="2"/>
  <c r="E996" i="2"/>
  <c r="E1015" i="2"/>
  <c r="E1032" i="2"/>
  <c r="E1049" i="2"/>
  <c r="E1067" i="2"/>
  <c r="E1085" i="2"/>
  <c r="E1101" i="2"/>
  <c r="E1120" i="2"/>
  <c r="E1137" i="2"/>
  <c r="E1153" i="2"/>
  <c r="E1172" i="2"/>
  <c r="E1189" i="2"/>
  <c r="E1204" i="2"/>
  <c r="E1221" i="2"/>
  <c r="E1237" i="2"/>
  <c r="E1252" i="2"/>
  <c r="E1269" i="2"/>
  <c r="E1285" i="2"/>
  <c r="E1300" i="2"/>
  <c r="E1317" i="2"/>
  <c r="E1333" i="2"/>
  <c r="E1348" i="2"/>
  <c r="E1365" i="2"/>
  <c r="E1381" i="2"/>
  <c r="E1396" i="2"/>
  <c r="E1413" i="2"/>
  <c r="E1429" i="2"/>
  <c r="E1444" i="2"/>
  <c r="E1461" i="2"/>
  <c r="E1477" i="2"/>
  <c r="E1492" i="2"/>
  <c r="E1509" i="2"/>
  <c r="E1525" i="2"/>
  <c r="E1540" i="2"/>
  <c r="E1557" i="2"/>
  <c r="E1573" i="2"/>
  <c r="E1588" i="2"/>
  <c r="E1605" i="2"/>
  <c r="E1621" i="2"/>
  <c r="E1636" i="2"/>
  <c r="E1653" i="2"/>
  <c r="E1667" i="2"/>
  <c r="E1680" i="2"/>
  <c r="E1693" i="2"/>
  <c r="E1706" i="2"/>
  <c r="E1719" i="2"/>
  <c r="E1731" i="2"/>
  <c r="E1743" i="2"/>
  <c r="E1755" i="2"/>
  <c r="E1767" i="2"/>
  <c r="E1779" i="2"/>
  <c r="E1791" i="2"/>
  <c r="E1803" i="2"/>
  <c r="E1815" i="2"/>
  <c r="E1827" i="2"/>
  <c r="E1839" i="2"/>
  <c r="E1851" i="2"/>
  <c r="E1863" i="2"/>
  <c r="E1875" i="2"/>
  <c r="E1887" i="2"/>
  <c r="E1899" i="2"/>
  <c r="E1911" i="2"/>
  <c r="E1923" i="2"/>
  <c r="E1935" i="2"/>
  <c r="E1947" i="2"/>
  <c r="E1959" i="2"/>
  <c r="E1971" i="2"/>
  <c r="E1983" i="2"/>
  <c r="E1995" i="2"/>
  <c r="E2007" i="2"/>
  <c r="E2019" i="2"/>
  <c r="E2031" i="2"/>
  <c r="E2043" i="2"/>
  <c r="E2055" i="2"/>
  <c r="E2067" i="2"/>
  <c r="E2079" i="2"/>
  <c r="E2091" i="2"/>
  <c r="E2103" i="2"/>
  <c r="E2115" i="2"/>
  <c r="E2127" i="2"/>
  <c r="E2139" i="2"/>
  <c r="E2151" i="2"/>
  <c r="E2163" i="2"/>
  <c r="E2175" i="2"/>
  <c r="E2187" i="2"/>
  <c r="E2199" i="2"/>
  <c r="E2211" i="2"/>
  <c r="E2223" i="2"/>
  <c r="E236" i="2"/>
  <c r="E264" i="2"/>
  <c r="E293" i="2"/>
  <c r="E316" i="2"/>
  <c r="E337" i="2"/>
  <c r="E363" i="2"/>
  <c r="E385" i="2"/>
  <c r="E408" i="2"/>
  <c r="E432" i="2"/>
  <c r="E456" i="2"/>
  <c r="E476" i="2"/>
  <c r="E503" i="2"/>
  <c r="E524" i="2"/>
  <c r="E546" i="2"/>
  <c r="E571" i="2"/>
  <c r="E594" i="2"/>
  <c r="E617" i="2"/>
  <c r="E641" i="2"/>
  <c r="E665" i="2"/>
  <c r="E683" i="2"/>
  <c r="E702" i="2"/>
  <c r="E719" i="2"/>
  <c r="E736" i="2"/>
  <c r="E754" i="2"/>
  <c r="E772" i="2"/>
  <c r="E788" i="2"/>
  <c r="E806" i="2"/>
  <c r="E824" i="2"/>
  <c r="E840" i="2"/>
  <c r="E859" i="2"/>
  <c r="E876" i="2"/>
  <c r="E893" i="2"/>
  <c r="E911" i="2"/>
  <c r="E929" i="2"/>
  <c r="E945" i="2"/>
  <c r="E964" i="2"/>
  <c r="E981" i="2"/>
  <c r="E997" i="2"/>
  <c r="E1016" i="2"/>
  <c r="E1033" i="2"/>
  <c r="E1050" i="2"/>
  <c r="E1068" i="2"/>
  <c r="E1086" i="2"/>
  <c r="E1102" i="2"/>
  <c r="E1121" i="2"/>
  <c r="E1138" i="2"/>
  <c r="E1154" i="2"/>
  <c r="E1173" i="2"/>
  <c r="E1190" i="2"/>
  <c r="E1205" i="2"/>
  <c r="E1222" i="2"/>
  <c r="E1238" i="2"/>
  <c r="E1253" i="2"/>
  <c r="E1270" i="2"/>
  <c r="E1286" i="2"/>
  <c r="E1301" i="2"/>
  <c r="E1318" i="2"/>
  <c r="E1334" i="2"/>
  <c r="E1349" i="2"/>
  <c r="E1366" i="2"/>
  <c r="E1382" i="2"/>
  <c r="E1397" i="2"/>
  <c r="E1414" i="2"/>
  <c r="E1430" i="2"/>
  <c r="E1445" i="2"/>
  <c r="E1462" i="2"/>
  <c r="E1478" i="2"/>
  <c r="E1493" i="2"/>
  <c r="E1510" i="2"/>
  <c r="E1526" i="2"/>
  <c r="E1541" i="2"/>
  <c r="E1558" i="2"/>
  <c r="E1574" i="2"/>
  <c r="E1589" i="2"/>
  <c r="E1606" i="2"/>
  <c r="E1622" i="2"/>
  <c r="E1637" i="2"/>
  <c r="E1654" i="2"/>
  <c r="E1668" i="2"/>
  <c r="E1681" i="2"/>
  <c r="E1694" i="2"/>
  <c r="E1707" i="2"/>
  <c r="E1720" i="2"/>
  <c r="E1732" i="2"/>
  <c r="E1744" i="2"/>
  <c r="E1756" i="2"/>
  <c r="E1768" i="2"/>
  <c r="E1780" i="2"/>
  <c r="E1792" i="2"/>
  <c r="E1804" i="2"/>
  <c r="E1816" i="2"/>
  <c r="E1828" i="2"/>
  <c r="E1840" i="2"/>
  <c r="E1852" i="2"/>
  <c r="E1864" i="2"/>
  <c r="E1876" i="2"/>
  <c r="E1888" i="2"/>
  <c r="E1900" i="2"/>
  <c r="E1912" i="2"/>
  <c r="E1924" i="2"/>
  <c r="E1936" i="2"/>
  <c r="E1948" i="2"/>
  <c r="E1960" i="2"/>
  <c r="E1972" i="2"/>
  <c r="E1984" i="2"/>
  <c r="E1996" i="2"/>
  <c r="E2008" i="2"/>
  <c r="E2020" i="2"/>
  <c r="E2032" i="2"/>
  <c r="E2044" i="2"/>
  <c r="E2056" i="2"/>
  <c r="E2068" i="2"/>
  <c r="E2080" i="2"/>
  <c r="E2092" i="2"/>
  <c r="E2104" i="2"/>
  <c r="E2116" i="2"/>
  <c r="E2128" i="2"/>
  <c r="E2140" i="2"/>
  <c r="E2152" i="2"/>
  <c r="E2164" i="2"/>
  <c r="E2176" i="2"/>
  <c r="E2188" i="2"/>
  <c r="E2200" i="2"/>
  <c r="E2212" i="2"/>
  <c r="E2224" i="2"/>
  <c r="E2236" i="2"/>
  <c r="E2248" i="2"/>
  <c r="E2260" i="2"/>
  <c r="E2272" i="2"/>
  <c r="E2284" i="2"/>
  <c r="E2296" i="2"/>
  <c r="E2308" i="2"/>
  <c r="D221" i="2"/>
  <c r="D233" i="2"/>
  <c r="D245" i="2"/>
  <c r="D257" i="2"/>
  <c r="D269" i="2"/>
  <c r="D281" i="2"/>
  <c r="D293" i="2"/>
  <c r="D305" i="2"/>
  <c r="D317" i="2"/>
  <c r="D329" i="2"/>
  <c r="D341" i="2"/>
  <c r="D353" i="2"/>
  <c r="D365" i="2"/>
  <c r="D377" i="2"/>
  <c r="D389" i="2"/>
  <c r="D401" i="2"/>
  <c r="D413" i="2"/>
  <c r="D425" i="2"/>
  <c r="D437" i="2"/>
  <c r="D449" i="2"/>
  <c r="D461" i="2"/>
  <c r="D473" i="2"/>
  <c r="D485" i="2"/>
  <c r="D497" i="2"/>
  <c r="D509" i="2"/>
  <c r="D521" i="2"/>
  <c r="D533" i="2"/>
  <c r="D545" i="2"/>
  <c r="E241" i="2"/>
  <c r="E270" i="2"/>
  <c r="E296" i="2"/>
  <c r="E318" i="2"/>
  <c r="E343" i="2"/>
  <c r="E366" i="2"/>
  <c r="E389" i="2"/>
  <c r="E413" i="2"/>
  <c r="F413" i="2" s="1"/>
  <c r="E437" i="2"/>
  <c r="E459" i="2"/>
  <c r="E483" i="2"/>
  <c r="E507" i="2"/>
  <c r="E528" i="2"/>
  <c r="E553" i="2"/>
  <c r="E576" i="2"/>
  <c r="E599" i="2"/>
  <c r="E623" i="2"/>
  <c r="E647" i="2"/>
  <c r="E667" i="2"/>
  <c r="E688" i="2"/>
  <c r="E705" i="2"/>
  <c r="E721" i="2"/>
  <c r="E740" i="2"/>
  <c r="E757" i="2"/>
  <c r="E774" i="2"/>
  <c r="E792" i="2"/>
  <c r="E810" i="2"/>
  <c r="E826" i="2"/>
  <c r="E845" i="2"/>
  <c r="E862" i="2"/>
  <c r="E878" i="2"/>
  <c r="E897" i="2"/>
  <c r="E914" i="2"/>
  <c r="E931" i="2"/>
  <c r="E949" i="2"/>
  <c r="E967" i="2"/>
  <c r="E983" i="2"/>
  <c r="E1002" i="2"/>
  <c r="E1019" i="2"/>
  <c r="E1036" i="2"/>
  <c r="E1054" i="2"/>
  <c r="E1072" i="2"/>
  <c r="E1088" i="2"/>
  <c r="E1106" i="2"/>
  <c r="E1124" i="2"/>
  <c r="E1140" i="2"/>
  <c r="E1159" i="2"/>
  <c r="E1176" i="2"/>
  <c r="E1192" i="2"/>
  <c r="E1209" i="2"/>
  <c r="E1225" i="2"/>
  <c r="E1240" i="2"/>
  <c r="E1257" i="2"/>
  <c r="E1273" i="2"/>
  <c r="E1288" i="2"/>
  <c r="E1305" i="2"/>
  <c r="E1321" i="2"/>
  <c r="E1336" i="2"/>
  <c r="E1353" i="2"/>
  <c r="E1369" i="2"/>
  <c r="E1384" i="2"/>
  <c r="E1401" i="2"/>
  <c r="E1417" i="2"/>
  <c r="E1432" i="2"/>
  <c r="E1449" i="2"/>
  <c r="E1465" i="2"/>
  <c r="E1480" i="2"/>
  <c r="E1497" i="2"/>
  <c r="E1513" i="2"/>
  <c r="E1528" i="2"/>
  <c r="E1545" i="2"/>
  <c r="E1561" i="2"/>
  <c r="E1576" i="2"/>
  <c r="E1593" i="2"/>
  <c r="E1609" i="2"/>
  <c r="E1624" i="2"/>
  <c r="E1641" i="2"/>
  <c r="E1657" i="2"/>
  <c r="E1670" i="2"/>
  <c r="E1683" i="2"/>
  <c r="E1696" i="2"/>
  <c r="E1709" i="2"/>
  <c r="E1722" i="2"/>
  <c r="E1734" i="2"/>
  <c r="E1746" i="2"/>
  <c r="E1758" i="2"/>
  <c r="E1770" i="2"/>
  <c r="E1782" i="2"/>
  <c r="E1794" i="2"/>
  <c r="E1806" i="2"/>
  <c r="E1818" i="2"/>
  <c r="E1830" i="2"/>
  <c r="E1842" i="2"/>
  <c r="E1854" i="2"/>
  <c r="E1866" i="2"/>
  <c r="E1878" i="2"/>
  <c r="E1890" i="2"/>
  <c r="E1902" i="2"/>
  <c r="E1914" i="2"/>
  <c r="E1926" i="2"/>
  <c r="E1938" i="2"/>
  <c r="E1950" i="2"/>
  <c r="E1962" i="2"/>
  <c r="E1974" i="2"/>
  <c r="E1986" i="2"/>
  <c r="E1998" i="2"/>
  <c r="E2010" i="2"/>
  <c r="E2022" i="2"/>
  <c r="E2034" i="2"/>
  <c r="E2046" i="2"/>
  <c r="E2058" i="2"/>
  <c r="E2070" i="2"/>
  <c r="E2082" i="2"/>
  <c r="E2094" i="2"/>
  <c r="E2106" i="2"/>
  <c r="E2118" i="2"/>
  <c r="E2130" i="2"/>
  <c r="E2142" i="2"/>
  <c r="E2154" i="2"/>
  <c r="E2166" i="2"/>
  <c r="E2178" i="2"/>
  <c r="E2190" i="2"/>
  <c r="E2202" i="2"/>
  <c r="E2214" i="2"/>
  <c r="E256" i="2"/>
  <c r="E295" i="2"/>
  <c r="E327" i="2"/>
  <c r="E353" i="2"/>
  <c r="F353" i="2" s="1"/>
  <c r="E387" i="2"/>
  <c r="E419" i="2"/>
  <c r="E448" i="2"/>
  <c r="E481" i="2"/>
  <c r="E510" i="2"/>
  <c r="E541" i="2"/>
  <c r="E575" i="2"/>
  <c r="E605" i="2"/>
  <c r="E632" i="2"/>
  <c r="E666" i="2"/>
  <c r="E692" i="2"/>
  <c r="E714" i="2"/>
  <c r="E739" i="2"/>
  <c r="E761" i="2"/>
  <c r="E784" i="2"/>
  <c r="E809" i="2"/>
  <c r="E832" i="2"/>
  <c r="E852" i="2"/>
  <c r="E877" i="2"/>
  <c r="E901" i="2"/>
  <c r="E923" i="2"/>
  <c r="E948" i="2"/>
  <c r="E970" i="2"/>
  <c r="E993" i="2"/>
  <c r="E1018" i="2"/>
  <c r="E1041" i="2"/>
  <c r="E1062" i="2"/>
  <c r="E1087" i="2"/>
  <c r="E1111" i="2"/>
  <c r="E1133" i="2"/>
  <c r="E1158" i="2"/>
  <c r="E1180" i="2"/>
  <c r="E1201" i="2"/>
  <c r="E1224" i="2"/>
  <c r="E1245" i="2"/>
  <c r="E1264" i="2"/>
  <c r="E1287" i="2"/>
  <c r="E1309" i="2"/>
  <c r="E1329" i="2"/>
  <c r="E1352" i="2"/>
  <c r="E1372" i="2"/>
  <c r="E1393" i="2"/>
  <c r="E1416" i="2"/>
  <c r="E1437" i="2"/>
  <c r="E1456" i="2"/>
  <c r="E1479" i="2"/>
  <c r="E1501" i="2"/>
  <c r="E1521" i="2"/>
  <c r="E1544" i="2"/>
  <c r="E1564" i="2"/>
  <c r="E1585" i="2"/>
  <c r="E1608" i="2"/>
  <c r="E1629" i="2"/>
  <c r="E1648" i="2"/>
  <c r="E1669" i="2"/>
  <c r="E1686" i="2"/>
  <c r="E1703" i="2"/>
  <c r="E1721" i="2"/>
  <c r="E1737" i="2"/>
  <c r="E1752" i="2"/>
  <c r="E1769" i="2"/>
  <c r="E1785" i="2"/>
  <c r="E1800" i="2"/>
  <c r="E1817" i="2"/>
  <c r="E1833" i="2"/>
  <c r="E1848" i="2"/>
  <c r="E1865" i="2"/>
  <c r="E1881" i="2"/>
  <c r="E1896" i="2"/>
  <c r="E1913" i="2"/>
  <c r="E1929" i="2"/>
  <c r="E1944" i="2"/>
  <c r="E1961" i="2"/>
  <c r="E1977" i="2"/>
  <c r="E1992" i="2"/>
  <c r="E2009" i="2"/>
  <c r="E2025" i="2"/>
  <c r="E2040" i="2"/>
  <c r="E2057" i="2"/>
  <c r="E2073" i="2"/>
  <c r="E2088" i="2"/>
  <c r="E2105" i="2"/>
  <c r="E2121" i="2"/>
  <c r="E2136" i="2"/>
  <c r="E2153" i="2"/>
  <c r="E2169" i="2"/>
  <c r="E2184" i="2"/>
  <c r="E2201" i="2"/>
  <c r="E2217" i="2"/>
  <c r="E2231" i="2"/>
  <c r="E2244" i="2"/>
  <c r="E2257" i="2"/>
  <c r="E2270" i="2"/>
  <c r="E2283" i="2"/>
  <c r="E2297" i="2"/>
  <c r="E2310" i="2"/>
  <c r="D224" i="2"/>
  <c r="D237" i="2"/>
  <c r="D250" i="2"/>
  <c r="D263" i="2"/>
  <c r="D276" i="2"/>
  <c r="D289" i="2"/>
  <c r="D302" i="2"/>
  <c r="D315" i="2"/>
  <c r="D328" i="2"/>
  <c r="D342" i="2"/>
  <c r="D355" i="2"/>
  <c r="D368" i="2"/>
  <c r="D381" i="2"/>
  <c r="D394" i="2"/>
  <c r="D407" i="2"/>
  <c r="D420" i="2"/>
  <c r="D433" i="2"/>
  <c r="D446" i="2"/>
  <c r="D459" i="2"/>
  <c r="D472" i="2"/>
  <c r="D486" i="2"/>
  <c r="D499" i="2"/>
  <c r="D512" i="2"/>
  <c r="D525" i="2"/>
  <c r="D538" i="2"/>
  <c r="D551" i="2"/>
  <c r="D563" i="2"/>
  <c r="D575" i="2"/>
  <c r="D587" i="2"/>
  <c r="D599" i="2"/>
  <c r="D611" i="2"/>
  <c r="D623" i="2"/>
  <c r="D635" i="2"/>
  <c r="D647" i="2"/>
  <c r="D659" i="2"/>
  <c r="D671" i="2"/>
  <c r="D683" i="2"/>
  <c r="D695" i="2"/>
  <c r="D707" i="2"/>
  <c r="D719" i="2"/>
  <c r="D731" i="2"/>
  <c r="D743" i="2"/>
  <c r="D755" i="2"/>
  <c r="D767" i="2"/>
  <c r="D779" i="2"/>
  <c r="D791" i="2"/>
  <c r="D803" i="2"/>
  <c r="D815" i="2"/>
  <c r="D827" i="2"/>
  <c r="D839" i="2"/>
  <c r="D851" i="2"/>
  <c r="D863" i="2"/>
  <c r="D875" i="2"/>
  <c r="D887" i="2"/>
  <c r="D899" i="2"/>
  <c r="D911" i="2"/>
  <c r="D923" i="2"/>
  <c r="D935" i="2"/>
  <c r="D947" i="2"/>
  <c r="D959" i="2"/>
  <c r="D971" i="2"/>
  <c r="D983" i="2"/>
  <c r="D995" i="2"/>
  <c r="D1007" i="2"/>
  <c r="D1019" i="2"/>
  <c r="D1031" i="2"/>
  <c r="D1043" i="2"/>
  <c r="D1055" i="2"/>
  <c r="D1067" i="2"/>
  <c r="D1079" i="2"/>
  <c r="D1091" i="2"/>
  <c r="D1103" i="2"/>
  <c r="D1115" i="2"/>
  <c r="D1127" i="2"/>
  <c r="D1139" i="2"/>
  <c r="D1151" i="2"/>
  <c r="D1163" i="2"/>
  <c r="D1175" i="2"/>
  <c r="D1187" i="2"/>
  <c r="D1199" i="2"/>
  <c r="D1211" i="2"/>
  <c r="D1223" i="2"/>
  <c r="D1235" i="2"/>
  <c r="D1247" i="2"/>
  <c r="D1259" i="2"/>
  <c r="D1271" i="2"/>
  <c r="D1283" i="2"/>
  <c r="D1295" i="2"/>
  <c r="D1307" i="2"/>
  <c r="D1319" i="2"/>
  <c r="D1331" i="2"/>
  <c r="D1343" i="2"/>
  <c r="D1355" i="2"/>
  <c r="D1367" i="2"/>
  <c r="D1379" i="2"/>
  <c r="D1391" i="2"/>
  <c r="D1403" i="2"/>
  <c r="D1415" i="2"/>
  <c r="D1427" i="2"/>
  <c r="D1439" i="2"/>
  <c r="D1451" i="2"/>
  <c r="D1463" i="2"/>
  <c r="D1475" i="2"/>
  <c r="D1487" i="2"/>
  <c r="D1499" i="2"/>
  <c r="D1511" i="2"/>
  <c r="D1523" i="2"/>
  <c r="D1535" i="2"/>
  <c r="D1547" i="2"/>
  <c r="D1559" i="2"/>
  <c r="D1571" i="2"/>
  <c r="D1583" i="2"/>
  <c r="D1595" i="2"/>
  <c r="D1607" i="2"/>
  <c r="D1619" i="2"/>
  <c r="D1631" i="2"/>
  <c r="D1643" i="2"/>
  <c r="D1655" i="2"/>
  <c r="D1667" i="2"/>
  <c r="D1679" i="2"/>
  <c r="D1691" i="2"/>
  <c r="D1703" i="2"/>
  <c r="D1715" i="2"/>
  <c r="D1727" i="2"/>
  <c r="D1739" i="2"/>
  <c r="D1751" i="2"/>
  <c r="D1763" i="2"/>
  <c r="D1775" i="2"/>
  <c r="D1787" i="2"/>
  <c r="D1799" i="2"/>
  <c r="D1811" i="2"/>
  <c r="D1823" i="2"/>
  <c r="D1835" i="2"/>
  <c r="D1847" i="2"/>
  <c r="D1859" i="2"/>
  <c r="D1871" i="2"/>
  <c r="D1883" i="2"/>
  <c r="D1895" i="2"/>
  <c r="D1907" i="2"/>
  <c r="D1919" i="2"/>
  <c r="D1931" i="2"/>
  <c r="D1943" i="2"/>
  <c r="D1955" i="2"/>
  <c r="D1967" i="2"/>
  <c r="D1979" i="2"/>
  <c r="D1991" i="2"/>
  <c r="D2003" i="2"/>
  <c r="D2015" i="2"/>
  <c r="D2027" i="2"/>
  <c r="D2039" i="2"/>
  <c r="D2051" i="2"/>
  <c r="D2063" i="2"/>
  <c r="D2075" i="2"/>
  <c r="D2087" i="2"/>
  <c r="D2099" i="2"/>
  <c r="D2111" i="2"/>
  <c r="D2123" i="2"/>
  <c r="D2135" i="2"/>
  <c r="D2147" i="2"/>
  <c r="D2159" i="2"/>
  <c r="D2171" i="2"/>
  <c r="D2183" i="2"/>
  <c r="D2195" i="2"/>
  <c r="D2207" i="2"/>
  <c r="D2219" i="2"/>
  <c r="D2231" i="2"/>
  <c r="D2243" i="2"/>
  <c r="D2255" i="2"/>
  <c r="D2267" i="2"/>
  <c r="D2279" i="2"/>
  <c r="D2291" i="2"/>
  <c r="D2303" i="2"/>
  <c r="D2315" i="2"/>
  <c r="D10" i="2"/>
  <c r="D22" i="2"/>
  <c r="D34" i="2"/>
  <c r="D46" i="2"/>
  <c r="D58" i="2"/>
  <c r="D70" i="2"/>
  <c r="D82" i="2"/>
  <c r="D94" i="2"/>
  <c r="D106" i="2"/>
  <c r="D118" i="2"/>
  <c r="D130" i="2"/>
  <c r="D142" i="2"/>
  <c r="D154" i="2"/>
  <c r="D166" i="2"/>
  <c r="D178" i="2"/>
  <c r="D190" i="2"/>
  <c r="D202" i="2"/>
  <c r="D214" i="2"/>
  <c r="E221" i="2"/>
  <c r="F221" i="2" s="1"/>
  <c r="E258" i="2"/>
  <c r="E299" i="2"/>
  <c r="E328" i="2"/>
  <c r="F328" i="2" s="1"/>
  <c r="E354" i="2"/>
  <c r="E390" i="2"/>
  <c r="E421" i="2"/>
  <c r="E449" i="2"/>
  <c r="F449" i="2" s="1"/>
  <c r="E485" i="2"/>
  <c r="F485" i="2" s="1"/>
  <c r="E511" i="2"/>
  <c r="E543" i="2"/>
  <c r="E577" i="2"/>
  <c r="E606" i="2"/>
  <c r="E635" i="2"/>
  <c r="F635" i="2" s="1"/>
  <c r="E668" i="2"/>
  <c r="E693" i="2"/>
  <c r="E715" i="2"/>
  <c r="E741" i="2"/>
  <c r="E762" i="2"/>
  <c r="E785" i="2"/>
  <c r="E811" i="2"/>
  <c r="E833" i="2"/>
  <c r="E853" i="2"/>
  <c r="E880" i="2"/>
  <c r="E902" i="2"/>
  <c r="E924" i="2"/>
  <c r="E950" i="2"/>
  <c r="E971" i="2"/>
  <c r="F971" i="2" s="1"/>
  <c r="E994" i="2"/>
  <c r="E1020" i="2"/>
  <c r="E1042" i="2"/>
  <c r="E1063" i="2"/>
  <c r="E1089" i="2"/>
  <c r="E1112" i="2"/>
  <c r="E1134" i="2"/>
  <c r="E1160" i="2"/>
  <c r="E1181" i="2"/>
  <c r="E1202" i="2"/>
  <c r="E1226" i="2"/>
  <c r="E1246" i="2"/>
  <c r="E1265" i="2"/>
  <c r="E1289" i="2"/>
  <c r="E1310" i="2"/>
  <c r="E1330" i="2"/>
  <c r="E1354" i="2"/>
  <c r="E1373" i="2"/>
  <c r="E1394" i="2"/>
  <c r="E1418" i="2"/>
  <c r="E1438" i="2"/>
  <c r="E1457" i="2"/>
  <c r="E1481" i="2"/>
  <c r="E1502" i="2"/>
  <c r="E1522" i="2"/>
  <c r="E1546" i="2"/>
  <c r="E1565" i="2"/>
  <c r="E1586" i="2"/>
  <c r="E1610" i="2"/>
  <c r="E1630" i="2"/>
  <c r="E1649" i="2"/>
  <c r="E1671" i="2"/>
  <c r="E1688" i="2"/>
  <c r="E1704" i="2"/>
  <c r="E1723" i="2"/>
  <c r="E1738" i="2"/>
  <c r="E1753" i="2"/>
  <c r="E1771" i="2"/>
  <c r="E1786" i="2"/>
  <c r="E1801" i="2"/>
  <c r="E1819" i="2"/>
  <c r="E1834" i="2"/>
  <c r="E1849" i="2"/>
  <c r="E1867" i="2"/>
  <c r="E1882" i="2"/>
  <c r="E1897" i="2"/>
  <c r="E1915" i="2"/>
  <c r="E1930" i="2"/>
  <c r="E1945" i="2"/>
  <c r="E1963" i="2"/>
  <c r="E1978" i="2"/>
  <c r="E1993" i="2"/>
  <c r="E2011" i="2"/>
  <c r="E2026" i="2"/>
  <c r="E2041" i="2"/>
  <c r="E2059" i="2"/>
  <c r="E2074" i="2"/>
  <c r="E2089" i="2"/>
  <c r="E2107" i="2"/>
  <c r="E2122" i="2"/>
  <c r="E2137" i="2"/>
  <c r="E2155" i="2"/>
  <c r="E2170" i="2"/>
  <c r="E2185" i="2"/>
  <c r="E2203" i="2"/>
  <c r="E2218" i="2"/>
  <c r="E2232" i="2"/>
  <c r="E2245" i="2"/>
  <c r="E2258" i="2"/>
  <c r="E2271" i="2"/>
  <c r="E2285" i="2"/>
  <c r="E2298" i="2"/>
  <c r="E2311" i="2"/>
  <c r="D225" i="2"/>
  <c r="D238" i="2"/>
  <c r="D251" i="2"/>
  <c r="D264" i="2"/>
  <c r="D277" i="2"/>
  <c r="D290" i="2"/>
  <c r="D303" i="2"/>
  <c r="D316" i="2"/>
  <c r="D330" i="2"/>
  <c r="D343" i="2"/>
  <c r="D356" i="2"/>
  <c r="D369" i="2"/>
  <c r="D382" i="2"/>
  <c r="D395" i="2"/>
  <c r="D408" i="2"/>
  <c r="D421" i="2"/>
  <c r="D434" i="2"/>
  <c r="D447" i="2"/>
  <c r="D460" i="2"/>
  <c r="D474" i="2"/>
  <c r="D487" i="2"/>
  <c r="D500" i="2"/>
  <c r="D513" i="2"/>
  <c r="D526" i="2"/>
  <c r="D539" i="2"/>
  <c r="D552" i="2"/>
  <c r="D564" i="2"/>
  <c r="D576" i="2"/>
  <c r="D588" i="2"/>
  <c r="D600" i="2"/>
  <c r="D612" i="2"/>
  <c r="D624" i="2"/>
  <c r="D636" i="2"/>
  <c r="D648" i="2"/>
  <c r="D660" i="2"/>
  <c r="D672" i="2"/>
  <c r="D684" i="2"/>
  <c r="D696" i="2"/>
  <c r="D708" i="2"/>
  <c r="D720" i="2"/>
  <c r="D732" i="2"/>
  <c r="D744" i="2"/>
  <c r="D756" i="2"/>
  <c r="D768" i="2"/>
  <c r="D780" i="2"/>
  <c r="D792" i="2"/>
  <c r="D804" i="2"/>
  <c r="D816" i="2"/>
  <c r="D828" i="2"/>
  <c r="D840" i="2"/>
  <c r="D852" i="2"/>
  <c r="D864" i="2"/>
  <c r="D876" i="2"/>
  <c r="D888" i="2"/>
  <c r="D900" i="2"/>
  <c r="D912" i="2"/>
  <c r="D924" i="2"/>
  <c r="D936" i="2"/>
  <c r="D948" i="2"/>
  <c r="D960" i="2"/>
  <c r="D972" i="2"/>
  <c r="D984" i="2"/>
  <c r="D996" i="2"/>
  <c r="D1008" i="2"/>
  <c r="D1020" i="2"/>
  <c r="D1032" i="2"/>
  <c r="D1044" i="2"/>
  <c r="D1056" i="2"/>
  <c r="D1068" i="2"/>
  <c r="D1080" i="2"/>
  <c r="D1092" i="2"/>
  <c r="D1104" i="2"/>
  <c r="D1116" i="2"/>
  <c r="D1128" i="2"/>
  <c r="D1140" i="2"/>
  <c r="D1152" i="2"/>
  <c r="D1164" i="2"/>
  <c r="D1176" i="2"/>
  <c r="D1188" i="2"/>
  <c r="D1200" i="2"/>
  <c r="D1212" i="2"/>
  <c r="D1224" i="2"/>
  <c r="D1236" i="2"/>
  <c r="D1248" i="2"/>
  <c r="D1260" i="2"/>
  <c r="D1272" i="2"/>
  <c r="D1284" i="2"/>
  <c r="D1296" i="2"/>
  <c r="D1308" i="2"/>
  <c r="D1320" i="2"/>
  <c r="D1332" i="2"/>
  <c r="D1344" i="2"/>
  <c r="D1356" i="2"/>
  <c r="D1368" i="2"/>
  <c r="D1380" i="2"/>
  <c r="D1392" i="2"/>
  <c r="D1404" i="2"/>
  <c r="D1416" i="2"/>
  <c r="D1428" i="2"/>
  <c r="D1440" i="2"/>
  <c r="D1452" i="2"/>
  <c r="D1464" i="2"/>
  <c r="D1476" i="2"/>
  <c r="D1488" i="2"/>
  <c r="D1500" i="2"/>
  <c r="D1512" i="2"/>
  <c r="D1524" i="2"/>
  <c r="D1536" i="2"/>
  <c r="D1548" i="2"/>
  <c r="D1560" i="2"/>
  <c r="D1572" i="2"/>
  <c r="D1584" i="2"/>
  <c r="D1596" i="2"/>
  <c r="D1608" i="2"/>
  <c r="D1620" i="2"/>
  <c r="D1632" i="2"/>
  <c r="D1644" i="2"/>
  <c r="D1656" i="2"/>
  <c r="D1668" i="2"/>
  <c r="D1680" i="2"/>
  <c r="D1692" i="2"/>
  <c r="D1704" i="2"/>
  <c r="D1716" i="2"/>
  <c r="D1728" i="2"/>
  <c r="D1740" i="2"/>
  <c r="D1752" i="2"/>
  <c r="D1764" i="2"/>
  <c r="D1776" i="2"/>
  <c r="D1788" i="2"/>
  <c r="D1800" i="2"/>
  <c r="D1812" i="2"/>
  <c r="D1824" i="2"/>
  <c r="D1836" i="2"/>
  <c r="D1848" i="2"/>
  <c r="D1860" i="2"/>
  <c r="D1872" i="2"/>
  <c r="D1884" i="2"/>
  <c r="D1896" i="2"/>
  <c r="D1908" i="2"/>
  <c r="D1920" i="2"/>
  <c r="D1932" i="2"/>
  <c r="D1944" i="2"/>
  <c r="D1956" i="2"/>
  <c r="D1968" i="2"/>
  <c r="D1980" i="2"/>
  <c r="D1992" i="2"/>
  <c r="D2004" i="2"/>
  <c r="D2016" i="2"/>
  <c r="D2028" i="2"/>
  <c r="D2040" i="2"/>
  <c r="D2052" i="2"/>
  <c r="D2064" i="2"/>
  <c r="D2076" i="2"/>
  <c r="D2088" i="2"/>
  <c r="D2100" i="2"/>
  <c r="D2112" i="2"/>
  <c r="D2124" i="2"/>
  <c r="D2136" i="2"/>
  <c r="D2148" i="2"/>
  <c r="D2160" i="2"/>
  <c r="D2172" i="2"/>
  <c r="D2184" i="2"/>
  <c r="D2196" i="2"/>
  <c r="D2208" i="2"/>
  <c r="D2220" i="2"/>
  <c r="D2232" i="2"/>
  <c r="D2244" i="2"/>
  <c r="D2256" i="2"/>
  <c r="D2268" i="2"/>
  <c r="D2280" i="2"/>
  <c r="D2292" i="2"/>
  <c r="D2304" i="2"/>
  <c r="D2316" i="2"/>
  <c r="D11" i="2"/>
  <c r="D23" i="2"/>
  <c r="D35" i="2"/>
  <c r="D47" i="2"/>
  <c r="D59" i="2"/>
  <c r="D71" i="2"/>
  <c r="D83" i="2"/>
  <c r="D95" i="2"/>
  <c r="D107" i="2"/>
  <c r="D119" i="2"/>
  <c r="D131" i="2"/>
  <c r="D143" i="2"/>
  <c r="D155" i="2"/>
  <c r="D167" i="2"/>
  <c r="D179" i="2"/>
  <c r="D191" i="2"/>
  <c r="D203" i="2"/>
  <c r="D215" i="2"/>
  <c r="E229" i="2"/>
  <c r="E269" i="2"/>
  <c r="F269" i="2" s="1"/>
  <c r="E301" i="2"/>
  <c r="E331" i="2"/>
  <c r="E365" i="2"/>
  <c r="F365" i="2" s="1"/>
  <c r="E396" i="2"/>
  <c r="E424" i="2"/>
  <c r="E457" i="2"/>
  <c r="E488" i="2"/>
  <c r="E519" i="2"/>
  <c r="E552" i="2"/>
  <c r="E581" i="2"/>
  <c r="E611" i="2"/>
  <c r="F611" i="2" s="1"/>
  <c r="E644" i="2"/>
  <c r="E674" i="2"/>
  <c r="E695" i="2"/>
  <c r="F695" i="2" s="1"/>
  <c r="E720" i="2"/>
  <c r="F720" i="2" s="1"/>
  <c r="E744" i="2"/>
  <c r="E766" i="2"/>
  <c r="E791" i="2"/>
  <c r="E813" i="2"/>
  <c r="E836" i="2"/>
  <c r="E861" i="2"/>
  <c r="E884" i="2"/>
  <c r="E905" i="2"/>
  <c r="E930" i="2"/>
  <c r="E954" i="2"/>
  <c r="E976" i="2"/>
  <c r="E1001" i="2"/>
  <c r="E1022" i="2"/>
  <c r="E1045" i="2"/>
  <c r="E1070" i="2"/>
  <c r="E1093" i="2"/>
  <c r="E1114" i="2"/>
  <c r="E1139" i="2"/>
  <c r="F1139" i="2" s="1"/>
  <c r="E1163" i="2"/>
  <c r="F1163" i="2" s="1"/>
  <c r="E1185" i="2"/>
  <c r="E1208" i="2"/>
  <c r="E1228" i="2"/>
  <c r="E1249" i="2"/>
  <c r="E1272" i="2"/>
  <c r="E1293" i="2"/>
  <c r="E1312" i="2"/>
  <c r="E1335" i="2"/>
  <c r="E1357" i="2"/>
  <c r="E1377" i="2"/>
  <c r="E1400" i="2"/>
  <c r="E1420" i="2"/>
  <c r="E1441" i="2"/>
  <c r="E1464" i="2"/>
  <c r="E1485" i="2"/>
  <c r="E1504" i="2"/>
  <c r="E1527" i="2"/>
  <c r="E1549" i="2"/>
  <c r="E1569" i="2"/>
  <c r="E1592" i="2"/>
  <c r="E1612" i="2"/>
  <c r="E1633" i="2"/>
  <c r="E1656" i="2"/>
  <c r="F1656" i="2" s="1"/>
  <c r="E1673" i="2"/>
  <c r="E1690" i="2"/>
  <c r="E1708" i="2"/>
  <c r="E1725" i="2"/>
  <c r="E1740" i="2"/>
  <c r="F1740" i="2" s="1"/>
  <c r="E1757" i="2"/>
  <c r="E1773" i="2"/>
  <c r="E1788" i="2"/>
  <c r="F1788" i="2" s="1"/>
  <c r="E1805" i="2"/>
  <c r="E1821" i="2"/>
  <c r="E1836" i="2"/>
  <c r="F1836" i="2" s="1"/>
  <c r="E1853" i="2"/>
  <c r="E1869" i="2"/>
  <c r="E1884" i="2"/>
  <c r="F1884" i="2" s="1"/>
  <c r="E1901" i="2"/>
  <c r="E1917" i="2"/>
  <c r="E1932" i="2"/>
  <c r="F1932" i="2" s="1"/>
  <c r="E1949" i="2"/>
  <c r="E1965" i="2"/>
  <c r="E1980" i="2"/>
  <c r="F1980" i="2" s="1"/>
  <c r="E1997" i="2"/>
  <c r="E2013" i="2"/>
  <c r="E2028" i="2"/>
  <c r="F2028" i="2" s="1"/>
  <c r="E2045" i="2"/>
  <c r="E2061" i="2"/>
  <c r="E2076" i="2"/>
  <c r="E2093" i="2"/>
  <c r="E2109" i="2"/>
  <c r="E2124" i="2"/>
  <c r="F2124" i="2" s="1"/>
  <c r="E2141" i="2"/>
  <c r="E2157" i="2"/>
  <c r="E2172" i="2"/>
  <c r="F2172" i="2" s="1"/>
  <c r="E2189" i="2"/>
  <c r="E2205" i="2"/>
  <c r="E2220" i="2"/>
  <c r="F2220" i="2" s="1"/>
  <c r="E2234" i="2"/>
  <c r="E2247" i="2"/>
  <c r="E2261" i="2"/>
  <c r="E2274" i="2"/>
  <c r="E2287" i="2"/>
  <c r="E2300" i="2"/>
  <c r="E2313" i="2"/>
  <c r="D227" i="2"/>
  <c r="D240" i="2"/>
  <c r="D253" i="2"/>
  <c r="D266" i="2"/>
  <c r="D279" i="2"/>
  <c r="D292" i="2"/>
  <c r="D306" i="2"/>
  <c r="D319" i="2"/>
  <c r="D332" i="2"/>
  <c r="D345" i="2"/>
  <c r="D358" i="2"/>
  <c r="D371" i="2"/>
  <c r="D384" i="2"/>
  <c r="D397" i="2"/>
  <c r="D410" i="2"/>
  <c r="D423" i="2"/>
  <c r="D436" i="2"/>
  <c r="D450" i="2"/>
  <c r="D463" i="2"/>
  <c r="D476" i="2"/>
  <c r="D489" i="2"/>
  <c r="D502" i="2"/>
  <c r="D515" i="2"/>
  <c r="D528" i="2"/>
  <c r="D541" i="2"/>
  <c r="D554" i="2"/>
  <c r="D566" i="2"/>
  <c r="D578" i="2"/>
  <c r="D590" i="2"/>
  <c r="D602" i="2"/>
  <c r="D614" i="2"/>
  <c r="D626" i="2"/>
  <c r="D638" i="2"/>
  <c r="D650" i="2"/>
  <c r="D662" i="2"/>
  <c r="D674" i="2"/>
  <c r="D686" i="2"/>
  <c r="D698" i="2"/>
  <c r="D710" i="2"/>
  <c r="D722" i="2"/>
  <c r="D734" i="2"/>
  <c r="D746" i="2"/>
  <c r="D758" i="2"/>
  <c r="D770" i="2"/>
  <c r="D782" i="2"/>
  <c r="D794" i="2"/>
  <c r="D806" i="2"/>
  <c r="D818" i="2"/>
  <c r="D830" i="2"/>
  <c r="D842" i="2"/>
  <c r="D854" i="2"/>
  <c r="D866" i="2"/>
  <c r="D878" i="2"/>
  <c r="D890" i="2"/>
  <c r="D902" i="2"/>
  <c r="D914" i="2"/>
  <c r="D926" i="2"/>
  <c r="D938" i="2"/>
  <c r="D950" i="2"/>
  <c r="D962" i="2"/>
  <c r="D974" i="2"/>
  <c r="D986" i="2"/>
  <c r="D998" i="2"/>
  <c r="D1010" i="2"/>
  <c r="D1022" i="2"/>
  <c r="D1034" i="2"/>
  <c r="D1046" i="2"/>
  <c r="D1058" i="2"/>
  <c r="D1070" i="2"/>
  <c r="D1082" i="2"/>
  <c r="D1094" i="2"/>
  <c r="D1106" i="2"/>
  <c r="D1118" i="2"/>
  <c r="D1130" i="2"/>
  <c r="D1142" i="2"/>
  <c r="D1154" i="2"/>
  <c r="D1166" i="2"/>
  <c r="D1178" i="2"/>
  <c r="D1190" i="2"/>
  <c r="D1202" i="2"/>
  <c r="D1214" i="2"/>
  <c r="D1226" i="2"/>
  <c r="D1238" i="2"/>
  <c r="D1250" i="2"/>
  <c r="D1262" i="2"/>
  <c r="D1274" i="2"/>
  <c r="D1286" i="2"/>
  <c r="D1298" i="2"/>
  <c r="D1310" i="2"/>
  <c r="D1322" i="2"/>
  <c r="D1334" i="2"/>
  <c r="D1346" i="2"/>
  <c r="D1358" i="2"/>
  <c r="D1370" i="2"/>
  <c r="D1382" i="2"/>
  <c r="D1394" i="2"/>
  <c r="D1406" i="2"/>
  <c r="D1418" i="2"/>
  <c r="D1430" i="2"/>
  <c r="D1442" i="2"/>
  <c r="D1454" i="2"/>
  <c r="D1466" i="2"/>
  <c r="D1478" i="2"/>
  <c r="D1490" i="2"/>
  <c r="D1502" i="2"/>
  <c r="D1514" i="2"/>
  <c r="D1526" i="2"/>
  <c r="D1538" i="2"/>
  <c r="D1550" i="2"/>
  <c r="D1562" i="2"/>
  <c r="D1574" i="2"/>
  <c r="D1586" i="2"/>
  <c r="D1598" i="2"/>
  <c r="D1610" i="2"/>
  <c r="D1622" i="2"/>
  <c r="D1634" i="2"/>
  <c r="D1646" i="2"/>
  <c r="D1658" i="2"/>
  <c r="D1670" i="2"/>
  <c r="D1682" i="2"/>
  <c r="D1694" i="2"/>
  <c r="D1706" i="2"/>
  <c r="D1718" i="2"/>
  <c r="D1730" i="2"/>
  <c r="D1742" i="2"/>
  <c r="D1754" i="2"/>
  <c r="D1766" i="2"/>
  <c r="D1778" i="2"/>
  <c r="D1790" i="2"/>
  <c r="D1802" i="2"/>
  <c r="D1814" i="2"/>
  <c r="D1826" i="2"/>
  <c r="D1838" i="2"/>
  <c r="D1850" i="2"/>
  <c r="D1862" i="2"/>
  <c r="D1874" i="2"/>
  <c r="D1886" i="2"/>
  <c r="D1898" i="2"/>
  <c r="D1910" i="2"/>
  <c r="D1922" i="2"/>
  <c r="D1934" i="2"/>
  <c r="D1946" i="2"/>
  <c r="D1958" i="2"/>
  <c r="D1970" i="2"/>
  <c r="D1982" i="2"/>
  <c r="D1994" i="2"/>
  <c r="D2006" i="2"/>
  <c r="D2018" i="2"/>
  <c r="D2030" i="2"/>
  <c r="D2042" i="2"/>
  <c r="D2054" i="2"/>
  <c r="D2066" i="2"/>
  <c r="D2078" i="2"/>
  <c r="D2090" i="2"/>
  <c r="D2102" i="2"/>
  <c r="D2114" i="2"/>
  <c r="D2126" i="2"/>
  <c r="D2138" i="2"/>
  <c r="D2150" i="2"/>
  <c r="D2162" i="2"/>
  <c r="D2174" i="2"/>
  <c r="D2186" i="2"/>
  <c r="D2198" i="2"/>
  <c r="D2210" i="2"/>
  <c r="D2222" i="2"/>
  <c r="D2234" i="2"/>
  <c r="D2246" i="2"/>
  <c r="D2258" i="2"/>
  <c r="D2270" i="2"/>
  <c r="D2282" i="2"/>
  <c r="D2294" i="2"/>
  <c r="D2306" i="2"/>
  <c r="D2318" i="2"/>
  <c r="D13" i="2"/>
  <c r="D25" i="2"/>
  <c r="D37" i="2"/>
  <c r="D49" i="2"/>
  <c r="D61" i="2"/>
  <c r="D73" i="2"/>
  <c r="D85" i="2"/>
  <c r="D97" i="2"/>
  <c r="D109" i="2"/>
  <c r="D121" i="2"/>
  <c r="D133" i="2"/>
  <c r="D145" i="2"/>
  <c r="D157" i="2"/>
  <c r="D169" i="2"/>
  <c r="D181" i="2"/>
  <c r="D193" i="2"/>
  <c r="D205" i="2"/>
  <c r="D217" i="2"/>
  <c r="E248" i="2"/>
  <c r="E300" i="2"/>
  <c r="E342" i="2"/>
  <c r="F342" i="2" s="1"/>
  <c r="E378" i="2"/>
  <c r="E423" i="2"/>
  <c r="F423" i="2" s="1"/>
  <c r="E464" i="2"/>
  <c r="E505" i="2"/>
  <c r="E544" i="2"/>
  <c r="E588" i="2"/>
  <c r="F588" i="2" s="1"/>
  <c r="E629" i="2"/>
  <c r="E673" i="2"/>
  <c r="E704" i="2"/>
  <c r="E731" i="2"/>
  <c r="F731" i="2" s="1"/>
  <c r="E765" i="2"/>
  <c r="E797" i="2"/>
  <c r="E825" i="2"/>
  <c r="E857" i="2"/>
  <c r="E888" i="2"/>
  <c r="E918" i="2"/>
  <c r="E953" i="2"/>
  <c r="E982" i="2"/>
  <c r="E1009" i="2"/>
  <c r="E1044" i="2"/>
  <c r="F1044" i="2" s="1"/>
  <c r="E1075" i="2"/>
  <c r="E1105" i="2"/>
  <c r="E1136" i="2"/>
  <c r="E1166" i="2"/>
  <c r="F1166" i="2" s="1"/>
  <c r="E1197" i="2"/>
  <c r="E1227" i="2"/>
  <c r="E1256" i="2"/>
  <c r="E1281" i="2"/>
  <c r="E1311" i="2"/>
  <c r="E1341" i="2"/>
  <c r="E1368" i="2"/>
  <c r="F1368" i="2" s="1"/>
  <c r="E1395" i="2"/>
  <c r="E1425" i="2"/>
  <c r="E1453" i="2"/>
  <c r="E1484" i="2"/>
  <c r="E1512" i="2"/>
  <c r="F1512" i="2" s="1"/>
  <c r="E1537" i="2"/>
  <c r="E1568" i="2"/>
  <c r="E1597" i="2"/>
  <c r="E1623" i="2"/>
  <c r="E1652" i="2"/>
  <c r="E1677" i="2"/>
  <c r="E1700" i="2"/>
  <c r="E1724" i="2"/>
  <c r="E1745" i="2"/>
  <c r="E1764" i="2"/>
  <c r="F1764" i="2" s="1"/>
  <c r="E1787" i="2"/>
  <c r="F1787" i="2" s="1"/>
  <c r="E1809" i="2"/>
  <c r="E1829" i="2"/>
  <c r="E1850" i="2"/>
  <c r="E1872" i="2"/>
  <c r="F1872" i="2" s="1"/>
  <c r="E1893" i="2"/>
  <c r="E1916" i="2"/>
  <c r="E1937" i="2"/>
  <c r="E1956" i="2"/>
  <c r="F1956" i="2" s="1"/>
  <c r="E1979" i="2"/>
  <c r="F1979" i="2" s="1"/>
  <c r="E2001" i="2"/>
  <c r="E2021" i="2"/>
  <c r="E2042" i="2"/>
  <c r="F2042" i="2" s="1"/>
  <c r="E2064" i="2"/>
  <c r="F2064" i="2" s="1"/>
  <c r="E2085" i="2"/>
  <c r="E2108" i="2"/>
  <c r="E2129" i="2"/>
  <c r="E2148" i="2"/>
  <c r="F2148" i="2" s="1"/>
  <c r="E2171" i="2"/>
  <c r="F2171" i="2" s="1"/>
  <c r="E2193" i="2"/>
  <c r="E2213" i="2"/>
  <c r="E2233" i="2"/>
  <c r="E2251" i="2"/>
  <c r="E2267" i="2"/>
  <c r="F2267" i="2" s="1"/>
  <c r="E2286" i="2"/>
  <c r="E2303" i="2"/>
  <c r="F2303" i="2" s="1"/>
  <c r="E2319" i="2"/>
  <c r="D239" i="2"/>
  <c r="D256" i="2"/>
  <c r="D273" i="2"/>
  <c r="D291" i="2"/>
  <c r="D309" i="2"/>
  <c r="D325" i="2"/>
  <c r="D344" i="2"/>
  <c r="D361" i="2"/>
  <c r="D378" i="2"/>
  <c r="D396" i="2"/>
  <c r="D414" i="2"/>
  <c r="D430" i="2"/>
  <c r="D448" i="2"/>
  <c r="D466" i="2"/>
  <c r="D482" i="2"/>
  <c r="D501" i="2"/>
  <c r="D518" i="2"/>
  <c r="D535" i="2"/>
  <c r="D553" i="2"/>
  <c r="D569" i="2"/>
  <c r="D584" i="2"/>
  <c r="D601" i="2"/>
  <c r="D617" i="2"/>
  <c r="D632" i="2"/>
  <c r="D649" i="2"/>
  <c r="D665" i="2"/>
  <c r="D680" i="2"/>
  <c r="D697" i="2"/>
  <c r="D713" i="2"/>
  <c r="D728" i="2"/>
  <c r="D745" i="2"/>
  <c r="D761" i="2"/>
  <c r="D776" i="2"/>
  <c r="D793" i="2"/>
  <c r="D809" i="2"/>
  <c r="D824" i="2"/>
  <c r="D841" i="2"/>
  <c r="D857" i="2"/>
  <c r="D872" i="2"/>
  <c r="D889" i="2"/>
  <c r="D905" i="2"/>
  <c r="D920" i="2"/>
  <c r="D937" i="2"/>
  <c r="D953" i="2"/>
  <c r="D968" i="2"/>
  <c r="D985" i="2"/>
  <c r="D1001" i="2"/>
  <c r="D1016" i="2"/>
  <c r="D1033" i="2"/>
  <c r="D1049" i="2"/>
  <c r="D1064" i="2"/>
  <c r="D1081" i="2"/>
  <c r="D1097" i="2"/>
  <c r="D1112" i="2"/>
  <c r="D1129" i="2"/>
  <c r="D1145" i="2"/>
  <c r="D1160" i="2"/>
  <c r="D1177" i="2"/>
  <c r="D1193" i="2"/>
  <c r="D1208" i="2"/>
  <c r="D1225" i="2"/>
  <c r="D1241" i="2"/>
  <c r="D1256" i="2"/>
  <c r="D1273" i="2"/>
  <c r="D1289" i="2"/>
  <c r="D1304" i="2"/>
  <c r="D1321" i="2"/>
  <c r="D1337" i="2"/>
  <c r="D1352" i="2"/>
  <c r="D1369" i="2"/>
  <c r="D1385" i="2"/>
  <c r="D1400" i="2"/>
  <c r="D1417" i="2"/>
  <c r="D1433" i="2"/>
  <c r="D1448" i="2"/>
  <c r="D1465" i="2"/>
  <c r="D1481" i="2"/>
  <c r="D1496" i="2"/>
  <c r="D1513" i="2"/>
  <c r="D1529" i="2"/>
  <c r="D1544" i="2"/>
  <c r="D1561" i="2"/>
  <c r="D1577" i="2"/>
  <c r="D1592" i="2"/>
  <c r="D1609" i="2"/>
  <c r="D1625" i="2"/>
  <c r="D1640" i="2"/>
  <c r="D1657" i="2"/>
  <c r="D1673" i="2"/>
  <c r="D1688" i="2"/>
  <c r="D1705" i="2"/>
  <c r="D1721" i="2"/>
  <c r="D1736" i="2"/>
  <c r="D1753" i="2"/>
  <c r="D1769" i="2"/>
  <c r="D1784" i="2"/>
  <c r="D1801" i="2"/>
  <c r="D1817" i="2"/>
  <c r="D1832" i="2"/>
  <c r="D1849" i="2"/>
  <c r="D1865" i="2"/>
  <c r="D1880" i="2"/>
  <c r="D1897" i="2"/>
  <c r="D1913" i="2"/>
  <c r="D1928" i="2"/>
  <c r="D1945" i="2"/>
  <c r="D1961" i="2"/>
  <c r="D1976" i="2"/>
  <c r="D1993" i="2"/>
  <c r="D2009" i="2"/>
  <c r="D2024" i="2"/>
  <c r="D2041" i="2"/>
  <c r="D2057" i="2"/>
  <c r="D2072" i="2"/>
  <c r="D2089" i="2"/>
  <c r="D2105" i="2"/>
  <c r="D2120" i="2"/>
  <c r="D2137" i="2"/>
  <c r="D2153" i="2"/>
  <c r="D2168" i="2"/>
  <c r="D2185" i="2"/>
  <c r="D2201" i="2"/>
  <c r="D2216" i="2"/>
  <c r="D2233" i="2"/>
  <c r="D2249" i="2"/>
  <c r="D2264" i="2"/>
  <c r="D2281" i="2"/>
  <c r="D2297" i="2"/>
  <c r="D2312" i="2"/>
  <c r="D12" i="2"/>
  <c r="D28" i="2"/>
  <c r="D43" i="2"/>
  <c r="D60" i="2"/>
  <c r="D76" i="2"/>
  <c r="D91" i="2"/>
  <c r="D108" i="2"/>
  <c r="D124" i="2"/>
  <c r="D139" i="2"/>
  <c r="D156" i="2"/>
  <c r="D172" i="2"/>
  <c r="D187" i="2"/>
  <c r="D204" i="2"/>
  <c r="D220" i="2"/>
  <c r="E252" i="2"/>
  <c r="E303" i="2"/>
  <c r="F303" i="2" s="1"/>
  <c r="E344" i="2"/>
  <c r="E379" i="2"/>
  <c r="E425" i="2"/>
  <c r="F425" i="2" s="1"/>
  <c r="E467" i="2"/>
  <c r="E508" i="2"/>
  <c r="E555" i="2"/>
  <c r="E589" i="2"/>
  <c r="E630" i="2"/>
  <c r="E676" i="2"/>
  <c r="E706" i="2"/>
  <c r="E732" i="2"/>
  <c r="F732" i="2" s="1"/>
  <c r="E767" i="2"/>
  <c r="F767" i="2" s="1"/>
  <c r="E798" i="2"/>
  <c r="E827" i="2"/>
  <c r="F827" i="2" s="1"/>
  <c r="E863" i="2"/>
  <c r="F863" i="2" s="1"/>
  <c r="E889" i="2"/>
  <c r="E919" i="2"/>
  <c r="E955" i="2"/>
  <c r="E984" i="2"/>
  <c r="E1010" i="2"/>
  <c r="F1010" i="2" s="1"/>
  <c r="E1046" i="2"/>
  <c r="F1046" i="2" s="1"/>
  <c r="E1076" i="2"/>
  <c r="E1108" i="2"/>
  <c r="E1141" i="2"/>
  <c r="E1168" i="2"/>
  <c r="E1198" i="2"/>
  <c r="E1229" i="2"/>
  <c r="E1258" i="2"/>
  <c r="E1282" i="2"/>
  <c r="E1313" i="2"/>
  <c r="E1342" i="2"/>
  <c r="E1370" i="2"/>
  <c r="E1402" i="2"/>
  <c r="E1426" i="2"/>
  <c r="E1454" i="2"/>
  <c r="F1454" i="2" s="1"/>
  <c r="E1486" i="2"/>
  <c r="E1514" i="2"/>
  <c r="E1538" i="2"/>
  <c r="F1538" i="2" s="1"/>
  <c r="E1570" i="2"/>
  <c r="E1598" i="2"/>
  <c r="F1598" i="2" s="1"/>
  <c r="E1625" i="2"/>
  <c r="E1658" i="2"/>
  <c r="F1658" i="2" s="1"/>
  <c r="E1678" i="2"/>
  <c r="E1701" i="2"/>
  <c r="E1726" i="2"/>
  <c r="E1747" i="2"/>
  <c r="E1765" i="2"/>
  <c r="E1789" i="2"/>
  <c r="E1810" i="2"/>
  <c r="E1831" i="2"/>
  <c r="E1855" i="2"/>
  <c r="E1873" i="2"/>
  <c r="E1894" i="2"/>
  <c r="E1918" i="2"/>
  <c r="E1939" i="2"/>
  <c r="E1957" i="2"/>
  <c r="E1981" i="2"/>
  <c r="E2002" i="2"/>
  <c r="E2023" i="2"/>
  <c r="E2047" i="2"/>
  <c r="E2065" i="2"/>
  <c r="E2086" i="2"/>
  <c r="E2110" i="2"/>
  <c r="E2131" i="2"/>
  <c r="E2149" i="2"/>
  <c r="E2173" i="2"/>
  <c r="E2194" i="2"/>
  <c r="E2215" i="2"/>
  <c r="E2235" i="2"/>
  <c r="E2252" i="2"/>
  <c r="E2268" i="2"/>
  <c r="F2268" i="2" s="1"/>
  <c r="E2288" i="2"/>
  <c r="E2304" i="2"/>
  <c r="F2304" i="2" s="1"/>
  <c r="D222" i="2"/>
  <c r="D241" i="2"/>
  <c r="D258" i="2"/>
  <c r="D274" i="2"/>
  <c r="D294" i="2"/>
  <c r="D310" i="2"/>
  <c r="D326" i="2"/>
  <c r="D346" i="2"/>
  <c r="D362" i="2"/>
  <c r="D379" i="2"/>
  <c r="D398" i="2"/>
  <c r="D415" i="2"/>
  <c r="D431" i="2"/>
  <c r="D451" i="2"/>
  <c r="D467" i="2"/>
  <c r="D483" i="2"/>
  <c r="D503" i="2"/>
  <c r="D519" i="2"/>
  <c r="D536" i="2"/>
  <c r="D555" i="2"/>
  <c r="D570" i="2"/>
  <c r="D585" i="2"/>
  <c r="D603" i="2"/>
  <c r="D618" i="2"/>
  <c r="D633" i="2"/>
  <c r="D651" i="2"/>
  <c r="D666" i="2"/>
  <c r="D681" i="2"/>
  <c r="D699" i="2"/>
  <c r="D714" i="2"/>
  <c r="D729" i="2"/>
  <c r="D747" i="2"/>
  <c r="D762" i="2"/>
  <c r="D777" i="2"/>
  <c r="D795" i="2"/>
  <c r="D810" i="2"/>
  <c r="D825" i="2"/>
  <c r="D843" i="2"/>
  <c r="D858" i="2"/>
  <c r="D873" i="2"/>
  <c r="D891" i="2"/>
  <c r="D906" i="2"/>
  <c r="D921" i="2"/>
  <c r="D939" i="2"/>
  <c r="D954" i="2"/>
  <c r="D969" i="2"/>
  <c r="D987" i="2"/>
  <c r="D1002" i="2"/>
  <c r="D1017" i="2"/>
  <c r="D1035" i="2"/>
  <c r="D1050" i="2"/>
  <c r="D1065" i="2"/>
  <c r="D1083" i="2"/>
  <c r="D1098" i="2"/>
  <c r="D1113" i="2"/>
  <c r="D1131" i="2"/>
  <c r="D1146" i="2"/>
  <c r="D1161" i="2"/>
  <c r="D1179" i="2"/>
  <c r="D1194" i="2"/>
  <c r="D1209" i="2"/>
  <c r="D1227" i="2"/>
  <c r="D1242" i="2"/>
  <c r="D1257" i="2"/>
  <c r="D1275" i="2"/>
  <c r="D1290" i="2"/>
  <c r="D1305" i="2"/>
  <c r="D1323" i="2"/>
  <c r="D1338" i="2"/>
  <c r="D1353" i="2"/>
  <c r="D1371" i="2"/>
  <c r="D1386" i="2"/>
  <c r="D1401" i="2"/>
  <c r="D1419" i="2"/>
  <c r="D1434" i="2"/>
  <c r="D1449" i="2"/>
  <c r="D1467" i="2"/>
  <c r="D1482" i="2"/>
  <c r="D1497" i="2"/>
  <c r="D1515" i="2"/>
  <c r="D1530" i="2"/>
  <c r="D1545" i="2"/>
  <c r="D1563" i="2"/>
  <c r="D1578" i="2"/>
  <c r="D1593" i="2"/>
  <c r="D1611" i="2"/>
  <c r="D1626" i="2"/>
  <c r="D1641" i="2"/>
  <c r="D1659" i="2"/>
  <c r="D1674" i="2"/>
  <c r="D1689" i="2"/>
  <c r="D1707" i="2"/>
  <c r="D1722" i="2"/>
  <c r="D1737" i="2"/>
  <c r="D1755" i="2"/>
  <c r="D1770" i="2"/>
  <c r="D1785" i="2"/>
  <c r="D1803" i="2"/>
  <c r="D1818" i="2"/>
  <c r="D1833" i="2"/>
  <c r="D1851" i="2"/>
  <c r="D1866" i="2"/>
  <c r="D1881" i="2"/>
  <c r="D1899" i="2"/>
  <c r="D1914" i="2"/>
  <c r="D1929" i="2"/>
  <c r="D1947" i="2"/>
  <c r="D1962" i="2"/>
  <c r="D1977" i="2"/>
  <c r="D1995" i="2"/>
  <c r="D2010" i="2"/>
  <c r="D2025" i="2"/>
  <c r="D2043" i="2"/>
  <c r="D2058" i="2"/>
  <c r="D2073" i="2"/>
  <c r="D2091" i="2"/>
  <c r="D2106" i="2"/>
  <c r="D2121" i="2"/>
  <c r="D2139" i="2"/>
  <c r="D2154" i="2"/>
  <c r="D2169" i="2"/>
  <c r="D2187" i="2"/>
  <c r="D2202" i="2"/>
  <c r="D2217" i="2"/>
  <c r="D2235" i="2"/>
  <c r="D2250" i="2"/>
  <c r="D2265" i="2"/>
  <c r="D2283" i="2"/>
  <c r="D2298" i="2"/>
  <c r="D2313" i="2"/>
  <c r="D14" i="2"/>
  <c r="D29" i="2"/>
  <c r="D44" i="2"/>
  <c r="D62" i="2"/>
  <c r="D77" i="2"/>
  <c r="D92" i="2"/>
  <c r="D110" i="2"/>
  <c r="D125" i="2"/>
  <c r="D140" i="2"/>
  <c r="D158" i="2"/>
  <c r="D173" i="2"/>
  <c r="D188" i="2"/>
  <c r="D206" i="2"/>
  <c r="E255" i="2"/>
  <c r="E306" i="2"/>
  <c r="F306" i="2" s="1"/>
  <c r="E348" i="2"/>
  <c r="E383" i="2"/>
  <c r="E428" i="2"/>
  <c r="E471" i="2"/>
  <c r="E509" i="2"/>
  <c r="F509" i="2" s="1"/>
  <c r="E557" i="2"/>
  <c r="E592" i="2"/>
  <c r="E631" i="2"/>
  <c r="E678" i="2"/>
  <c r="E707" i="2"/>
  <c r="F707" i="2" s="1"/>
  <c r="E733" i="2"/>
  <c r="E769" i="2"/>
  <c r="E799" i="2"/>
  <c r="E830" i="2"/>
  <c r="F830" i="2" s="1"/>
  <c r="E864" i="2"/>
  <c r="F864" i="2" s="1"/>
  <c r="E890" i="2"/>
  <c r="F890" i="2" s="1"/>
  <c r="E922" i="2"/>
  <c r="E956" i="2"/>
  <c r="E988" i="2"/>
  <c r="E1014" i="2"/>
  <c r="E1048" i="2"/>
  <c r="E1079" i="2"/>
  <c r="E1110" i="2"/>
  <c r="E1145" i="2"/>
  <c r="F1145" i="2" s="1"/>
  <c r="E1171" i="2"/>
  <c r="E1200" i="2"/>
  <c r="F1200" i="2" s="1"/>
  <c r="E1232" i="2"/>
  <c r="E1260" i="2"/>
  <c r="F1260" i="2" s="1"/>
  <c r="E1284" i="2"/>
  <c r="F1284" i="2" s="1"/>
  <c r="E1316" i="2"/>
  <c r="E1344" i="2"/>
  <c r="F1344" i="2" s="1"/>
  <c r="E1371" i="2"/>
  <c r="E1404" i="2"/>
  <c r="F1404" i="2" s="1"/>
  <c r="E1428" i="2"/>
  <c r="F1428" i="2" s="1"/>
  <c r="E1455" i="2"/>
  <c r="E1488" i="2"/>
  <c r="F1488" i="2" s="1"/>
  <c r="E1515" i="2"/>
  <c r="E1539" i="2"/>
  <c r="E1572" i="2"/>
  <c r="F1572" i="2" s="1"/>
  <c r="E1599" i="2"/>
  <c r="E1628" i="2"/>
  <c r="E1659" i="2"/>
  <c r="E1679" i="2"/>
  <c r="F1679" i="2" s="1"/>
  <c r="E1702" i="2"/>
  <c r="E1727" i="2"/>
  <c r="F1727" i="2" s="1"/>
  <c r="E1748" i="2"/>
  <c r="E1766" i="2"/>
  <c r="F1766" i="2" s="1"/>
  <c r="E1790" i="2"/>
  <c r="F1790" i="2" s="1"/>
  <c r="E1811" i="2"/>
  <c r="F1811" i="2" s="1"/>
  <c r="E1832" i="2"/>
  <c r="F1832" i="2" s="1"/>
  <c r="E1856" i="2"/>
  <c r="E1874" i="2"/>
  <c r="F1874" i="2" s="1"/>
  <c r="E1895" i="2"/>
  <c r="E1919" i="2"/>
  <c r="F1919" i="2" s="1"/>
  <c r="E1940" i="2"/>
  <c r="E1958" i="2"/>
  <c r="F1958" i="2" s="1"/>
  <c r="E1982" i="2"/>
  <c r="F1982" i="2" s="1"/>
  <c r="E277" i="2"/>
  <c r="F277" i="2" s="1"/>
  <c r="E313" i="2"/>
  <c r="E352" i="2"/>
  <c r="E400" i="2"/>
  <c r="E439" i="2"/>
  <c r="E474" i="2"/>
  <c r="F474" i="2" s="1"/>
  <c r="E522" i="2"/>
  <c r="E560" i="2"/>
  <c r="E604" i="2"/>
  <c r="E649" i="2"/>
  <c r="F649" i="2" s="1"/>
  <c r="E681" i="2"/>
  <c r="F681" i="2" s="1"/>
  <c r="E713" i="2"/>
  <c r="F713" i="2" s="1"/>
  <c r="E746" i="2"/>
  <c r="F746" i="2" s="1"/>
  <c r="E778" i="2"/>
  <c r="E804" i="2"/>
  <c r="F804" i="2" s="1"/>
  <c r="E838" i="2"/>
  <c r="E870" i="2"/>
  <c r="E900" i="2"/>
  <c r="F900" i="2" s="1"/>
  <c r="E935" i="2"/>
  <c r="E961" i="2"/>
  <c r="E992" i="2"/>
  <c r="E1027" i="2"/>
  <c r="E1057" i="2"/>
  <c r="E1084" i="2"/>
  <c r="E1118" i="2"/>
  <c r="F1118" i="2" s="1"/>
  <c r="E1149" i="2"/>
  <c r="E1178" i="2"/>
  <c r="F1178" i="2" s="1"/>
  <c r="E1212" i="2"/>
  <c r="F1212" i="2" s="1"/>
  <c r="E1236" i="2"/>
  <c r="F1236" i="2" s="1"/>
  <c r="E1263" i="2"/>
  <c r="E1296" i="2"/>
  <c r="F1296" i="2" s="1"/>
  <c r="E1323" i="2"/>
  <c r="F1323" i="2" s="1"/>
  <c r="E1347" i="2"/>
  <c r="E1380" i="2"/>
  <c r="F1380" i="2" s="1"/>
  <c r="E1407" i="2"/>
  <c r="E1436" i="2"/>
  <c r="E1467" i="2"/>
  <c r="E1491" i="2"/>
  <c r="E1520" i="2"/>
  <c r="E1551" i="2"/>
  <c r="E1580" i="2"/>
  <c r="E1604" i="2"/>
  <c r="E1635" i="2"/>
  <c r="E1662" i="2"/>
  <c r="E1685" i="2"/>
  <c r="E1712" i="2"/>
  <c r="E1730" i="2"/>
  <c r="F1730" i="2" s="1"/>
  <c r="E1751" i="2"/>
  <c r="F1751" i="2" s="1"/>
  <c r="E1775" i="2"/>
  <c r="F1775" i="2" s="1"/>
  <c r="E1796" i="2"/>
  <c r="E1814" i="2"/>
  <c r="F1814" i="2" s="1"/>
  <c r="E1838" i="2"/>
  <c r="F1838" i="2" s="1"/>
  <c r="E1859" i="2"/>
  <c r="F1859" i="2" s="1"/>
  <c r="E1880" i="2"/>
  <c r="F1880" i="2" s="1"/>
  <c r="E1904" i="2"/>
  <c r="E1922" i="2"/>
  <c r="F1922" i="2" s="1"/>
  <c r="E1943" i="2"/>
  <c r="E1967" i="2"/>
  <c r="F1967" i="2" s="1"/>
  <c r="E1988" i="2"/>
  <c r="E2006" i="2"/>
  <c r="F2006" i="2" s="1"/>
  <c r="E2030" i="2"/>
  <c r="F2030" i="2" s="1"/>
  <c r="E2051" i="2"/>
  <c r="F2051" i="2" s="1"/>
  <c r="E2072" i="2"/>
  <c r="F2072" i="2" s="1"/>
  <c r="E2096" i="2"/>
  <c r="E2114" i="2"/>
  <c r="F2114" i="2" s="1"/>
  <c r="E2135" i="2"/>
  <c r="F2135" i="2" s="1"/>
  <c r="E2159" i="2"/>
  <c r="F2159" i="2" s="1"/>
  <c r="E2180" i="2"/>
  <c r="E2198" i="2"/>
  <c r="F2198" i="2" s="1"/>
  <c r="E2222" i="2"/>
  <c r="F2222" i="2" s="1"/>
  <c r="E2240" i="2"/>
  <c r="E2256" i="2"/>
  <c r="F2256" i="2" s="1"/>
  <c r="E2276" i="2"/>
  <c r="E2292" i="2"/>
  <c r="F2292" i="2" s="1"/>
  <c r="E2309" i="2"/>
  <c r="D229" i="2"/>
  <c r="D246" i="2"/>
  <c r="D262" i="2"/>
  <c r="D282" i="2"/>
  <c r="D298" i="2"/>
  <c r="D314" i="2"/>
  <c r="D334" i="2"/>
  <c r="D350" i="2"/>
  <c r="D367" i="2"/>
  <c r="D386" i="2"/>
  <c r="D403" i="2"/>
  <c r="D419" i="2"/>
  <c r="D439" i="2"/>
  <c r="D455" i="2"/>
  <c r="D471" i="2"/>
  <c r="D491" i="2"/>
  <c r="D507" i="2"/>
  <c r="D524" i="2"/>
  <c r="D543" i="2"/>
  <c r="D559" i="2"/>
  <c r="D574" i="2"/>
  <c r="D592" i="2"/>
  <c r="D607" i="2"/>
  <c r="D622" i="2"/>
  <c r="D640" i="2"/>
  <c r="D655" i="2"/>
  <c r="D670" i="2"/>
  <c r="D688" i="2"/>
  <c r="D703" i="2"/>
  <c r="D718" i="2"/>
  <c r="D736" i="2"/>
  <c r="D751" i="2"/>
  <c r="D766" i="2"/>
  <c r="D784" i="2"/>
  <c r="D799" i="2"/>
  <c r="D814" i="2"/>
  <c r="D832" i="2"/>
  <c r="D847" i="2"/>
  <c r="D862" i="2"/>
  <c r="D880" i="2"/>
  <c r="D895" i="2"/>
  <c r="D910" i="2"/>
  <c r="D928" i="2"/>
  <c r="D943" i="2"/>
  <c r="D958" i="2"/>
  <c r="D976" i="2"/>
  <c r="D991" i="2"/>
  <c r="D1006" i="2"/>
  <c r="D1024" i="2"/>
  <c r="D1039" i="2"/>
  <c r="D1054" i="2"/>
  <c r="D1072" i="2"/>
  <c r="D1087" i="2"/>
  <c r="D1102" i="2"/>
  <c r="D1120" i="2"/>
  <c r="D1135" i="2"/>
  <c r="D1150" i="2"/>
  <c r="D1168" i="2"/>
  <c r="D1183" i="2"/>
  <c r="D1198" i="2"/>
  <c r="D1216" i="2"/>
  <c r="D1231" i="2"/>
  <c r="D1246" i="2"/>
  <c r="D1264" i="2"/>
  <c r="D1279" i="2"/>
  <c r="D1294" i="2"/>
  <c r="D1312" i="2"/>
  <c r="D1327" i="2"/>
  <c r="D1342" i="2"/>
  <c r="D1360" i="2"/>
  <c r="D1375" i="2"/>
  <c r="D1390" i="2"/>
  <c r="D1408" i="2"/>
  <c r="D1423" i="2"/>
  <c r="D1438" i="2"/>
  <c r="D1456" i="2"/>
  <c r="D1471" i="2"/>
  <c r="D1486" i="2"/>
  <c r="D1504" i="2"/>
  <c r="D1519" i="2"/>
  <c r="D1534" i="2"/>
  <c r="D1552" i="2"/>
  <c r="D1567" i="2"/>
  <c r="D1582" i="2"/>
  <c r="D1600" i="2"/>
  <c r="D1615" i="2"/>
  <c r="D1630" i="2"/>
  <c r="D1648" i="2"/>
  <c r="D1663" i="2"/>
  <c r="D1678" i="2"/>
  <c r="D1696" i="2"/>
  <c r="D1711" i="2"/>
  <c r="D1726" i="2"/>
  <c r="D1744" i="2"/>
  <c r="D1759" i="2"/>
  <c r="D1774" i="2"/>
  <c r="D1792" i="2"/>
  <c r="D1807" i="2"/>
  <c r="D1822" i="2"/>
  <c r="D1840" i="2"/>
  <c r="D1855" i="2"/>
  <c r="D1870" i="2"/>
  <c r="D1888" i="2"/>
  <c r="D1903" i="2"/>
  <c r="D1918" i="2"/>
  <c r="D1936" i="2"/>
  <c r="D1951" i="2"/>
  <c r="D1966" i="2"/>
  <c r="D1984" i="2"/>
  <c r="D1999" i="2"/>
  <c r="D2014" i="2"/>
  <c r="D2032" i="2"/>
  <c r="D2047" i="2"/>
  <c r="D2062" i="2"/>
  <c r="D2080" i="2"/>
  <c r="D2095" i="2"/>
  <c r="D2110" i="2"/>
  <c r="D2128" i="2"/>
  <c r="D2143" i="2"/>
  <c r="D2158" i="2"/>
  <c r="D2176" i="2"/>
  <c r="D2191" i="2"/>
  <c r="D2206" i="2"/>
  <c r="D2224" i="2"/>
  <c r="D2239" i="2"/>
  <c r="D2254" i="2"/>
  <c r="D2272" i="2"/>
  <c r="D2287" i="2"/>
  <c r="D2302" i="2"/>
  <c r="D3" i="2"/>
  <c r="D18" i="2"/>
  <c r="D33" i="2"/>
  <c r="D51" i="2"/>
  <c r="D66" i="2"/>
  <c r="D81" i="2"/>
  <c r="D99" i="2"/>
  <c r="D114" i="2"/>
  <c r="D129" i="2"/>
  <c r="D147" i="2"/>
  <c r="D162" i="2"/>
  <c r="D177" i="2"/>
  <c r="D195" i="2"/>
  <c r="D210" i="2"/>
  <c r="E243" i="2"/>
  <c r="E317" i="2"/>
  <c r="F317" i="2" s="1"/>
  <c r="E373" i="2"/>
  <c r="E440" i="2"/>
  <c r="E495" i="2"/>
  <c r="E563" i="2"/>
  <c r="F563" i="2" s="1"/>
  <c r="E624" i="2"/>
  <c r="F624" i="2" s="1"/>
  <c r="E686" i="2"/>
  <c r="F686" i="2" s="1"/>
  <c r="E728" i="2"/>
  <c r="F728" i="2" s="1"/>
  <c r="E779" i="2"/>
  <c r="F779" i="2" s="1"/>
  <c r="E820" i="2"/>
  <c r="E871" i="2"/>
  <c r="E916" i="2"/>
  <c r="E966" i="2"/>
  <c r="E1007" i="2"/>
  <c r="F1007" i="2" s="1"/>
  <c r="E1058" i="2"/>
  <c r="F1058" i="2" s="1"/>
  <c r="E1099" i="2"/>
  <c r="E1150" i="2"/>
  <c r="F1150" i="2" s="1"/>
  <c r="E1193" i="2"/>
  <c r="E1239" i="2"/>
  <c r="E1277" i="2"/>
  <c r="E1324" i="2"/>
  <c r="E1361" i="2"/>
  <c r="E1408" i="2"/>
  <c r="E1450" i="2"/>
  <c r="E1496" i="2"/>
  <c r="F1496" i="2" s="1"/>
  <c r="E1534" i="2"/>
  <c r="E1581" i="2"/>
  <c r="E1618" i="2"/>
  <c r="E1664" i="2"/>
  <c r="E1697" i="2"/>
  <c r="E1733" i="2"/>
  <c r="E1762" i="2"/>
  <c r="E1797" i="2"/>
  <c r="E1825" i="2"/>
  <c r="E1860" i="2"/>
  <c r="F1860" i="2" s="1"/>
  <c r="E1891" i="2"/>
  <c r="E1925" i="2"/>
  <c r="E1954" i="2"/>
  <c r="E1989" i="2"/>
  <c r="E2016" i="2"/>
  <c r="F2016" i="2" s="1"/>
  <c r="E2048" i="2"/>
  <c r="E2075" i="2"/>
  <c r="F2075" i="2" s="1"/>
  <c r="E2100" i="2"/>
  <c r="F2100" i="2" s="1"/>
  <c r="E2132" i="2"/>
  <c r="E2160" i="2"/>
  <c r="F2160" i="2" s="1"/>
  <c r="E2186" i="2"/>
  <c r="F2186" i="2" s="1"/>
  <c r="E2216" i="2"/>
  <c r="F2216" i="2" s="1"/>
  <c r="E2241" i="2"/>
  <c r="E2264" i="2"/>
  <c r="F2264" i="2" s="1"/>
  <c r="E2289" i="2"/>
  <c r="E2312" i="2"/>
  <c r="F2312" i="2" s="1"/>
  <c r="D234" i="2"/>
  <c r="D259" i="2"/>
  <c r="D283" i="2"/>
  <c r="D304" i="2"/>
  <c r="D327" i="2"/>
  <c r="D351" i="2"/>
  <c r="D374" i="2"/>
  <c r="D399" i="2"/>
  <c r="D422" i="2"/>
  <c r="D443" i="2"/>
  <c r="D468" i="2"/>
  <c r="D492" i="2"/>
  <c r="D514" i="2"/>
  <c r="D537" i="2"/>
  <c r="D560" i="2"/>
  <c r="D581" i="2"/>
  <c r="E247" i="2"/>
  <c r="E319" i="2"/>
  <c r="F319" i="2" s="1"/>
  <c r="E377" i="2"/>
  <c r="F377" i="2" s="1"/>
  <c r="E443" i="2"/>
  <c r="E498" i="2"/>
  <c r="E565" i="2"/>
  <c r="E627" i="2"/>
  <c r="E689" i="2"/>
  <c r="E730" i="2"/>
  <c r="E780" i="2"/>
  <c r="F780" i="2" s="1"/>
  <c r="E822" i="2"/>
  <c r="E872" i="2"/>
  <c r="F872" i="2" s="1"/>
  <c r="E917" i="2"/>
  <c r="E968" i="2"/>
  <c r="F968" i="2" s="1"/>
  <c r="E1008" i="2"/>
  <c r="F1008" i="2" s="1"/>
  <c r="E1060" i="2"/>
  <c r="E1100" i="2"/>
  <c r="E1151" i="2"/>
  <c r="F1151" i="2" s="1"/>
  <c r="E1196" i="2"/>
  <c r="E1241" i="2"/>
  <c r="F1241" i="2" s="1"/>
  <c r="E1280" i="2"/>
  <c r="E1325" i="2"/>
  <c r="E1364" i="2"/>
  <c r="E1409" i="2"/>
  <c r="E1452" i="2"/>
  <c r="F1452" i="2" s="1"/>
  <c r="E1498" i="2"/>
  <c r="E1536" i="2"/>
  <c r="F1536" i="2" s="1"/>
  <c r="E1582" i="2"/>
  <c r="F1582" i="2" s="1"/>
  <c r="E1620" i="2"/>
  <c r="F1620" i="2" s="1"/>
  <c r="E1665" i="2"/>
  <c r="E1698" i="2"/>
  <c r="E1735" i="2"/>
  <c r="E1763" i="2"/>
  <c r="F1763" i="2" s="1"/>
  <c r="E1798" i="2"/>
  <c r="E1826" i="2"/>
  <c r="F1826" i="2" s="1"/>
  <c r="E1861" i="2"/>
  <c r="E1892" i="2"/>
  <c r="E1927" i="2"/>
  <c r="E1955" i="2"/>
  <c r="F1955" i="2" s="1"/>
  <c r="E1990" i="2"/>
  <c r="E2017" i="2"/>
  <c r="E2049" i="2"/>
  <c r="E2077" i="2"/>
  <c r="E2101" i="2"/>
  <c r="E2133" i="2"/>
  <c r="E2161" i="2"/>
  <c r="E2191" i="2"/>
  <c r="F2191" i="2" s="1"/>
  <c r="E2219" i="2"/>
  <c r="F2219" i="2" s="1"/>
  <c r="E2242" i="2"/>
  <c r="E2265" i="2"/>
  <c r="F2265" i="2" s="1"/>
  <c r="E2290" i="2"/>
  <c r="E2314" i="2"/>
  <c r="D235" i="2"/>
  <c r="D260" i="2"/>
  <c r="D284" i="2"/>
  <c r="D307" i="2"/>
  <c r="D331" i="2"/>
  <c r="D352" i="2"/>
  <c r="D375" i="2"/>
  <c r="D400" i="2"/>
  <c r="D424" i="2"/>
  <c r="D444" i="2"/>
  <c r="D469" i="2"/>
  <c r="D493" i="2"/>
  <c r="D516" i="2"/>
  <c r="D540" i="2"/>
  <c r="D561" i="2"/>
  <c r="D582" i="2"/>
  <c r="E260" i="2"/>
  <c r="F260" i="2" s="1"/>
  <c r="E325" i="2"/>
  <c r="F325" i="2" s="1"/>
  <c r="E395" i="2"/>
  <c r="F395" i="2" s="1"/>
  <c r="E447" i="2"/>
  <c r="E517" i="2"/>
  <c r="E569" i="2"/>
  <c r="F569" i="2" s="1"/>
  <c r="E639" i="2"/>
  <c r="E691" i="2"/>
  <c r="E743" i="2"/>
  <c r="F743" i="2" s="1"/>
  <c r="E782" i="2"/>
  <c r="F782" i="2" s="1"/>
  <c r="E835" i="2"/>
  <c r="E874" i="2"/>
  <c r="E926" i="2"/>
  <c r="F926" i="2" s="1"/>
  <c r="E969" i="2"/>
  <c r="F969" i="2" s="1"/>
  <c r="E1021" i="2"/>
  <c r="E1061" i="2"/>
  <c r="E1113" i="2"/>
  <c r="F1113" i="2" s="1"/>
  <c r="E1152" i="2"/>
  <c r="F1152" i="2" s="1"/>
  <c r="E1203" i="2"/>
  <c r="E1244" i="2"/>
  <c r="E1292" i="2"/>
  <c r="E1328" i="2"/>
  <c r="E1376" i="2"/>
  <c r="E1412" i="2"/>
  <c r="E1460" i="2"/>
  <c r="E1500" i="2"/>
  <c r="F1500" i="2" s="1"/>
  <c r="E1548" i="2"/>
  <c r="F1548" i="2" s="1"/>
  <c r="E1584" i="2"/>
  <c r="F1584" i="2" s="1"/>
  <c r="E1632" i="2"/>
  <c r="F1632" i="2" s="1"/>
  <c r="E1666" i="2"/>
  <c r="E1705" i="2"/>
  <c r="E1736" i="2"/>
  <c r="F1736" i="2" s="1"/>
  <c r="E1772" i="2"/>
  <c r="E1799" i="2"/>
  <c r="E1835" i="2"/>
  <c r="F1835" i="2" s="1"/>
  <c r="E1862" i="2"/>
  <c r="F1862" i="2" s="1"/>
  <c r="E1898" i="2"/>
  <c r="F1898" i="2" s="1"/>
  <c r="E1928" i="2"/>
  <c r="F1928" i="2" s="1"/>
  <c r="E1964" i="2"/>
  <c r="E1991" i="2"/>
  <c r="F1991" i="2" s="1"/>
  <c r="E2018" i="2"/>
  <c r="F2018" i="2" s="1"/>
  <c r="E2050" i="2"/>
  <c r="E2078" i="2"/>
  <c r="F2078" i="2" s="1"/>
  <c r="E2102" i="2"/>
  <c r="F2102" i="2" s="1"/>
  <c r="E2134" i="2"/>
  <c r="E2162" i="2"/>
  <c r="F2162" i="2" s="1"/>
  <c r="E2192" i="2"/>
  <c r="E2221" i="2"/>
  <c r="E2243" i="2"/>
  <c r="F2243" i="2" s="1"/>
  <c r="E2266" i="2"/>
  <c r="E2291" i="2"/>
  <c r="F2291" i="2" s="1"/>
  <c r="E2315" i="2"/>
  <c r="F2315" i="2" s="1"/>
  <c r="D236" i="2"/>
  <c r="D261" i="2"/>
  <c r="D285" i="2"/>
  <c r="D308" i="2"/>
  <c r="D333" i="2"/>
  <c r="D354" i="2"/>
  <c r="D376" i="2"/>
  <c r="D402" i="2"/>
  <c r="D426" i="2"/>
  <c r="D445" i="2"/>
  <c r="D470" i="2"/>
  <c r="D494" i="2"/>
  <c r="D517" i="2"/>
  <c r="D542" i="2"/>
  <c r="D562" i="2"/>
  <c r="D583" i="2"/>
  <c r="E271" i="2"/>
  <c r="E330" i="2"/>
  <c r="F330" i="2" s="1"/>
  <c r="E397" i="2"/>
  <c r="E452" i="2"/>
  <c r="E520" i="2"/>
  <c r="E579" i="2"/>
  <c r="E648" i="2"/>
  <c r="F648" i="2" s="1"/>
  <c r="E694" i="2"/>
  <c r="E745" i="2"/>
  <c r="E786" i="2"/>
  <c r="E837" i="2"/>
  <c r="E883" i="2"/>
  <c r="E932" i="2"/>
  <c r="E974" i="2"/>
  <c r="F974" i="2" s="1"/>
  <c r="E1024" i="2"/>
  <c r="F1024" i="2" s="1"/>
  <c r="E1066" i="2"/>
  <c r="E1115" i="2"/>
  <c r="F1115" i="2" s="1"/>
  <c r="E1162" i="2"/>
  <c r="E1210" i="2"/>
  <c r="E1248" i="2"/>
  <c r="F1248" i="2" s="1"/>
  <c r="E1294" i="2"/>
  <c r="F1294" i="2" s="1"/>
  <c r="E1332" i="2"/>
  <c r="F1332" i="2" s="1"/>
  <c r="E1378" i="2"/>
  <c r="E1419" i="2"/>
  <c r="F1419" i="2" s="1"/>
  <c r="E1466" i="2"/>
  <c r="F1466" i="2" s="1"/>
  <c r="E1503" i="2"/>
  <c r="E1550" i="2"/>
  <c r="F1550" i="2" s="1"/>
  <c r="E1587" i="2"/>
  <c r="E1634" i="2"/>
  <c r="F1634" i="2" s="1"/>
  <c r="E1672" i="2"/>
  <c r="E1710" i="2"/>
  <c r="E1739" i="2"/>
  <c r="F1739" i="2" s="1"/>
  <c r="E1774" i="2"/>
  <c r="F1774" i="2" s="1"/>
  <c r="E1802" i="2"/>
  <c r="E1837" i="2"/>
  <c r="E1868" i="2"/>
  <c r="E1903" i="2"/>
  <c r="E1931" i="2"/>
  <c r="F1931" i="2" s="1"/>
  <c r="E1966" i="2"/>
  <c r="F1966" i="2" s="1"/>
  <c r="E1994" i="2"/>
  <c r="E2024" i="2"/>
  <c r="F2024" i="2" s="1"/>
  <c r="E2052" i="2"/>
  <c r="F2052" i="2" s="1"/>
  <c r="E2081" i="2"/>
  <c r="E2111" i="2"/>
  <c r="F2111" i="2" s="1"/>
  <c r="E2138" i="2"/>
  <c r="F2138" i="2" s="1"/>
  <c r="E2165" i="2"/>
  <c r="E2195" i="2"/>
  <c r="F2195" i="2" s="1"/>
  <c r="E2225" i="2"/>
  <c r="E2246" i="2"/>
  <c r="F2246" i="2" s="1"/>
  <c r="E2269" i="2"/>
  <c r="E2293" i="2"/>
  <c r="E2316" i="2"/>
  <c r="F2316" i="2" s="1"/>
  <c r="D242" i="2"/>
  <c r="D265" i="2"/>
  <c r="D286" i="2"/>
  <c r="D311" i="2"/>
  <c r="D335" i="2"/>
  <c r="D357" i="2"/>
  <c r="D380" i="2"/>
  <c r="D404" i="2"/>
  <c r="D427" i="2"/>
  <c r="D452" i="2"/>
  <c r="D475" i="2"/>
  <c r="D495" i="2"/>
  <c r="D520" i="2"/>
  <c r="D544" i="2"/>
  <c r="D565" i="2"/>
  <c r="D586" i="2"/>
  <c r="E279" i="2"/>
  <c r="F279" i="2" s="1"/>
  <c r="E332" i="2"/>
  <c r="F332" i="2" s="1"/>
  <c r="E401" i="2"/>
  <c r="F401" i="2" s="1"/>
  <c r="E460" i="2"/>
  <c r="F460" i="2" s="1"/>
  <c r="E527" i="2"/>
  <c r="E582" i="2"/>
  <c r="F582" i="2" s="1"/>
  <c r="E651" i="2"/>
  <c r="F651" i="2" s="1"/>
  <c r="E696" i="2"/>
  <c r="F696" i="2" s="1"/>
  <c r="E748" i="2"/>
  <c r="E793" i="2"/>
  <c r="F793" i="2" s="1"/>
  <c r="E844" i="2"/>
  <c r="E885" i="2"/>
  <c r="E936" i="2"/>
  <c r="F936" i="2" s="1"/>
  <c r="E977" i="2"/>
  <c r="E1028" i="2"/>
  <c r="E1073" i="2"/>
  <c r="E1123" i="2"/>
  <c r="E1164" i="2"/>
  <c r="F1164" i="2" s="1"/>
  <c r="E1213" i="2"/>
  <c r="E1250" i="2"/>
  <c r="F1250" i="2" s="1"/>
  <c r="E1297" i="2"/>
  <c r="E1337" i="2"/>
  <c r="F1337" i="2" s="1"/>
  <c r="E1383" i="2"/>
  <c r="E1421" i="2"/>
  <c r="E1468" i="2"/>
  <c r="E1505" i="2"/>
  <c r="E1552" i="2"/>
  <c r="F1552" i="2" s="1"/>
  <c r="E1594" i="2"/>
  <c r="E1640" i="2"/>
  <c r="F1640" i="2" s="1"/>
  <c r="E1674" i="2"/>
  <c r="F1674" i="2" s="1"/>
  <c r="E1713" i="2"/>
  <c r="E1741" i="2"/>
  <c r="E1776" i="2"/>
  <c r="F1776" i="2" s="1"/>
  <c r="E1807" i="2"/>
  <c r="F1807" i="2" s="1"/>
  <c r="E1841" i="2"/>
  <c r="E1870" i="2"/>
  <c r="F1870" i="2" s="1"/>
  <c r="E1905" i="2"/>
  <c r="E1933" i="2"/>
  <c r="E1968" i="2"/>
  <c r="F1968" i="2" s="1"/>
  <c r="E1999" i="2"/>
  <c r="F1999" i="2" s="1"/>
  <c r="E2027" i="2"/>
  <c r="F2027" i="2" s="1"/>
  <c r="E2053" i="2"/>
  <c r="E2083" i="2"/>
  <c r="E2112" i="2"/>
  <c r="F2112" i="2" s="1"/>
  <c r="E2143" i="2"/>
  <c r="F2143" i="2" s="1"/>
  <c r="E2167" i="2"/>
  <c r="E2196" i="2"/>
  <c r="F2196" i="2" s="1"/>
  <c r="E2226" i="2"/>
  <c r="E2249" i="2"/>
  <c r="F2249" i="2" s="1"/>
  <c r="E2273" i="2"/>
  <c r="E2294" i="2"/>
  <c r="F2294" i="2" s="1"/>
  <c r="E2317" i="2"/>
  <c r="D243" i="2"/>
  <c r="D267" i="2"/>
  <c r="D287" i="2"/>
  <c r="D312" i="2"/>
  <c r="D336" i="2"/>
  <c r="D359" i="2"/>
  <c r="D383" i="2"/>
  <c r="D405" i="2"/>
  <c r="D428" i="2"/>
  <c r="D453" i="2"/>
  <c r="D477" i="2"/>
  <c r="D496" i="2"/>
  <c r="D522" i="2"/>
  <c r="D546" i="2"/>
  <c r="D567" i="2"/>
  <c r="E280" i="2"/>
  <c r="E335" i="2"/>
  <c r="E402" i="2"/>
  <c r="F402" i="2" s="1"/>
  <c r="E463" i="2"/>
  <c r="F463" i="2" s="1"/>
  <c r="E529" i="2"/>
  <c r="E587" i="2"/>
  <c r="F587" i="2" s="1"/>
  <c r="E652" i="2"/>
  <c r="E700" i="2"/>
  <c r="E749" i="2"/>
  <c r="E796" i="2"/>
  <c r="E846" i="2"/>
  <c r="E887" i="2"/>
  <c r="F887" i="2" s="1"/>
  <c r="E937" i="2"/>
  <c r="E979" i="2"/>
  <c r="F979" i="2" s="1"/>
  <c r="E1029" i="2"/>
  <c r="E1074" i="2"/>
  <c r="E1125" i="2"/>
  <c r="E1165" i="2"/>
  <c r="E1214" i="2"/>
  <c r="F1214" i="2" s="1"/>
  <c r="E1251" i="2"/>
  <c r="E1298" i="2"/>
  <c r="F1298" i="2" s="1"/>
  <c r="E1340" i="2"/>
  <c r="E1385" i="2"/>
  <c r="E1424" i="2"/>
  <c r="E1469" i="2"/>
  <c r="E1508" i="2"/>
  <c r="E1553" i="2"/>
  <c r="E1596" i="2"/>
  <c r="F1596" i="2" s="1"/>
  <c r="E1642" i="2"/>
  <c r="E1676" i="2"/>
  <c r="E1714" i="2"/>
  <c r="E1742" i="2"/>
  <c r="F1742" i="2" s="1"/>
  <c r="E1777" i="2"/>
  <c r="E1808" i="2"/>
  <c r="E1843" i="2"/>
  <c r="E1871" i="2"/>
  <c r="F1871" i="2" s="1"/>
  <c r="E1906" i="2"/>
  <c r="E1934" i="2"/>
  <c r="F1934" i="2" s="1"/>
  <c r="E1969" i="2"/>
  <c r="E2000" i="2"/>
  <c r="E2029" i="2"/>
  <c r="E2054" i="2"/>
  <c r="F2054" i="2" s="1"/>
  <c r="E2084" i="2"/>
  <c r="E2113" i="2"/>
  <c r="E2144" i="2"/>
  <c r="E2168" i="2"/>
  <c r="F2168" i="2" s="1"/>
  <c r="E2197" i="2"/>
  <c r="E2227" i="2"/>
  <c r="E2250" i="2"/>
  <c r="F2250" i="2" s="1"/>
  <c r="E2275" i="2"/>
  <c r="E2295" i="2"/>
  <c r="E2318" i="2"/>
  <c r="F2318" i="2" s="1"/>
  <c r="D244" i="2"/>
  <c r="D268" i="2"/>
  <c r="D288" i="2"/>
  <c r="D313" i="2"/>
  <c r="D337" i="2"/>
  <c r="D360" i="2"/>
  <c r="D385" i="2"/>
  <c r="D406" i="2"/>
  <c r="D429" i="2"/>
  <c r="D454" i="2"/>
  <c r="D478" i="2"/>
  <c r="D498" i="2"/>
  <c r="D523" i="2"/>
  <c r="D547" i="2"/>
  <c r="D568" i="2"/>
  <c r="E234" i="2"/>
  <c r="E368" i="2"/>
  <c r="F368" i="2" s="1"/>
  <c r="E492" i="2"/>
  <c r="F492" i="2" s="1"/>
  <c r="E615" i="2"/>
  <c r="E726" i="2"/>
  <c r="E817" i="2"/>
  <c r="E909" i="2"/>
  <c r="E1005" i="2"/>
  <c r="E1097" i="2"/>
  <c r="F1097" i="2" s="1"/>
  <c r="E1188" i="2"/>
  <c r="F1188" i="2" s="1"/>
  <c r="E1275" i="2"/>
  <c r="E1359" i="2"/>
  <c r="E1443" i="2"/>
  <c r="E1532" i="2"/>
  <c r="E1616" i="2"/>
  <c r="E1692" i="2"/>
  <c r="F1692" i="2" s="1"/>
  <c r="E1760" i="2"/>
  <c r="E1823" i="2"/>
  <c r="F1823" i="2" s="1"/>
  <c r="E1886" i="2"/>
  <c r="F1886" i="2" s="1"/>
  <c r="E1952" i="2"/>
  <c r="E2014" i="2"/>
  <c r="F2014" i="2" s="1"/>
  <c r="E2069" i="2"/>
  <c r="E2125" i="2"/>
  <c r="E2182" i="2"/>
  <c r="E2238" i="2"/>
  <c r="E2281" i="2"/>
  <c r="D231" i="2"/>
  <c r="D278" i="2"/>
  <c r="D323" i="2"/>
  <c r="D372" i="2"/>
  <c r="D417" i="2"/>
  <c r="D464" i="2"/>
  <c r="D510" i="2"/>
  <c r="D557" i="2"/>
  <c r="D595" i="2"/>
  <c r="D616" i="2"/>
  <c r="D639" i="2"/>
  <c r="D658" i="2"/>
  <c r="D679" i="2"/>
  <c r="D702" i="2"/>
  <c r="D724" i="2"/>
  <c r="D742" i="2"/>
  <c r="D765" i="2"/>
  <c r="D787" i="2"/>
  <c r="D808" i="2"/>
  <c r="D831" i="2"/>
  <c r="D850" i="2"/>
  <c r="D871" i="2"/>
  <c r="D894" i="2"/>
  <c r="D916" i="2"/>
  <c r="D934" i="2"/>
  <c r="D957" i="2"/>
  <c r="D979" i="2"/>
  <c r="D1000" i="2"/>
  <c r="D1023" i="2"/>
  <c r="D1042" i="2"/>
  <c r="D1063" i="2"/>
  <c r="D1086" i="2"/>
  <c r="D1108" i="2"/>
  <c r="D1126" i="2"/>
  <c r="D1149" i="2"/>
  <c r="D1171" i="2"/>
  <c r="D1192" i="2"/>
  <c r="D1215" i="2"/>
  <c r="D1234" i="2"/>
  <c r="D1255" i="2"/>
  <c r="E239" i="2"/>
  <c r="F239" i="2" s="1"/>
  <c r="E371" i="2"/>
  <c r="F371" i="2" s="1"/>
  <c r="E493" i="2"/>
  <c r="F493" i="2" s="1"/>
  <c r="E620" i="2"/>
  <c r="E727" i="2"/>
  <c r="E818" i="2"/>
  <c r="F818" i="2" s="1"/>
  <c r="E913" i="2"/>
  <c r="E1006" i="2"/>
  <c r="F1006" i="2" s="1"/>
  <c r="E1098" i="2"/>
  <c r="F1098" i="2" s="1"/>
  <c r="E1191" i="2"/>
  <c r="E1276" i="2"/>
  <c r="E1360" i="2"/>
  <c r="F1360" i="2" s="1"/>
  <c r="E1448" i="2"/>
  <c r="F1448" i="2" s="1"/>
  <c r="E1533" i="2"/>
  <c r="E1617" i="2"/>
  <c r="E1695" i="2"/>
  <c r="E1761" i="2"/>
  <c r="E1824" i="2"/>
  <c r="F1824" i="2" s="1"/>
  <c r="E1889" i="2"/>
  <c r="E1953" i="2"/>
  <c r="E2015" i="2"/>
  <c r="F2015" i="2" s="1"/>
  <c r="E2071" i="2"/>
  <c r="E2126" i="2"/>
  <c r="F2126" i="2" s="1"/>
  <c r="E2183" i="2"/>
  <c r="F2183" i="2" s="1"/>
  <c r="E2239" i="2"/>
  <c r="F2239" i="2" s="1"/>
  <c r="E2282" i="2"/>
  <c r="D232" i="2"/>
  <c r="D280" i="2"/>
  <c r="D324" i="2"/>
  <c r="D373" i="2"/>
  <c r="D418" i="2"/>
  <c r="D465" i="2"/>
  <c r="D511" i="2"/>
  <c r="D558" i="2"/>
  <c r="D596" i="2"/>
  <c r="D619" i="2"/>
  <c r="D641" i="2"/>
  <c r="D661" i="2"/>
  <c r="D682" i="2"/>
  <c r="D704" i="2"/>
  <c r="D725" i="2"/>
  <c r="D748" i="2"/>
  <c r="D769" i="2"/>
  <c r="D788" i="2"/>
  <c r="D811" i="2"/>
  <c r="D833" i="2"/>
  <c r="D853" i="2"/>
  <c r="D874" i="2"/>
  <c r="D896" i="2"/>
  <c r="D917" i="2"/>
  <c r="D940" i="2"/>
  <c r="D961" i="2"/>
  <c r="D980" i="2"/>
  <c r="D1003" i="2"/>
  <c r="D1025" i="2"/>
  <c r="D1045" i="2"/>
  <c r="D1066" i="2"/>
  <c r="D1088" i="2"/>
  <c r="D1109" i="2"/>
  <c r="D1132" i="2"/>
  <c r="D1153" i="2"/>
  <c r="D1172" i="2"/>
  <c r="D1195" i="2"/>
  <c r="D1217" i="2"/>
  <c r="D1237" i="2"/>
  <c r="D1258" i="2"/>
  <c r="D1280" i="2"/>
  <c r="D1301" i="2"/>
  <c r="D1324" i="2"/>
  <c r="D1345" i="2"/>
  <c r="D1364" i="2"/>
  <c r="D1387" i="2"/>
  <c r="D1409" i="2"/>
  <c r="D1429" i="2"/>
  <c r="D1450" i="2"/>
  <c r="D1472" i="2"/>
  <c r="D1493" i="2"/>
  <c r="D1516" i="2"/>
  <c r="E281" i="2"/>
  <c r="F281" i="2" s="1"/>
  <c r="E404" i="2"/>
  <c r="F404" i="2" s="1"/>
  <c r="E534" i="2"/>
  <c r="E655" i="2"/>
  <c r="F655" i="2" s="1"/>
  <c r="E752" i="2"/>
  <c r="E848" i="2"/>
  <c r="E940" i="2"/>
  <c r="F940" i="2" s="1"/>
  <c r="E1031" i="2"/>
  <c r="F1031" i="2" s="1"/>
  <c r="E1126" i="2"/>
  <c r="E1215" i="2"/>
  <c r="F1215" i="2" s="1"/>
  <c r="E1299" i="2"/>
  <c r="E1388" i="2"/>
  <c r="E1472" i="2"/>
  <c r="E1556" i="2"/>
  <c r="E1644" i="2"/>
  <c r="F1644" i="2" s="1"/>
  <c r="E1715" i="2"/>
  <c r="F1715" i="2" s="1"/>
  <c r="E1778" i="2"/>
  <c r="F1778" i="2" s="1"/>
  <c r="E1844" i="2"/>
  <c r="E1907" i="2"/>
  <c r="F1907" i="2" s="1"/>
  <c r="E1970" i="2"/>
  <c r="F1970" i="2" s="1"/>
  <c r="E2033" i="2"/>
  <c r="E2087" i="2"/>
  <c r="F2087" i="2" s="1"/>
  <c r="E2145" i="2"/>
  <c r="E2204" i="2"/>
  <c r="E2253" i="2"/>
  <c r="E2299" i="2"/>
  <c r="D247" i="2"/>
  <c r="D295" i="2"/>
  <c r="D338" i="2"/>
  <c r="D387" i="2"/>
  <c r="D432" i="2"/>
  <c r="D479" i="2"/>
  <c r="D527" i="2"/>
  <c r="D571" i="2"/>
  <c r="D597" i="2"/>
  <c r="D620" i="2"/>
  <c r="D642" i="2"/>
  <c r="D663" i="2"/>
  <c r="D685" i="2"/>
  <c r="D705" i="2"/>
  <c r="D726" i="2"/>
  <c r="D749" i="2"/>
  <c r="D771" i="2"/>
  <c r="D789" i="2"/>
  <c r="D812" i="2"/>
  <c r="D834" i="2"/>
  <c r="D855" i="2"/>
  <c r="D877" i="2"/>
  <c r="D897" i="2"/>
  <c r="D918" i="2"/>
  <c r="D941" i="2"/>
  <c r="D963" i="2"/>
  <c r="D981" i="2"/>
  <c r="D1004" i="2"/>
  <c r="D1026" i="2"/>
  <c r="D1047" i="2"/>
  <c r="D1069" i="2"/>
  <c r="D1089" i="2"/>
  <c r="D1110" i="2"/>
  <c r="D1133" i="2"/>
  <c r="D1155" i="2"/>
  <c r="D1173" i="2"/>
  <c r="D1196" i="2"/>
  <c r="D1218" i="2"/>
  <c r="D1239" i="2"/>
  <c r="D1261" i="2"/>
  <c r="D1281" i="2"/>
  <c r="D1302" i="2"/>
  <c r="D1325" i="2"/>
  <c r="E282" i="2"/>
  <c r="E412" i="2"/>
  <c r="E535" i="2"/>
  <c r="F535" i="2" s="1"/>
  <c r="E656" i="2"/>
  <c r="E756" i="2"/>
  <c r="F756" i="2" s="1"/>
  <c r="E849" i="2"/>
  <c r="E941" i="2"/>
  <c r="F941" i="2" s="1"/>
  <c r="E1034" i="2"/>
  <c r="F1034" i="2" s="1"/>
  <c r="E1127" i="2"/>
  <c r="F1127" i="2" s="1"/>
  <c r="E1216" i="2"/>
  <c r="F1216" i="2" s="1"/>
  <c r="E1304" i="2"/>
  <c r="F1304" i="2" s="1"/>
  <c r="E1389" i="2"/>
  <c r="E1473" i="2"/>
  <c r="E1560" i="2"/>
  <c r="F1560" i="2" s="1"/>
  <c r="E1645" i="2"/>
  <c r="E1716" i="2"/>
  <c r="F1716" i="2" s="1"/>
  <c r="E1781" i="2"/>
  <c r="E1845" i="2"/>
  <c r="E1908" i="2"/>
  <c r="F1908" i="2" s="1"/>
  <c r="E1973" i="2"/>
  <c r="E2035" i="2"/>
  <c r="E2090" i="2"/>
  <c r="F2090" i="2" s="1"/>
  <c r="E2146" i="2"/>
  <c r="E2206" i="2"/>
  <c r="F2206" i="2" s="1"/>
  <c r="E2254" i="2"/>
  <c r="F2254" i="2" s="1"/>
  <c r="E2301" i="2"/>
  <c r="D248" i="2"/>
  <c r="D296" i="2"/>
  <c r="D339" i="2"/>
  <c r="D388" i="2"/>
  <c r="D435" i="2"/>
  <c r="D480" i="2"/>
  <c r="D529" i="2"/>
  <c r="D572" i="2"/>
  <c r="D598" i="2"/>
  <c r="D621" i="2"/>
  <c r="D643" i="2"/>
  <c r="D664" i="2"/>
  <c r="D687" i="2"/>
  <c r="D706" i="2"/>
  <c r="D727" i="2"/>
  <c r="D750" i="2"/>
  <c r="D772" i="2"/>
  <c r="D790" i="2"/>
  <c r="D813" i="2"/>
  <c r="D835" i="2"/>
  <c r="D856" i="2"/>
  <c r="D879" i="2"/>
  <c r="D898" i="2"/>
  <c r="D919" i="2"/>
  <c r="D942" i="2"/>
  <c r="D964" i="2"/>
  <c r="D982" i="2"/>
  <c r="D1005" i="2"/>
  <c r="D1027" i="2"/>
  <c r="D1048" i="2"/>
  <c r="D1071" i="2"/>
  <c r="D1090" i="2"/>
  <c r="D1111" i="2"/>
  <c r="D1134" i="2"/>
  <c r="D1156" i="2"/>
  <c r="D1174" i="2"/>
  <c r="D1197" i="2"/>
  <c r="D1219" i="2"/>
  <c r="D1240" i="2"/>
  <c r="E283" i="2"/>
  <c r="F283" i="2" s="1"/>
  <c r="E414" i="2"/>
  <c r="E536" i="2"/>
  <c r="F536" i="2" s="1"/>
  <c r="E659" i="2"/>
  <c r="F659" i="2" s="1"/>
  <c r="E758" i="2"/>
  <c r="F758" i="2" s="1"/>
  <c r="E850" i="2"/>
  <c r="E942" i="2"/>
  <c r="E1037" i="2"/>
  <c r="E1128" i="2"/>
  <c r="F1128" i="2" s="1"/>
  <c r="E1217" i="2"/>
  <c r="E1306" i="2"/>
  <c r="E1390" i="2"/>
  <c r="F1390" i="2" s="1"/>
  <c r="E1474" i="2"/>
  <c r="E1562" i="2"/>
  <c r="E1646" i="2"/>
  <c r="F1646" i="2" s="1"/>
  <c r="E1717" i="2"/>
  <c r="E1783" i="2"/>
  <c r="E1846" i="2"/>
  <c r="E1909" i="2"/>
  <c r="E1975" i="2"/>
  <c r="E2036" i="2"/>
  <c r="E2095" i="2"/>
  <c r="E2147" i="2"/>
  <c r="F2147" i="2" s="1"/>
  <c r="E2207" i="2"/>
  <c r="F2207" i="2" s="1"/>
  <c r="E2255" i="2"/>
  <c r="F2255" i="2" s="1"/>
  <c r="E2302" i="2"/>
  <c r="F2302" i="2" s="1"/>
  <c r="D249" i="2"/>
  <c r="D297" i="2"/>
  <c r="D340" i="2"/>
  <c r="E289" i="2"/>
  <c r="F289" i="2" s="1"/>
  <c r="E416" i="2"/>
  <c r="E540" i="2"/>
  <c r="F540" i="2" s="1"/>
  <c r="E663" i="2"/>
  <c r="F663" i="2" s="1"/>
  <c r="E760" i="2"/>
  <c r="E851" i="2"/>
  <c r="F851" i="2" s="1"/>
  <c r="E943" i="2"/>
  <c r="E1040" i="2"/>
  <c r="E1132" i="2"/>
  <c r="F1132" i="2" s="1"/>
  <c r="E1220" i="2"/>
  <c r="E1308" i="2"/>
  <c r="F1308" i="2" s="1"/>
  <c r="E1392" i="2"/>
  <c r="F1392" i="2" s="1"/>
  <c r="E1476" i="2"/>
  <c r="F1476" i="2" s="1"/>
  <c r="E1563" i="2"/>
  <c r="F1563" i="2" s="1"/>
  <c r="E1647" i="2"/>
  <c r="E1718" i="2"/>
  <c r="F1718" i="2" s="1"/>
  <c r="E1784" i="2"/>
  <c r="F1784" i="2" s="1"/>
  <c r="E1847" i="2"/>
  <c r="F1847" i="2" s="1"/>
  <c r="E1910" i="2"/>
  <c r="F1910" i="2" s="1"/>
  <c r="E1976" i="2"/>
  <c r="F1976" i="2" s="1"/>
  <c r="E2037" i="2"/>
  <c r="E2097" i="2"/>
  <c r="E2150" i="2"/>
  <c r="F2150" i="2" s="1"/>
  <c r="E2208" i="2"/>
  <c r="F2208" i="2" s="1"/>
  <c r="E2259" i="2"/>
  <c r="E2305" i="2"/>
  <c r="D252" i="2"/>
  <c r="D299" i="2"/>
  <c r="D347" i="2"/>
  <c r="E311" i="2"/>
  <c r="F311" i="2" s="1"/>
  <c r="E438" i="2"/>
  <c r="E559" i="2"/>
  <c r="E680" i="2"/>
  <c r="F680" i="2" s="1"/>
  <c r="E775" i="2"/>
  <c r="E866" i="2"/>
  <c r="F866" i="2" s="1"/>
  <c r="E958" i="2"/>
  <c r="F958" i="2" s="1"/>
  <c r="E1055" i="2"/>
  <c r="F1055" i="2" s="1"/>
  <c r="E1147" i="2"/>
  <c r="E1234" i="2"/>
  <c r="F1234" i="2" s="1"/>
  <c r="E1322" i="2"/>
  <c r="F1322" i="2" s="1"/>
  <c r="E1406" i="2"/>
  <c r="F1406" i="2" s="1"/>
  <c r="E1490" i="2"/>
  <c r="F1490" i="2" s="1"/>
  <c r="E1577" i="2"/>
  <c r="E1661" i="2"/>
  <c r="E1729" i="2"/>
  <c r="E1795" i="2"/>
  <c r="E1858" i="2"/>
  <c r="E1921" i="2"/>
  <c r="E1987" i="2"/>
  <c r="E2039" i="2"/>
  <c r="F2039" i="2" s="1"/>
  <c r="E2099" i="2"/>
  <c r="F2099" i="2" s="1"/>
  <c r="E2158" i="2"/>
  <c r="F2158" i="2" s="1"/>
  <c r="E2210" i="2"/>
  <c r="F2210" i="2" s="1"/>
  <c r="E2263" i="2"/>
  <c r="E2307" i="2"/>
  <c r="D255" i="2"/>
  <c r="D301" i="2"/>
  <c r="D349" i="2"/>
  <c r="D393" i="2"/>
  <c r="D442" i="2"/>
  <c r="D490" i="2"/>
  <c r="D534" i="2"/>
  <c r="D580" i="2"/>
  <c r="D608" i="2"/>
  <c r="D629" i="2"/>
  <c r="D652" i="2"/>
  <c r="D673" i="2"/>
  <c r="D692" i="2"/>
  <c r="D715" i="2"/>
  <c r="D737" i="2"/>
  <c r="D757" i="2"/>
  <c r="D778" i="2"/>
  <c r="D800" i="2"/>
  <c r="D821" i="2"/>
  <c r="D844" i="2"/>
  <c r="D865" i="2"/>
  <c r="D884" i="2"/>
  <c r="D907" i="2"/>
  <c r="D929" i="2"/>
  <c r="D949" i="2"/>
  <c r="D970" i="2"/>
  <c r="D992" i="2"/>
  <c r="D1013" i="2"/>
  <c r="D1036" i="2"/>
  <c r="D1057" i="2"/>
  <c r="D1076" i="2"/>
  <c r="D1099" i="2"/>
  <c r="D1121" i="2"/>
  <c r="D1141" i="2"/>
  <c r="D1162" i="2"/>
  <c r="D1184" i="2"/>
  <c r="D1205" i="2"/>
  <c r="D1228" i="2"/>
  <c r="D1249" i="2"/>
  <c r="D1268" i="2"/>
  <c r="D1291" i="2"/>
  <c r="D1313" i="2"/>
  <c r="D1333" i="2"/>
  <c r="D1354" i="2"/>
  <c r="D1376" i="2"/>
  <c r="D1397" i="2"/>
  <c r="D1420" i="2"/>
  <c r="D1441" i="2"/>
  <c r="D1460" i="2"/>
  <c r="D1483" i="2"/>
  <c r="D1505" i="2"/>
  <c r="E349" i="2"/>
  <c r="F349" i="2" s="1"/>
  <c r="E472" i="2"/>
  <c r="F472" i="2" s="1"/>
  <c r="E596" i="2"/>
  <c r="F596" i="2" s="1"/>
  <c r="E708" i="2"/>
  <c r="F708" i="2" s="1"/>
  <c r="E800" i="2"/>
  <c r="F800" i="2" s="1"/>
  <c r="E896" i="2"/>
  <c r="E989" i="2"/>
  <c r="E1080" i="2"/>
  <c r="F1080" i="2" s="1"/>
  <c r="E1175" i="2"/>
  <c r="F1175" i="2" s="1"/>
  <c r="E1261" i="2"/>
  <c r="F1261" i="2" s="1"/>
  <c r="E1345" i="2"/>
  <c r="F1345" i="2" s="1"/>
  <c r="E1431" i="2"/>
  <c r="E1516" i="2"/>
  <c r="F1516" i="2" s="1"/>
  <c r="E1600" i="2"/>
  <c r="F1600" i="2" s="1"/>
  <c r="E1682" i="2"/>
  <c r="F1682" i="2" s="1"/>
  <c r="E1749" i="2"/>
  <c r="E1812" i="2"/>
  <c r="F1812" i="2" s="1"/>
  <c r="E1877" i="2"/>
  <c r="E1941" i="2"/>
  <c r="E2003" i="2"/>
  <c r="F2003" i="2" s="1"/>
  <c r="E2060" i="2"/>
  <c r="E2117" i="2"/>
  <c r="E2174" i="2"/>
  <c r="F2174" i="2" s="1"/>
  <c r="E2228" i="2"/>
  <c r="E2277" i="2"/>
  <c r="D223" i="2"/>
  <c r="D270" i="2"/>
  <c r="D318" i="2"/>
  <c r="D363" i="2"/>
  <c r="D409" i="2"/>
  <c r="D456" i="2"/>
  <c r="D504" i="2"/>
  <c r="D548" i="2"/>
  <c r="D589" i="2"/>
  <c r="D609" i="2"/>
  <c r="D630" i="2"/>
  <c r="D653" i="2"/>
  <c r="D675" i="2"/>
  <c r="D693" i="2"/>
  <c r="D716" i="2"/>
  <c r="D738" i="2"/>
  <c r="D759" i="2"/>
  <c r="D781" i="2"/>
  <c r="D801" i="2"/>
  <c r="D822" i="2"/>
  <c r="D845" i="2"/>
  <c r="D867" i="2"/>
  <c r="D885" i="2"/>
  <c r="D908" i="2"/>
  <c r="D930" i="2"/>
  <c r="D951" i="2"/>
  <c r="D973" i="2"/>
  <c r="D993" i="2"/>
  <c r="D1014" i="2"/>
  <c r="D1037" i="2"/>
  <c r="D1059" i="2"/>
  <c r="D1077" i="2"/>
  <c r="D1100" i="2"/>
  <c r="D1122" i="2"/>
  <c r="D1143" i="2"/>
  <c r="D1165" i="2"/>
  <c r="D1185" i="2"/>
  <c r="D1206" i="2"/>
  <c r="D1229" i="2"/>
  <c r="D1251" i="2"/>
  <c r="D1269" i="2"/>
  <c r="D1292" i="2"/>
  <c r="D1314" i="2"/>
  <c r="E308" i="2"/>
  <c r="F308" i="2" s="1"/>
  <c r="E679" i="2"/>
  <c r="F679" i="2" s="1"/>
  <c r="E957" i="2"/>
  <c r="F957" i="2" s="1"/>
  <c r="E1233" i="2"/>
  <c r="E1489" i="2"/>
  <c r="E1728" i="2"/>
  <c r="F1728" i="2" s="1"/>
  <c r="E1920" i="2"/>
  <c r="F1920" i="2" s="1"/>
  <c r="E2098" i="2"/>
  <c r="E2262" i="2"/>
  <c r="D300" i="2"/>
  <c r="D412" i="2"/>
  <c r="D506" i="2"/>
  <c r="D593" i="2"/>
  <c r="D634" i="2"/>
  <c r="D677" i="2"/>
  <c r="D721" i="2"/>
  <c r="D763" i="2"/>
  <c r="D805" i="2"/>
  <c r="D848" i="2"/>
  <c r="D892" i="2"/>
  <c r="D932" i="2"/>
  <c r="D977" i="2"/>
  <c r="D1018" i="2"/>
  <c r="D1061" i="2"/>
  <c r="D1105" i="2"/>
  <c r="D1147" i="2"/>
  <c r="D1189" i="2"/>
  <c r="D1232" i="2"/>
  <c r="D1270" i="2"/>
  <c r="E351" i="2"/>
  <c r="F351" i="2" s="1"/>
  <c r="E709" i="2"/>
  <c r="E990" i="2"/>
  <c r="E1262" i="2"/>
  <c r="F1262" i="2" s="1"/>
  <c r="E1517" i="2"/>
  <c r="E1750" i="2"/>
  <c r="E1942" i="2"/>
  <c r="E2119" i="2"/>
  <c r="E2278" i="2"/>
  <c r="D320" i="2"/>
  <c r="D416" i="2"/>
  <c r="D508" i="2"/>
  <c r="D594" i="2"/>
  <c r="D637" i="2"/>
  <c r="D678" i="2"/>
  <c r="D723" i="2"/>
  <c r="D764" i="2"/>
  <c r="D807" i="2"/>
  <c r="D849" i="2"/>
  <c r="D893" i="2"/>
  <c r="D933" i="2"/>
  <c r="D978" i="2"/>
  <c r="D1021" i="2"/>
  <c r="D1062" i="2"/>
  <c r="D1107" i="2"/>
  <c r="D1148" i="2"/>
  <c r="D1191" i="2"/>
  <c r="D1233" i="2"/>
  <c r="D1276" i="2"/>
  <c r="D1306" i="2"/>
  <c r="D1336" i="2"/>
  <c r="D1362" i="2"/>
  <c r="D1388" i="2"/>
  <c r="D1412" i="2"/>
  <c r="D1437" i="2"/>
  <c r="D1462" i="2"/>
  <c r="D1491" i="2"/>
  <c r="D1517" i="2"/>
  <c r="D1539" i="2"/>
  <c r="D1557" i="2"/>
  <c r="D1580" i="2"/>
  <c r="D1602" i="2"/>
  <c r="D1623" i="2"/>
  <c r="D1645" i="2"/>
  <c r="D1665" i="2"/>
  <c r="D1686" i="2"/>
  <c r="D1709" i="2"/>
  <c r="D1731" i="2"/>
  <c r="D1749" i="2"/>
  <c r="D1772" i="2"/>
  <c r="D1794" i="2"/>
  <c r="D1815" i="2"/>
  <c r="D1837" i="2"/>
  <c r="D1857" i="2"/>
  <c r="D1878" i="2"/>
  <c r="D1901" i="2"/>
  <c r="D1923" i="2"/>
  <c r="D1941" i="2"/>
  <c r="D1964" i="2"/>
  <c r="D1986" i="2"/>
  <c r="D2007" i="2"/>
  <c r="D2029" i="2"/>
  <c r="D2049" i="2"/>
  <c r="D2070" i="2"/>
  <c r="D2093" i="2"/>
  <c r="D2115" i="2"/>
  <c r="D2133" i="2"/>
  <c r="D2156" i="2"/>
  <c r="D2178" i="2"/>
  <c r="D2199" i="2"/>
  <c r="D2221" i="2"/>
  <c r="D2241" i="2"/>
  <c r="D2262" i="2"/>
  <c r="D2285" i="2"/>
  <c r="D2307" i="2"/>
  <c r="D8" i="2"/>
  <c r="D31" i="2"/>
  <c r="D53" i="2"/>
  <c r="D74" i="2"/>
  <c r="D96" i="2"/>
  <c r="D116" i="2"/>
  <c r="D137" i="2"/>
  <c r="D160" i="2"/>
  <c r="D182" i="2"/>
  <c r="D200" i="2"/>
  <c r="E360" i="2"/>
  <c r="F360" i="2" s="1"/>
  <c r="E717" i="2"/>
  <c r="E995" i="2"/>
  <c r="F995" i="2" s="1"/>
  <c r="E1268" i="2"/>
  <c r="F1268" i="2" s="1"/>
  <c r="E1524" i="2"/>
  <c r="F1524" i="2" s="1"/>
  <c r="E1754" i="2"/>
  <c r="F1754" i="2" s="1"/>
  <c r="E1946" i="2"/>
  <c r="F1946" i="2" s="1"/>
  <c r="E2120" i="2"/>
  <c r="F2120" i="2" s="1"/>
  <c r="E2279" i="2"/>
  <c r="F2279" i="2" s="1"/>
  <c r="D321" i="2"/>
  <c r="D438" i="2"/>
  <c r="D530" i="2"/>
  <c r="D604" i="2"/>
  <c r="D644" i="2"/>
  <c r="D689" i="2"/>
  <c r="D730" i="2"/>
  <c r="D773" i="2"/>
  <c r="D817" i="2"/>
  <c r="D859" i="2"/>
  <c r="D901" i="2"/>
  <c r="D944" i="2"/>
  <c r="D988" i="2"/>
  <c r="D1028" i="2"/>
  <c r="D1073" i="2"/>
  <c r="D1114" i="2"/>
  <c r="D1157" i="2"/>
  <c r="D1201" i="2"/>
  <c r="D1243" i="2"/>
  <c r="D1277" i="2"/>
  <c r="D1309" i="2"/>
  <c r="D1339" i="2"/>
  <c r="D1363" i="2"/>
  <c r="D1389" i="2"/>
  <c r="D1413" i="2"/>
  <c r="D1443" i="2"/>
  <c r="D1468" i="2"/>
  <c r="D1492" i="2"/>
  <c r="D1518" i="2"/>
  <c r="D1540" i="2"/>
  <c r="D1558" i="2"/>
  <c r="D1581" i="2"/>
  <c r="D1603" i="2"/>
  <c r="D1624" i="2"/>
  <c r="D1647" i="2"/>
  <c r="D1666" i="2"/>
  <c r="D1687" i="2"/>
  <c r="D1710" i="2"/>
  <c r="D1732" i="2"/>
  <c r="D1750" i="2"/>
  <c r="D1773" i="2"/>
  <c r="D1795" i="2"/>
  <c r="D1816" i="2"/>
  <c r="D1839" i="2"/>
  <c r="D1858" i="2"/>
  <c r="D1879" i="2"/>
  <c r="D1902" i="2"/>
  <c r="D1924" i="2"/>
  <c r="D1942" i="2"/>
  <c r="D1965" i="2"/>
  <c r="D1987" i="2"/>
  <c r="D2008" i="2"/>
  <c r="D2031" i="2"/>
  <c r="D2050" i="2"/>
  <c r="D2071" i="2"/>
  <c r="D2094" i="2"/>
  <c r="D2116" i="2"/>
  <c r="D2134" i="2"/>
  <c r="D2157" i="2"/>
  <c r="D2179" i="2"/>
  <c r="D2200" i="2"/>
  <c r="D2223" i="2"/>
  <c r="D2242" i="2"/>
  <c r="D2263" i="2"/>
  <c r="D2286" i="2"/>
  <c r="D2308" i="2"/>
  <c r="D9" i="2"/>
  <c r="D32" i="2"/>
  <c r="D54" i="2"/>
  <c r="D75" i="2"/>
  <c r="D98" i="2"/>
  <c r="D117" i="2"/>
  <c r="D138" i="2"/>
  <c r="D161" i="2"/>
  <c r="E435" i="2"/>
  <c r="F435" i="2" s="1"/>
  <c r="E773" i="2"/>
  <c r="E1053" i="2"/>
  <c r="E1320" i="2"/>
  <c r="F1320" i="2" s="1"/>
  <c r="E1575" i="2"/>
  <c r="E1793" i="2"/>
  <c r="E1985" i="2"/>
  <c r="E2156" i="2"/>
  <c r="F2156" i="2" s="1"/>
  <c r="E2306" i="2"/>
  <c r="F2306" i="2" s="1"/>
  <c r="D348" i="2"/>
  <c r="D441" i="2"/>
  <c r="D532" i="2"/>
  <c r="D606" i="2"/>
  <c r="D646" i="2"/>
  <c r="D691" i="2"/>
  <c r="D735" i="2"/>
  <c r="D775" i="2"/>
  <c r="D820" i="2"/>
  <c r="D861" i="2"/>
  <c r="D904" i="2"/>
  <c r="D946" i="2"/>
  <c r="D990" i="2"/>
  <c r="D1030" i="2"/>
  <c r="D1075" i="2"/>
  <c r="D1119" i="2"/>
  <c r="D1159" i="2"/>
  <c r="D1204" i="2"/>
  <c r="D1245" i="2"/>
  <c r="D1282" i="2"/>
  <c r="D1315" i="2"/>
  <c r="D1341" i="2"/>
  <c r="D1366" i="2"/>
  <c r="D1395" i="2"/>
  <c r="D1421" i="2"/>
  <c r="D1445" i="2"/>
  <c r="D1470" i="2"/>
  <c r="D1495" i="2"/>
  <c r="D1521" i="2"/>
  <c r="D1542" i="2"/>
  <c r="D1565" i="2"/>
  <c r="D1587" i="2"/>
  <c r="D1605" i="2"/>
  <c r="D1628" i="2"/>
  <c r="D1650" i="2"/>
  <c r="D1671" i="2"/>
  <c r="D1693" i="2"/>
  <c r="D1713" i="2"/>
  <c r="D1734" i="2"/>
  <c r="D1757" i="2"/>
  <c r="D1779" i="2"/>
  <c r="D1797" i="2"/>
  <c r="D1820" i="2"/>
  <c r="D1842" i="2"/>
  <c r="D1863" i="2"/>
  <c r="D1885" i="2"/>
  <c r="D1905" i="2"/>
  <c r="D1926" i="2"/>
  <c r="D1949" i="2"/>
  <c r="D1971" i="2"/>
  <c r="D1989" i="2"/>
  <c r="D2012" i="2"/>
  <c r="D2034" i="2"/>
  <c r="D2055" i="2"/>
  <c r="D2077" i="2"/>
  <c r="D2097" i="2"/>
  <c r="D2118" i="2"/>
  <c r="D2141" i="2"/>
  <c r="D2163" i="2"/>
  <c r="D2181" i="2"/>
  <c r="D2204" i="2"/>
  <c r="D2226" i="2"/>
  <c r="D2247" i="2"/>
  <c r="D2269" i="2"/>
  <c r="D2289" i="2"/>
  <c r="D2310" i="2"/>
  <c r="D16" i="2"/>
  <c r="D38" i="2"/>
  <c r="D56" i="2"/>
  <c r="E473" i="2"/>
  <c r="F473" i="2" s="1"/>
  <c r="E801" i="2"/>
  <c r="F801" i="2" s="1"/>
  <c r="E1081" i="2"/>
  <c r="F1081" i="2" s="1"/>
  <c r="E1346" i="2"/>
  <c r="F1346" i="2" s="1"/>
  <c r="E1601" i="2"/>
  <c r="E1813" i="2"/>
  <c r="E2004" i="2"/>
  <c r="F2004" i="2" s="1"/>
  <c r="E2177" i="2"/>
  <c r="D226" i="2"/>
  <c r="D364" i="2"/>
  <c r="D457" i="2"/>
  <c r="D549" i="2"/>
  <c r="D610" i="2"/>
  <c r="D654" i="2"/>
  <c r="D694" i="2"/>
  <c r="D739" i="2"/>
  <c r="D783" i="2"/>
  <c r="D823" i="2"/>
  <c r="D868" i="2"/>
  <c r="D909" i="2"/>
  <c r="D952" i="2"/>
  <c r="D994" i="2"/>
  <c r="D1038" i="2"/>
  <c r="D1078" i="2"/>
  <c r="D1123" i="2"/>
  <c r="D1167" i="2"/>
  <c r="D1207" i="2"/>
  <c r="D1252" i="2"/>
  <c r="D1285" i="2"/>
  <c r="D1316" i="2"/>
  <c r="D1347" i="2"/>
  <c r="D1372" i="2"/>
  <c r="D1396" i="2"/>
  <c r="D1422" i="2"/>
  <c r="D1446" i="2"/>
  <c r="D1473" i="2"/>
  <c r="D1498" i="2"/>
  <c r="D1522" i="2"/>
  <c r="D1543" i="2"/>
  <c r="D1566" i="2"/>
  <c r="D1588" i="2"/>
  <c r="D1606" i="2"/>
  <c r="D1629" i="2"/>
  <c r="D1651" i="2"/>
  <c r="D1672" i="2"/>
  <c r="D1695" i="2"/>
  <c r="D1714" i="2"/>
  <c r="D1735" i="2"/>
  <c r="D1758" i="2"/>
  <c r="D1780" i="2"/>
  <c r="D1798" i="2"/>
  <c r="D1821" i="2"/>
  <c r="D1843" i="2"/>
  <c r="D1864" i="2"/>
  <c r="D1887" i="2"/>
  <c r="D1906" i="2"/>
  <c r="D1927" i="2"/>
  <c r="D1950" i="2"/>
  <c r="D1972" i="2"/>
  <c r="D1990" i="2"/>
  <c r="D2013" i="2"/>
  <c r="D2035" i="2"/>
  <c r="D2056" i="2"/>
  <c r="D2079" i="2"/>
  <c r="D2098" i="2"/>
  <c r="D2119" i="2"/>
  <c r="D2142" i="2"/>
  <c r="D2164" i="2"/>
  <c r="D2182" i="2"/>
  <c r="D2205" i="2"/>
  <c r="D2227" i="2"/>
  <c r="D2248" i="2"/>
  <c r="D2271" i="2"/>
  <c r="D2290" i="2"/>
  <c r="D2311" i="2"/>
  <c r="D17" i="2"/>
  <c r="D39" i="2"/>
  <c r="D57" i="2"/>
  <c r="E491" i="2"/>
  <c r="F491" i="2" s="1"/>
  <c r="E814" i="2"/>
  <c r="F814" i="2" s="1"/>
  <c r="E1094" i="2"/>
  <c r="F1094" i="2" s="1"/>
  <c r="E1358" i="2"/>
  <c r="F1358" i="2" s="1"/>
  <c r="E1613" i="2"/>
  <c r="E1822" i="2"/>
  <c r="F1822" i="2" s="1"/>
  <c r="E2012" i="2"/>
  <c r="E2181" i="2"/>
  <c r="F2181" i="2" s="1"/>
  <c r="D230" i="2"/>
  <c r="D370" i="2"/>
  <c r="D462" i="2"/>
  <c r="D556" i="2"/>
  <c r="D615" i="2"/>
  <c r="D657" i="2"/>
  <c r="D701" i="2"/>
  <c r="D741" i="2"/>
  <c r="D786" i="2"/>
  <c r="D829" i="2"/>
  <c r="D870" i="2"/>
  <c r="D915" i="2"/>
  <c r="D956" i="2"/>
  <c r="D999" i="2"/>
  <c r="D1041" i="2"/>
  <c r="D1085" i="2"/>
  <c r="D1125" i="2"/>
  <c r="D1170" i="2"/>
  <c r="D1213" i="2"/>
  <c r="D1254" i="2"/>
  <c r="D1288" i="2"/>
  <c r="D1318" i="2"/>
  <c r="D1349" i="2"/>
  <c r="D1374" i="2"/>
  <c r="D1399" i="2"/>
  <c r="D1425" i="2"/>
  <c r="D1453" i="2"/>
  <c r="D1477" i="2"/>
  <c r="D1503" i="2"/>
  <c r="D1527" i="2"/>
  <c r="D1549" i="2"/>
  <c r="D1569" i="2"/>
  <c r="D1590" i="2"/>
  <c r="D1613" i="2"/>
  <c r="D1635" i="2"/>
  <c r="D1653" i="2"/>
  <c r="D1676" i="2"/>
  <c r="D1698" i="2"/>
  <c r="D1719" i="2"/>
  <c r="D1741" i="2"/>
  <c r="D1761" i="2"/>
  <c r="D1782" i="2"/>
  <c r="D1805" i="2"/>
  <c r="D1827" i="2"/>
  <c r="D1845" i="2"/>
  <c r="D1868" i="2"/>
  <c r="D1890" i="2"/>
  <c r="D1911" i="2"/>
  <c r="D1933" i="2"/>
  <c r="D1953" i="2"/>
  <c r="D1974" i="2"/>
  <c r="D1997" i="2"/>
  <c r="D2019" i="2"/>
  <c r="D2037" i="2"/>
  <c r="D2060" i="2"/>
  <c r="D2082" i="2"/>
  <c r="D2103" i="2"/>
  <c r="D2125" i="2"/>
  <c r="D2145" i="2"/>
  <c r="D2166" i="2"/>
  <c r="D2189" i="2"/>
  <c r="D2211" i="2"/>
  <c r="D2229" i="2"/>
  <c r="D2252" i="2"/>
  <c r="D2274" i="2"/>
  <c r="D2295" i="2"/>
  <c r="D2317" i="2"/>
  <c r="D20" i="2"/>
  <c r="D41" i="2"/>
  <c r="D64" i="2"/>
  <c r="D86" i="2"/>
  <c r="D104" i="2"/>
  <c r="D127" i="2"/>
  <c r="D149" i="2"/>
  <c r="D170" i="2"/>
  <c r="D192" i="2"/>
  <c r="D212" i="2"/>
  <c r="E558" i="2"/>
  <c r="F558" i="2" s="1"/>
  <c r="E865" i="2"/>
  <c r="E1146" i="2"/>
  <c r="F1146" i="2" s="1"/>
  <c r="E1405" i="2"/>
  <c r="E1660" i="2"/>
  <c r="E1857" i="2"/>
  <c r="F1857" i="2" s="1"/>
  <c r="E2038" i="2"/>
  <c r="E2209" i="2"/>
  <c r="D254" i="2"/>
  <c r="D390" i="2"/>
  <c r="D481" i="2"/>
  <c r="D573" i="2"/>
  <c r="D625" i="2"/>
  <c r="D667" i="2"/>
  <c r="D709" i="2"/>
  <c r="D752" i="2"/>
  <c r="D796" i="2"/>
  <c r="D836" i="2"/>
  <c r="D881" i="2"/>
  <c r="D922" i="2"/>
  <c r="D965" i="2"/>
  <c r="D1009" i="2"/>
  <c r="D1051" i="2"/>
  <c r="D1093" i="2"/>
  <c r="D1136" i="2"/>
  <c r="D1180" i="2"/>
  <c r="D1220" i="2"/>
  <c r="D1263" i="2"/>
  <c r="D1293" i="2"/>
  <c r="D1326" i="2"/>
  <c r="D1350" i="2"/>
  <c r="D1377" i="2"/>
  <c r="D1402" i="2"/>
  <c r="D1426" i="2"/>
  <c r="D1455" i="2"/>
  <c r="D1479" i="2"/>
  <c r="D1506" i="2"/>
  <c r="D1528" i="2"/>
  <c r="D1551" i="2"/>
  <c r="D1570" i="2"/>
  <c r="D1591" i="2"/>
  <c r="D1614" i="2"/>
  <c r="D1636" i="2"/>
  <c r="D1654" i="2"/>
  <c r="D1677" i="2"/>
  <c r="D1699" i="2"/>
  <c r="D1720" i="2"/>
  <c r="D1743" i="2"/>
  <c r="D1762" i="2"/>
  <c r="D1783" i="2"/>
  <c r="D1806" i="2"/>
  <c r="D1828" i="2"/>
  <c r="D1846" i="2"/>
  <c r="D1869" i="2"/>
  <c r="D1891" i="2"/>
  <c r="D1912" i="2"/>
  <c r="D1935" i="2"/>
  <c r="D1954" i="2"/>
  <c r="D1975" i="2"/>
  <c r="D1998" i="2"/>
  <c r="D2020" i="2"/>
  <c r="D2038" i="2"/>
  <c r="D2061" i="2"/>
  <c r="D2083" i="2"/>
  <c r="D2104" i="2"/>
  <c r="D2127" i="2"/>
  <c r="D2146" i="2"/>
  <c r="D2167" i="2"/>
  <c r="D2190" i="2"/>
  <c r="D2212" i="2"/>
  <c r="D2230" i="2"/>
  <c r="D2253" i="2"/>
  <c r="D2275" i="2"/>
  <c r="D2296" i="2"/>
  <c r="D2319" i="2"/>
  <c r="D21" i="2"/>
  <c r="D42" i="2"/>
  <c r="D65" i="2"/>
  <c r="D87" i="2"/>
  <c r="D105" i="2"/>
  <c r="D128" i="2"/>
  <c r="D150" i="2"/>
  <c r="E600" i="2"/>
  <c r="F600" i="2" s="1"/>
  <c r="E898" i="2"/>
  <c r="F898" i="2" s="1"/>
  <c r="E1177" i="2"/>
  <c r="F1177" i="2" s="1"/>
  <c r="E1433" i="2"/>
  <c r="F1433" i="2" s="1"/>
  <c r="E1684" i="2"/>
  <c r="E1879" i="2"/>
  <c r="F1879" i="2" s="1"/>
  <c r="E2062" i="2"/>
  <c r="F2062" i="2" s="1"/>
  <c r="E2229" i="2"/>
  <c r="F2229" i="2" s="1"/>
  <c r="D271" i="2"/>
  <c r="D391" i="2"/>
  <c r="D484" i="2"/>
  <c r="D577" i="2"/>
  <c r="D627" i="2"/>
  <c r="D668" i="2"/>
  <c r="D711" i="2"/>
  <c r="D753" i="2"/>
  <c r="D797" i="2"/>
  <c r="D837" i="2"/>
  <c r="D882" i="2"/>
  <c r="D925" i="2"/>
  <c r="D966" i="2"/>
  <c r="D1011" i="2"/>
  <c r="D1052" i="2"/>
  <c r="D1095" i="2"/>
  <c r="D1137" i="2"/>
  <c r="D1181" i="2"/>
  <c r="D1221" i="2"/>
  <c r="D1265" i="2"/>
  <c r="D1297" i="2"/>
  <c r="D1328" i="2"/>
  <c r="D1351" i="2"/>
  <c r="D1378" i="2"/>
  <c r="D1405" i="2"/>
  <c r="D1431" i="2"/>
  <c r="D1457" i="2"/>
  <c r="D1480" i="2"/>
  <c r="D1507" i="2"/>
  <c r="D1531" i="2"/>
  <c r="D1553" i="2"/>
  <c r="D1573" i="2"/>
  <c r="D1594" i="2"/>
  <c r="D1616" i="2"/>
  <c r="D1637" i="2"/>
  <c r="D1660" i="2"/>
  <c r="D1681" i="2"/>
  <c r="D1700" i="2"/>
  <c r="D1723" i="2"/>
  <c r="D1745" i="2"/>
  <c r="D1765" i="2"/>
  <c r="D1786" i="2"/>
  <c r="D1808" i="2"/>
  <c r="D1829" i="2"/>
  <c r="D1852" i="2"/>
  <c r="D1873" i="2"/>
  <c r="D1892" i="2"/>
  <c r="D1915" i="2"/>
  <c r="D1937" i="2"/>
  <c r="D1957" i="2"/>
  <c r="D1978" i="2"/>
  <c r="D2000" i="2"/>
  <c r="D2021" i="2"/>
  <c r="D2044" i="2"/>
  <c r="D2065" i="2"/>
  <c r="D2084" i="2"/>
  <c r="D2107" i="2"/>
  <c r="D2129" i="2"/>
  <c r="D2149" i="2"/>
  <c r="D2170" i="2"/>
  <c r="D2192" i="2"/>
  <c r="D2213" i="2"/>
  <c r="D2236" i="2"/>
  <c r="D2257" i="2"/>
  <c r="D2276" i="2"/>
  <c r="D2299" i="2"/>
  <c r="D4" i="2"/>
  <c r="D24" i="2"/>
  <c r="D45" i="2"/>
  <c r="D67" i="2"/>
  <c r="D88" i="2"/>
  <c r="D111" i="2"/>
  <c r="D132" i="2"/>
  <c r="D151" i="2"/>
  <c r="E1092" i="2"/>
  <c r="F1092" i="2" s="1"/>
  <c r="E1820" i="2"/>
  <c r="F1820" i="2" s="1"/>
  <c r="D228" i="2"/>
  <c r="D550" i="2"/>
  <c r="D700" i="2"/>
  <c r="D826" i="2"/>
  <c r="D955" i="2"/>
  <c r="D1084" i="2"/>
  <c r="D1210" i="2"/>
  <c r="D1311" i="2"/>
  <c r="D1381" i="2"/>
  <c r="D1436" i="2"/>
  <c r="D1501" i="2"/>
  <c r="D1555" i="2"/>
  <c r="D1604" i="2"/>
  <c r="D1661" i="2"/>
  <c r="D1708" i="2"/>
  <c r="D1760" i="2"/>
  <c r="D1810" i="2"/>
  <c r="D1861" i="2"/>
  <c r="D1916" i="2"/>
  <c r="D1963" i="2"/>
  <c r="D2017" i="2"/>
  <c r="D2068" i="2"/>
  <c r="D2117" i="2"/>
  <c r="D2173" i="2"/>
  <c r="D2218" i="2"/>
  <c r="D2273" i="2"/>
  <c r="D6" i="2"/>
  <c r="D55" i="2"/>
  <c r="D100" i="2"/>
  <c r="D135" i="2"/>
  <c r="D168" i="2"/>
  <c r="D196" i="2"/>
  <c r="D219" i="2"/>
  <c r="E227" i="2"/>
  <c r="F227" i="2" s="1"/>
  <c r="E1184" i="2"/>
  <c r="F1184" i="2" s="1"/>
  <c r="E1883" i="2"/>
  <c r="F1883" i="2" s="1"/>
  <c r="D272" i="2"/>
  <c r="D579" i="2"/>
  <c r="D712" i="2"/>
  <c r="D838" i="2"/>
  <c r="D967" i="2"/>
  <c r="D1096" i="2"/>
  <c r="D1222" i="2"/>
  <c r="D1317" i="2"/>
  <c r="D1383" i="2"/>
  <c r="D1444" i="2"/>
  <c r="D1508" i="2"/>
  <c r="D1556" i="2"/>
  <c r="D1612" i="2"/>
  <c r="D1662" i="2"/>
  <c r="D1712" i="2"/>
  <c r="D1767" i="2"/>
  <c r="D1813" i="2"/>
  <c r="D1867" i="2"/>
  <c r="D1917" i="2"/>
  <c r="D1969" i="2"/>
  <c r="D2022" i="2"/>
  <c r="D2069" i="2"/>
  <c r="D2122" i="2"/>
  <c r="D2175" i="2"/>
  <c r="D2225" i="2"/>
  <c r="D2277" i="2"/>
  <c r="D7" i="2"/>
  <c r="D63" i="2"/>
  <c r="D101" i="2"/>
  <c r="D136" i="2"/>
  <c r="D171" i="2"/>
  <c r="D197" i="2"/>
  <c r="E231" i="2"/>
  <c r="F231" i="2" s="1"/>
  <c r="E1186" i="2"/>
  <c r="E1885" i="2"/>
  <c r="F1885" i="2" s="1"/>
  <c r="D275" i="2"/>
  <c r="D591" i="2"/>
  <c r="D717" i="2"/>
  <c r="D846" i="2"/>
  <c r="D975" i="2"/>
  <c r="D1101" i="2"/>
  <c r="D1230" i="2"/>
  <c r="D1329" i="2"/>
  <c r="D1384" i="2"/>
  <c r="D1447" i="2"/>
  <c r="D1509" i="2"/>
  <c r="D1564" i="2"/>
  <c r="D1617" i="2"/>
  <c r="D1664" i="2"/>
  <c r="D1717" i="2"/>
  <c r="D1768" i="2"/>
  <c r="D1819" i="2"/>
  <c r="D1875" i="2"/>
  <c r="D1921" i="2"/>
  <c r="D1973" i="2"/>
  <c r="D2023" i="2"/>
  <c r="D2074" i="2"/>
  <c r="D2130" i="2"/>
  <c r="D2177" i="2"/>
  <c r="D2228" i="2"/>
  <c r="D2278" i="2"/>
  <c r="D15" i="2"/>
  <c r="D68" i="2"/>
  <c r="D102" i="2"/>
  <c r="D141" i="2"/>
  <c r="D174" i="2"/>
  <c r="D198" i="2"/>
  <c r="E367" i="2"/>
  <c r="F367" i="2" s="1"/>
  <c r="E1274" i="2"/>
  <c r="F1274" i="2" s="1"/>
  <c r="E1951" i="2"/>
  <c r="F1951" i="2" s="1"/>
  <c r="D322" i="2"/>
  <c r="D605" i="2"/>
  <c r="D733" i="2"/>
  <c r="D860" i="2"/>
  <c r="D989" i="2"/>
  <c r="D1117" i="2"/>
  <c r="D1244" i="2"/>
  <c r="D1330" i="2"/>
  <c r="D1393" i="2"/>
  <c r="D1458" i="2"/>
  <c r="D1510" i="2"/>
  <c r="D1568" i="2"/>
  <c r="D1618" i="2"/>
  <c r="D1669" i="2"/>
  <c r="D1724" i="2"/>
  <c r="D1771" i="2"/>
  <c r="D1825" i="2"/>
  <c r="D1876" i="2"/>
  <c r="D1925" i="2"/>
  <c r="D1981" i="2"/>
  <c r="D2026" i="2"/>
  <c r="D2081" i="2"/>
  <c r="D2131" i="2"/>
  <c r="D2180" i="2"/>
  <c r="D2237" i="2"/>
  <c r="D2284" i="2"/>
  <c r="D19" i="2"/>
  <c r="D69" i="2"/>
  <c r="D103" i="2"/>
  <c r="D144" i="2"/>
  <c r="D175" i="2"/>
  <c r="D199" i="2"/>
  <c r="E487" i="2"/>
  <c r="F487" i="2" s="1"/>
  <c r="E1356" i="2"/>
  <c r="F1356" i="2" s="1"/>
  <c r="E2005" i="2"/>
  <c r="D366" i="2"/>
  <c r="D613" i="2"/>
  <c r="D740" i="2"/>
  <c r="D869" i="2"/>
  <c r="D997" i="2"/>
  <c r="D1124" i="2"/>
  <c r="D1253" i="2"/>
  <c r="D1335" i="2"/>
  <c r="D1398" i="2"/>
  <c r="D1459" i="2"/>
  <c r="D1520" i="2"/>
  <c r="D1575" i="2"/>
  <c r="D1621" i="2"/>
  <c r="D1675" i="2"/>
  <c r="D1725" i="2"/>
  <c r="D1777" i="2"/>
  <c r="D1830" i="2"/>
  <c r="D1877" i="2"/>
  <c r="D1930" i="2"/>
  <c r="D1983" i="2"/>
  <c r="D2033" i="2"/>
  <c r="D2085" i="2"/>
  <c r="D2132" i="2"/>
  <c r="D2188" i="2"/>
  <c r="D2238" i="2"/>
  <c r="D2288" i="2"/>
  <c r="D26" i="2"/>
  <c r="D72" i="2"/>
  <c r="D112" i="2"/>
  <c r="D146" i="2"/>
  <c r="D176" i="2"/>
  <c r="D201" i="2"/>
  <c r="E608" i="2"/>
  <c r="F608" i="2" s="1"/>
  <c r="E1440" i="2"/>
  <c r="F1440" i="2" s="1"/>
  <c r="E2063" i="2"/>
  <c r="F2063" i="2" s="1"/>
  <c r="D392" i="2"/>
  <c r="D628" i="2"/>
  <c r="D754" i="2"/>
  <c r="D883" i="2"/>
  <c r="D1012" i="2"/>
  <c r="D1138" i="2"/>
  <c r="D1266" i="2"/>
  <c r="D1340" i="2"/>
  <c r="D1407" i="2"/>
  <c r="D1461" i="2"/>
  <c r="D1525" i="2"/>
  <c r="D1576" i="2"/>
  <c r="D1627" i="2"/>
  <c r="D1683" i="2"/>
  <c r="D1729" i="2"/>
  <c r="D1781" i="2"/>
  <c r="D1831" i="2"/>
  <c r="D1882" i="2"/>
  <c r="D1938" i="2"/>
  <c r="D1985" i="2"/>
  <c r="D2036" i="2"/>
  <c r="D2086" i="2"/>
  <c r="D2140" i="2"/>
  <c r="D2193" i="2"/>
  <c r="D2240" i="2"/>
  <c r="D2293" i="2"/>
  <c r="D27" i="2"/>
  <c r="D78" i="2"/>
  <c r="D113" i="2"/>
  <c r="D148" i="2"/>
  <c r="D180" i="2"/>
  <c r="D207" i="2"/>
  <c r="E613" i="2"/>
  <c r="E1442" i="2"/>
  <c r="F1442" i="2" s="1"/>
  <c r="E2066" i="2"/>
  <c r="F2066" i="2" s="1"/>
  <c r="D411" i="2"/>
  <c r="D631" i="2"/>
  <c r="D760" i="2"/>
  <c r="D886" i="2"/>
  <c r="D1015" i="2"/>
  <c r="D1144" i="2"/>
  <c r="D1267" i="2"/>
  <c r="D1348" i="2"/>
  <c r="D1410" i="2"/>
  <c r="D1469" i="2"/>
  <c r="D1532" i="2"/>
  <c r="D1579" i="2"/>
  <c r="D1633" i="2"/>
  <c r="D1684" i="2"/>
  <c r="D1733" i="2"/>
  <c r="D1789" i="2"/>
  <c r="D1834" i="2"/>
  <c r="D1889" i="2"/>
  <c r="D1939" i="2"/>
  <c r="D1988" i="2"/>
  <c r="D2045" i="2"/>
  <c r="D2092" i="2"/>
  <c r="D2144" i="2"/>
  <c r="D2194" i="2"/>
  <c r="D2245" i="2"/>
  <c r="D2300" i="2"/>
  <c r="D30" i="2"/>
  <c r="D79" i="2"/>
  <c r="D115" i="2"/>
  <c r="D152" i="2"/>
  <c r="D183" i="2"/>
  <c r="D208" i="2"/>
  <c r="E722" i="2"/>
  <c r="F722" i="2" s="1"/>
  <c r="E1529" i="2"/>
  <c r="F1529" i="2" s="1"/>
  <c r="E2123" i="2"/>
  <c r="F2123" i="2" s="1"/>
  <c r="D440" i="2"/>
  <c r="D645" i="2"/>
  <c r="D774" i="2"/>
  <c r="D903" i="2"/>
  <c r="D1029" i="2"/>
  <c r="D1158" i="2"/>
  <c r="D1278" i="2"/>
  <c r="D1357" i="2"/>
  <c r="D1411" i="2"/>
  <c r="D1474" i="2"/>
  <c r="D1533" i="2"/>
  <c r="D1585" i="2"/>
  <c r="D1638" i="2"/>
  <c r="D1685" i="2"/>
  <c r="D1738" i="2"/>
  <c r="D1791" i="2"/>
  <c r="D1841" i="2"/>
  <c r="D1893" i="2"/>
  <c r="D1940" i="2"/>
  <c r="D1996" i="2"/>
  <c r="D2046" i="2"/>
  <c r="D2096" i="2"/>
  <c r="D2151" i="2"/>
  <c r="D2197" i="2"/>
  <c r="D2251" i="2"/>
  <c r="D2301" i="2"/>
  <c r="D36" i="2"/>
  <c r="D80" i="2"/>
  <c r="D120" i="2"/>
  <c r="D153" i="2"/>
  <c r="D184" i="2"/>
  <c r="D209" i="2"/>
  <c r="E812" i="2"/>
  <c r="F812" i="2" s="1"/>
  <c r="E1611" i="2"/>
  <c r="F1611" i="2" s="1"/>
  <c r="E2179" i="2"/>
  <c r="F2179" i="2" s="1"/>
  <c r="D458" i="2"/>
  <c r="D656" i="2"/>
  <c r="D785" i="2"/>
  <c r="D913" i="2"/>
  <c r="D1040" i="2"/>
  <c r="D1169" i="2"/>
  <c r="D1287" i="2"/>
  <c r="D1359" i="2"/>
  <c r="D1414" i="2"/>
  <c r="D1484" i="2"/>
  <c r="D1537" i="2"/>
  <c r="D1589" i="2"/>
  <c r="D1639" i="2"/>
  <c r="D1690" i="2"/>
  <c r="D1746" i="2"/>
  <c r="D1793" i="2"/>
  <c r="D1844" i="2"/>
  <c r="D1894" i="2"/>
  <c r="D1948" i="2"/>
  <c r="D2001" i="2"/>
  <c r="D2048" i="2"/>
  <c r="D2101" i="2"/>
  <c r="D2152" i="2"/>
  <c r="D2203" i="2"/>
  <c r="D2259" i="2"/>
  <c r="D2305" i="2"/>
  <c r="D40" i="2"/>
  <c r="D84" i="2"/>
  <c r="D122" i="2"/>
  <c r="D159" i="2"/>
  <c r="D185" i="2"/>
  <c r="D211" i="2"/>
  <c r="E904" i="2"/>
  <c r="F904" i="2" s="1"/>
  <c r="E1689" i="2"/>
  <c r="F1689" i="2" s="1"/>
  <c r="E2230" i="2"/>
  <c r="F2230" i="2" s="1"/>
  <c r="D488" i="2"/>
  <c r="D669" i="2"/>
  <c r="D798" i="2"/>
  <c r="D927" i="2"/>
  <c r="D1053" i="2"/>
  <c r="D1182" i="2"/>
  <c r="D1299" i="2"/>
  <c r="D1361" i="2"/>
  <c r="D1424" i="2"/>
  <c r="D1485" i="2"/>
  <c r="D1541" i="2"/>
  <c r="D1597" i="2"/>
  <c r="D1642" i="2"/>
  <c r="D1697" i="2"/>
  <c r="D1747" i="2"/>
  <c r="D1796" i="2"/>
  <c r="D1853" i="2"/>
  <c r="D1900" i="2"/>
  <c r="D1952" i="2"/>
  <c r="D2002" i="2"/>
  <c r="D2053" i="2"/>
  <c r="D2108" i="2"/>
  <c r="D2155" i="2"/>
  <c r="D2209" i="2"/>
  <c r="D2260" i="2"/>
  <c r="D2309" i="2"/>
  <c r="D48" i="2"/>
  <c r="D89" i="2"/>
  <c r="D123" i="2"/>
  <c r="D163" i="2"/>
  <c r="D186" i="2"/>
  <c r="D213" i="2"/>
  <c r="E906" i="2"/>
  <c r="F906" i="2" s="1"/>
  <c r="E1691" i="2"/>
  <c r="F1691" i="2" s="1"/>
  <c r="E2237" i="2"/>
  <c r="F2237" i="2" s="1"/>
  <c r="D505" i="2"/>
  <c r="D676" i="2"/>
  <c r="D802" i="2"/>
  <c r="D931" i="2"/>
  <c r="D1060" i="2"/>
  <c r="D1186" i="2"/>
  <c r="D1300" i="2"/>
  <c r="D1365" i="2"/>
  <c r="D1432" i="2"/>
  <c r="D1489" i="2"/>
  <c r="D1546" i="2"/>
  <c r="D1599" i="2"/>
  <c r="D1649" i="2"/>
  <c r="D1701" i="2"/>
  <c r="D1748" i="2"/>
  <c r="D1804" i="2"/>
  <c r="D1854" i="2"/>
  <c r="D1904" i="2"/>
  <c r="D1959" i="2"/>
  <c r="D2005" i="2"/>
  <c r="D2059" i="2"/>
  <c r="D2109" i="2"/>
  <c r="D2161" i="2"/>
  <c r="D2214" i="2"/>
  <c r="D2261" i="2"/>
  <c r="D2314" i="2"/>
  <c r="D50" i="2"/>
  <c r="D90" i="2"/>
  <c r="D126" i="2"/>
  <c r="D164" i="2"/>
  <c r="D189" i="2"/>
  <c r="D216" i="2"/>
  <c r="E1003" i="2"/>
  <c r="F1003" i="2" s="1"/>
  <c r="E1759" i="2"/>
  <c r="F1759" i="2" s="1"/>
  <c r="E2280" i="2"/>
  <c r="F2280" i="2" s="1"/>
  <c r="D531" i="2"/>
  <c r="D690" i="2"/>
  <c r="D819" i="2"/>
  <c r="D945" i="2"/>
  <c r="D1074" i="2"/>
  <c r="D1203" i="2"/>
  <c r="D1303" i="2"/>
  <c r="D1373" i="2"/>
  <c r="D1435" i="2"/>
  <c r="D1494" i="2"/>
  <c r="D1554" i="2"/>
  <c r="D1601" i="2"/>
  <c r="D1652" i="2"/>
  <c r="D1702" i="2"/>
  <c r="D1756" i="2"/>
  <c r="D1809" i="2"/>
  <c r="D1856" i="2"/>
  <c r="D1909" i="2"/>
  <c r="D1960" i="2"/>
  <c r="D2011" i="2"/>
  <c r="D2067" i="2"/>
  <c r="D2113" i="2"/>
  <c r="D2165" i="2"/>
  <c r="D2215" i="2"/>
  <c r="D2266" i="2"/>
  <c r="D5" i="2"/>
  <c r="D52" i="2"/>
  <c r="D93" i="2"/>
  <c r="D134" i="2"/>
  <c r="D165" i="2"/>
  <c r="D194" i="2"/>
  <c r="D218" i="2"/>
  <c r="A2" i="2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6" i="2" a="1"/>
  <c r="C16" i="2" s="1"/>
  <c r="C17" i="2" a="1"/>
  <c r="C17" i="2" s="1"/>
  <c r="C18" i="2" a="1"/>
  <c r="C18" i="2" s="1"/>
  <c r="C30" i="2" a="1"/>
  <c r="C30" i="2" s="1"/>
  <c r="C42" i="2" a="1"/>
  <c r="C42" i="2" s="1"/>
  <c r="C54" i="2" a="1"/>
  <c r="C54" i="2" s="1"/>
  <c r="C19" i="2" a="1"/>
  <c r="C19" i="2" s="1"/>
  <c r="C31" i="2" a="1"/>
  <c r="C31" i="2" s="1"/>
  <c r="C43" i="2" a="1"/>
  <c r="C43" i="2" s="1"/>
  <c r="C20" i="2" a="1"/>
  <c r="C20" i="2" s="1"/>
  <c r="C32" i="2" a="1"/>
  <c r="C32" i="2" s="1"/>
  <c r="C44" i="2" a="1"/>
  <c r="C44" i="2" s="1"/>
  <c r="C21" i="2" a="1"/>
  <c r="C21" i="2" s="1"/>
  <c r="C33" i="2" a="1"/>
  <c r="C33" i="2" s="1"/>
  <c r="C45" i="2" a="1"/>
  <c r="C45" i="2" s="1"/>
  <c r="C57" i="2" a="1"/>
  <c r="C57" i="2" s="1"/>
  <c r="C22" i="2" a="1"/>
  <c r="C22" i="2" s="1"/>
  <c r="C34" i="2" a="1"/>
  <c r="C34" i="2" s="1"/>
  <c r="C46" i="2" a="1"/>
  <c r="C46" i="2" s="1"/>
  <c r="C58" i="2" a="1"/>
  <c r="C58" i="2" s="1"/>
  <c r="C23" i="2" a="1"/>
  <c r="C23" i="2" s="1"/>
  <c r="C35" i="2" a="1"/>
  <c r="C35" i="2" s="1"/>
  <c r="C47" i="2" a="1"/>
  <c r="C47" i="2" s="1"/>
  <c r="C24" i="2" a="1"/>
  <c r="C24" i="2" s="1"/>
  <c r="C36" i="2" a="1"/>
  <c r="C36" i="2" s="1"/>
  <c r="C48" i="2" a="1"/>
  <c r="C48" i="2" s="1"/>
  <c r="C60" i="2" a="1"/>
  <c r="C60" i="2" s="1"/>
  <c r="C3" i="2" a="1"/>
  <c r="C3" i="2" s="1"/>
  <c r="C37" i="2" a="1"/>
  <c r="C37" i="2" s="1"/>
  <c r="C38" i="2" a="1"/>
  <c r="C38" i="2" s="1"/>
  <c r="C39" i="2" a="1"/>
  <c r="C39" i="2" s="1"/>
  <c r="C8" i="2" a="1"/>
  <c r="C8" i="2" s="1"/>
  <c r="C9" i="2" a="1"/>
  <c r="C9" i="2" s="1"/>
  <c r="C15" i="2" a="1"/>
  <c r="C15" i="2" s="1"/>
  <c r="C25" i="2" a="1"/>
  <c r="C25" i="2" s="1"/>
  <c r="C26" i="2" a="1"/>
  <c r="C26" i="2" s="1"/>
  <c r="C29" i="2" a="1"/>
  <c r="C29" i="2" s="1"/>
  <c r="C28" i="2" a="1"/>
  <c r="C28" i="2" s="1"/>
  <c r="C62" i="2" a="1"/>
  <c r="C62" i="2" s="1"/>
  <c r="C74" i="2" a="1"/>
  <c r="C74" i="2" s="1"/>
  <c r="C86" i="2" a="1"/>
  <c r="C86" i="2" s="1"/>
  <c r="C40" i="2" a="1"/>
  <c r="C40" i="2" s="1"/>
  <c r="C63" i="2" a="1"/>
  <c r="C63" i="2" s="1"/>
  <c r="C75" i="2" a="1"/>
  <c r="C75" i="2" s="1"/>
  <c r="C87" i="2" a="1"/>
  <c r="C87" i="2" s="1"/>
  <c r="C99" i="2" a="1"/>
  <c r="C99" i="2" s="1"/>
  <c r="C41" i="2" a="1"/>
  <c r="C41" i="2" s="1"/>
  <c r="C64" i="2" a="1"/>
  <c r="C64" i="2" s="1"/>
  <c r="C76" i="2" a="1"/>
  <c r="C76" i="2" s="1"/>
  <c r="C88" i="2" a="1"/>
  <c r="C88" i="2" s="1"/>
  <c r="C100" i="2" a="1"/>
  <c r="C100" i="2" s="1"/>
  <c r="C49" i="2" a="1"/>
  <c r="C49" i="2" s="1"/>
  <c r="C65" i="2" a="1"/>
  <c r="C65" i="2" s="1"/>
  <c r="C77" i="2" a="1"/>
  <c r="C77" i="2" s="1"/>
  <c r="C89" i="2" a="1"/>
  <c r="C89" i="2" s="1"/>
  <c r="C101" i="2" a="1"/>
  <c r="C101" i="2" s="1"/>
  <c r="C50" i="2" a="1"/>
  <c r="C50" i="2" s="1"/>
  <c r="C66" i="2" a="1"/>
  <c r="C66" i="2" s="1"/>
  <c r="C51" i="2" a="1"/>
  <c r="C51" i="2" s="1"/>
  <c r="C67" i="2" a="1"/>
  <c r="C67" i="2" s="1"/>
  <c r="C79" i="2" a="1"/>
  <c r="C79" i="2" s="1"/>
  <c r="C91" i="2" a="1"/>
  <c r="C91" i="2" s="1"/>
  <c r="C103" i="2" a="1"/>
  <c r="C103" i="2" s="1"/>
  <c r="C52" i="2" a="1"/>
  <c r="C52" i="2" s="1"/>
  <c r="C68" i="2" a="1"/>
  <c r="C68" i="2" s="1"/>
  <c r="C80" i="2" a="1"/>
  <c r="C80" i="2" s="1"/>
  <c r="C92" i="2" a="1"/>
  <c r="C92" i="2" s="1"/>
  <c r="C104" i="2" a="1"/>
  <c r="C104" i="2" s="1"/>
  <c r="C53" i="2" a="1"/>
  <c r="C53" i="2" s="1"/>
  <c r="C69" i="2" a="1"/>
  <c r="C69" i="2" s="1"/>
  <c r="C81" i="2" a="1"/>
  <c r="C81" i="2" s="1"/>
  <c r="C93" i="2" a="1"/>
  <c r="C93" i="2" s="1"/>
  <c r="C105" i="2" a="1"/>
  <c r="C105" i="2" s="1"/>
  <c r="C56" i="2" a="1"/>
  <c r="C56" i="2" s="1"/>
  <c r="C71" i="2" a="1"/>
  <c r="C71" i="2" s="1"/>
  <c r="C83" i="2" a="1"/>
  <c r="C83" i="2" s="1"/>
  <c r="C95" i="2" a="1"/>
  <c r="C95" i="2" s="1"/>
  <c r="C107" i="2" a="1"/>
  <c r="C107" i="2" s="1"/>
  <c r="C27" i="2" a="1"/>
  <c r="C27" i="2" s="1"/>
  <c r="C61" i="2" a="1"/>
  <c r="C61" i="2" s="1"/>
  <c r="C73" i="2" a="1"/>
  <c r="C73" i="2" s="1"/>
  <c r="C85" i="2" a="1"/>
  <c r="C85" i="2" s="1"/>
  <c r="C97" i="2" a="1"/>
  <c r="C97" i="2" s="1"/>
  <c r="C82" i="2" a="1"/>
  <c r="C82" i="2" s="1"/>
  <c r="C112" i="2" a="1"/>
  <c r="C112" i="2" s="1"/>
  <c r="C124" i="2" a="1"/>
  <c r="C124" i="2" s="1"/>
  <c r="C136" i="2" a="1"/>
  <c r="C136" i="2" s="1"/>
  <c r="C148" i="2" a="1"/>
  <c r="C148" i="2" s="1"/>
  <c r="C160" i="2" a="1"/>
  <c r="C160" i="2" s="1"/>
  <c r="C172" i="2" a="1"/>
  <c r="C172" i="2" s="1"/>
  <c r="C184" i="2" a="1"/>
  <c r="C184" i="2" s="1"/>
  <c r="C196" i="2" a="1"/>
  <c r="C196" i="2" s="1"/>
  <c r="C208" i="2" a="1"/>
  <c r="C208" i="2" s="1"/>
  <c r="C220" i="2" a="1"/>
  <c r="C220" i="2" s="1"/>
  <c r="C232" i="2" a="1"/>
  <c r="C232" i="2" s="1"/>
  <c r="C244" i="2" a="1"/>
  <c r="C244" i="2" s="1"/>
  <c r="C256" i="2" a="1"/>
  <c r="C256" i="2" s="1"/>
  <c r="C268" i="2" a="1"/>
  <c r="C268" i="2" s="1"/>
  <c r="C280" i="2" a="1"/>
  <c r="C280" i="2" s="1"/>
  <c r="C292" i="2" a="1"/>
  <c r="C292" i="2" s="1"/>
  <c r="C304" i="2" a="1"/>
  <c r="C304" i="2" s="1"/>
  <c r="C316" i="2" a="1"/>
  <c r="C316" i="2" s="1"/>
  <c r="C328" i="2" a="1"/>
  <c r="C328" i="2" s="1"/>
  <c r="C340" i="2" a="1"/>
  <c r="C340" i="2" s="1"/>
  <c r="C352" i="2" a="1"/>
  <c r="C352" i="2" s="1"/>
  <c r="C364" i="2" a="1"/>
  <c r="C364" i="2" s="1"/>
  <c r="C376" i="2" a="1"/>
  <c r="C376" i="2" s="1"/>
  <c r="C388" i="2" a="1"/>
  <c r="C388" i="2" s="1"/>
  <c r="C400" i="2" a="1"/>
  <c r="C400" i="2" s="1"/>
  <c r="C412" i="2" a="1"/>
  <c r="C412" i="2" s="1"/>
  <c r="C424" i="2" a="1"/>
  <c r="C424" i="2" s="1"/>
  <c r="C436" i="2" a="1"/>
  <c r="C436" i="2" s="1"/>
  <c r="C448" i="2" a="1"/>
  <c r="C448" i="2" s="1"/>
  <c r="C460" i="2" a="1"/>
  <c r="C460" i="2" s="1"/>
  <c r="C472" i="2" a="1"/>
  <c r="C472" i="2" s="1"/>
  <c r="C484" i="2" a="1"/>
  <c r="C484" i="2" s="1"/>
  <c r="C496" i="2" a="1"/>
  <c r="C496" i="2" s="1"/>
  <c r="C508" i="2" a="1"/>
  <c r="C508" i="2" s="1"/>
  <c r="C520" i="2" a="1"/>
  <c r="C520" i="2" s="1"/>
  <c r="C532" i="2" a="1"/>
  <c r="C532" i="2" s="1"/>
  <c r="C544" i="2" a="1"/>
  <c r="C544" i="2" s="1"/>
  <c r="C556" i="2" a="1"/>
  <c r="C556" i="2" s="1"/>
  <c r="C568" i="2" a="1"/>
  <c r="C568" i="2" s="1"/>
  <c r="C580" i="2" a="1"/>
  <c r="C580" i="2" s="1"/>
  <c r="C592" i="2" a="1"/>
  <c r="C592" i="2" s="1"/>
  <c r="C604" i="2" a="1"/>
  <c r="C604" i="2" s="1"/>
  <c r="C616" i="2" a="1"/>
  <c r="C616" i="2" s="1"/>
  <c r="C628" i="2" a="1"/>
  <c r="C628" i="2" s="1"/>
  <c r="C640" i="2" a="1"/>
  <c r="C640" i="2" s="1"/>
  <c r="C652" i="2" a="1"/>
  <c r="C652" i="2" s="1"/>
  <c r="C664" i="2" a="1"/>
  <c r="C664" i="2" s="1"/>
  <c r="C676" i="2" a="1"/>
  <c r="C676" i="2" s="1"/>
  <c r="C688" i="2" a="1"/>
  <c r="C688" i="2" s="1"/>
  <c r="C700" i="2" a="1"/>
  <c r="C700" i="2" s="1"/>
  <c r="C712" i="2" a="1"/>
  <c r="C712" i="2" s="1"/>
  <c r="C724" i="2" a="1"/>
  <c r="C724" i="2" s="1"/>
  <c r="C736" i="2" a="1"/>
  <c r="C736" i="2" s="1"/>
  <c r="C748" i="2" a="1"/>
  <c r="C748" i="2" s="1"/>
  <c r="C760" i="2" a="1"/>
  <c r="C760" i="2" s="1"/>
  <c r="C772" i="2" a="1"/>
  <c r="C772" i="2" s="1"/>
  <c r="C784" i="2" a="1"/>
  <c r="C784" i="2" s="1"/>
  <c r="C796" i="2" a="1"/>
  <c r="C796" i="2" s="1"/>
  <c r="C808" i="2" a="1"/>
  <c r="C808" i="2" s="1"/>
  <c r="C820" i="2" a="1"/>
  <c r="C820" i="2" s="1"/>
  <c r="C832" i="2" a="1"/>
  <c r="C832" i="2" s="1"/>
  <c r="C844" i="2" a="1"/>
  <c r="C844" i="2" s="1"/>
  <c r="C856" i="2" a="1"/>
  <c r="C856" i="2" s="1"/>
  <c r="C868" i="2" a="1"/>
  <c r="C868" i="2" s="1"/>
  <c r="C880" i="2" a="1"/>
  <c r="C880" i="2" s="1"/>
  <c r="C892" i="2" a="1"/>
  <c r="C892" i="2" s="1"/>
  <c r="C904" i="2" a="1"/>
  <c r="C904" i="2" s="1"/>
  <c r="C916" i="2" a="1"/>
  <c r="C916" i="2" s="1"/>
  <c r="C928" i="2" a="1"/>
  <c r="C928" i="2" s="1"/>
  <c r="C940" i="2" a="1"/>
  <c r="C940" i="2" s="1"/>
  <c r="C952" i="2" a="1"/>
  <c r="C952" i="2" s="1"/>
  <c r="C964" i="2" a="1"/>
  <c r="C964" i="2" s="1"/>
  <c r="C976" i="2" a="1"/>
  <c r="C976" i="2" s="1"/>
  <c r="C988" i="2" a="1"/>
  <c r="C988" i="2" s="1"/>
  <c r="C1000" i="2" a="1"/>
  <c r="C1000" i="2" s="1"/>
  <c r="C1012" i="2" a="1"/>
  <c r="C1012" i="2" s="1"/>
  <c r="C1024" i="2" a="1"/>
  <c r="C1024" i="2" s="1"/>
  <c r="C1036" i="2" a="1"/>
  <c r="C1036" i="2" s="1"/>
  <c r="C1048" i="2" a="1"/>
  <c r="C1048" i="2" s="1"/>
  <c r="C1060" i="2" a="1"/>
  <c r="C1060" i="2" s="1"/>
  <c r="C1072" i="2" a="1"/>
  <c r="C1072" i="2" s="1"/>
  <c r="C1084" i="2" a="1"/>
  <c r="C1084" i="2" s="1"/>
  <c r="C1096" i="2" a="1"/>
  <c r="C1096" i="2" s="1"/>
  <c r="C1108" i="2" a="1"/>
  <c r="C1108" i="2" s="1"/>
  <c r="C1120" i="2" a="1"/>
  <c r="C1120" i="2" s="1"/>
  <c r="C1132" i="2" a="1"/>
  <c r="C1132" i="2" s="1"/>
  <c r="C1144" i="2" a="1"/>
  <c r="C1144" i="2" s="1"/>
  <c r="C1156" i="2" a="1"/>
  <c r="C1156" i="2" s="1"/>
  <c r="C1168" i="2" a="1"/>
  <c r="C1168" i="2" s="1"/>
  <c r="C1180" i="2" a="1"/>
  <c r="C1180" i="2" s="1"/>
  <c r="C1192" i="2" a="1"/>
  <c r="C1192" i="2" s="1"/>
  <c r="C1204" i="2" a="1"/>
  <c r="C1204" i="2" s="1"/>
  <c r="C1216" i="2" a="1"/>
  <c r="C1216" i="2" s="1"/>
  <c r="C1228" i="2" a="1"/>
  <c r="C1228" i="2" s="1"/>
  <c r="C1240" i="2" a="1"/>
  <c r="C1240" i="2" s="1"/>
  <c r="C1252" i="2" a="1"/>
  <c r="C1252" i="2" s="1"/>
  <c r="C1264" i="2" a="1"/>
  <c r="C1264" i="2" s="1"/>
  <c r="C1276" i="2" a="1"/>
  <c r="C1276" i="2" s="1"/>
  <c r="C1288" i="2" a="1"/>
  <c r="C1288" i="2" s="1"/>
  <c r="C1300" i="2" a="1"/>
  <c r="C1300" i="2" s="1"/>
  <c r="C1312" i="2" a="1"/>
  <c r="C1312" i="2" s="1"/>
  <c r="C1324" i="2" a="1"/>
  <c r="C1324" i="2" s="1"/>
  <c r="C1336" i="2" a="1"/>
  <c r="C1336" i="2" s="1"/>
  <c r="C1348" i="2" a="1"/>
  <c r="C1348" i="2" s="1"/>
  <c r="C1360" i="2" a="1"/>
  <c r="C1360" i="2" s="1"/>
  <c r="C1372" i="2" a="1"/>
  <c r="C1372" i="2" s="1"/>
  <c r="C1384" i="2" a="1"/>
  <c r="C1384" i="2" s="1"/>
  <c r="C1396" i="2" a="1"/>
  <c r="C1396" i="2" s="1"/>
  <c r="C1408" i="2" a="1"/>
  <c r="C1408" i="2" s="1"/>
  <c r="C1420" i="2" a="1"/>
  <c r="C1420" i="2" s="1"/>
  <c r="C1432" i="2" a="1"/>
  <c r="C1432" i="2" s="1"/>
  <c r="C1444" i="2" a="1"/>
  <c r="C1444" i="2" s="1"/>
  <c r="C1456" i="2" a="1"/>
  <c r="C1456" i="2" s="1"/>
  <c r="C1468" i="2" a="1"/>
  <c r="C1468" i="2" s="1"/>
  <c r="C1480" i="2" a="1"/>
  <c r="C1480" i="2" s="1"/>
  <c r="C1492" i="2" a="1"/>
  <c r="C1492" i="2" s="1"/>
  <c r="C1504" i="2" a="1"/>
  <c r="C1504" i="2" s="1"/>
  <c r="C1516" i="2" a="1"/>
  <c r="C1516" i="2" s="1"/>
  <c r="C1528" i="2" a="1"/>
  <c r="C1528" i="2" s="1"/>
  <c r="C1540" i="2" a="1"/>
  <c r="C1540" i="2" s="1"/>
  <c r="C1552" i="2" a="1"/>
  <c r="C1552" i="2" s="1"/>
  <c r="C1564" i="2" a="1"/>
  <c r="C1564" i="2" s="1"/>
  <c r="C1576" i="2" a="1"/>
  <c r="C1576" i="2" s="1"/>
  <c r="C84" i="2" a="1"/>
  <c r="C84" i="2" s="1"/>
  <c r="C113" i="2" a="1"/>
  <c r="C113" i="2" s="1"/>
  <c r="C125" i="2" a="1"/>
  <c r="C125" i="2" s="1"/>
  <c r="C137" i="2" a="1"/>
  <c r="C137" i="2" s="1"/>
  <c r="C149" i="2" a="1"/>
  <c r="C149" i="2" s="1"/>
  <c r="C161" i="2" a="1"/>
  <c r="C161" i="2" s="1"/>
  <c r="C173" i="2" a="1"/>
  <c r="C173" i="2" s="1"/>
  <c r="C185" i="2" a="1"/>
  <c r="C185" i="2" s="1"/>
  <c r="C197" i="2" a="1"/>
  <c r="C197" i="2" s="1"/>
  <c r="C209" i="2" a="1"/>
  <c r="C209" i="2" s="1"/>
  <c r="C221" i="2" a="1"/>
  <c r="C221" i="2" s="1"/>
  <c r="C233" i="2" a="1"/>
  <c r="C233" i="2" s="1"/>
  <c r="C245" i="2" a="1"/>
  <c r="C245" i="2" s="1"/>
  <c r="C257" i="2" a="1"/>
  <c r="C257" i="2" s="1"/>
  <c r="C269" i="2" a="1"/>
  <c r="C269" i="2" s="1"/>
  <c r="C281" i="2" a="1"/>
  <c r="C281" i="2" s="1"/>
  <c r="C293" i="2" a="1"/>
  <c r="C293" i="2" s="1"/>
  <c r="C305" i="2" a="1"/>
  <c r="C305" i="2" s="1"/>
  <c r="C317" i="2" a="1"/>
  <c r="C317" i="2" s="1"/>
  <c r="C329" i="2" a="1"/>
  <c r="C329" i="2" s="1"/>
  <c r="C341" i="2" a="1"/>
  <c r="C341" i="2" s="1"/>
  <c r="C353" i="2" a="1"/>
  <c r="C353" i="2" s="1"/>
  <c r="C365" i="2" a="1"/>
  <c r="C365" i="2" s="1"/>
  <c r="C377" i="2" a="1"/>
  <c r="C377" i="2" s="1"/>
  <c r="C389" i="2" a="1"/>
  <c r="C389" i="2" s="1"/>
  <c r="C401" i="2" a="1"/>
  <c r="C401" i="2" s="1"/>
  <c r="C413" i="2" a="1"/>
  <c r="C413" i="2" s="1"/>
  <c r="C425" i="2" a="1"/>
  <c r="C425" i="2" s="1"/>
  <c r="C437" i="2" a="1"/>
  <c r="C437" i="2" s="1"/>
  <c r="C449" i="2" a="1"/>
  <c r="C449" i="2" s="1"/>
  <c r="C461" i="2" a="1"/>
  <c r="C461" i="2" s="1"/>
  <c r="C473" i="2" a="1"/>
  <c r="C473" i="2" s="1"/>
  <c r="C485" i="2" a="1"/>
  <c r="C485" i="2" s="1"/>
  <c r="C497" i="2" a="1"/>
  <c r="C497" i="2" s="1"/>
  <c r="C509" i="2" a="1"/>
  <c r="C509" i="2" s="1"/>
  <c r="C521" i="2" a="1"/>
  <c r="C521" i="2" s="1"/>
  <c r="C533" i="2" a="1"/>
  <c r="C533" i="2" s="1"/>
  <c r="C545" i="2" a="1"/>
  <c r="C545" i="2" s="1"/>
  <c r="C557" i="2" a="1"/>
  <c r="C557" i="2" s="1"/>
  <c r="C569" i="2" a="1"/>
  <c r="C569" i="2" s="1"/>
  <c r="C581" i="2" a="1"/>
  <c r="C581" i="2" s="1"/>
  <c r="C593" i="2" a="1"/>
  <c r="C593" i="2" s="1"/>
  <c r="C605" i="2" a="1"/>
  <c r="C605" i="2" s="1"/>
  <c r="C617" i="2" a="1"/>
  <c r="C617" i="2" s="1"/>
  <c r="C629" i="2" a="1"/>
  <c r="C629" i="2" s="1"/>
  <c r="C641" i="2" a="1"/>
  <c r="C641" i="2" s="1"/>
  <c r="C653" i="2" a="1"/>
  <c r="C653" i="2" s="1"/>
  <c r="C665" i="2" a="1"/>
  <c r="C665" i="2" s="1"/>
  <c r="C677" i="2" a="1"/>
  <c r="C677" i="2" s="1"/>
  <c r="C689" i="2" a="1"/>
  <c r="C689" i="2" s="1"/>
  <c r="C701" i="2" a="1"/>
  <c r="C701" i="2" s="1"/>
  <c r="C713" i="2" a="1"/>
  <c r="C713" i="2" s="1"/>
  <c r="C725" i="2" a="1"/>
  <c r="C725" i="2" s="1"/>
  <c r="C737" i="2" a="1"/>
  <c r="C737" i="2" s="1"/>
  <c r="C749" i="2" a="1"/>
  <c r="C749" i="2" s="1"/>
  <c r="C761" i="2" a="1"/>
  <c r="C761" i="2" s="1"/>
  <c r="C773" i="2" a="1"/>
  <c r="C773" i="2" s="1"/>
  <c r="C785" i="2" a="1"/>
  <c r="C785" i="2" s="1"/>
  <c r="C797" i="2" a="1"/>
  <c r="C797" i="2" s="1"/>
  <c r="C809" i="2" a="1"/>
  <c r="C809" i="2" s="1"/>
  <c r="C821" i="2" a="1"/>
  <c r="C821" i="2" s="1"/>
  <c r="C833" i="2" a="1"/>
  <c r="C833" i="2" s="1"/>
  <c r="C845" i="2" a="1"/>
  <c r="C845" i="2" s="1"/>
  <c r="C857" i="2" a="1"/>
  <c r="C857" i="2" s="1"/>
  <c r="C869" i="2" a="1"/>
  <c r="C869" i="2" s="1"/>
  <c r="C881" i="2" a="1"/>
  <c r="C881" i="2" s="1"/>
  <c r="C893" i="2" a="1"/>
  <c r="C893" i="2" s="1"/>
  <c r="C905" i="2" a="1"/>
  <c r="C905" i="2" s="1"/>
  <c r="C917" i="2" a="1"/>
  <c r="C917" i="2" s="1"/>
  <c r="C929" i="2" a="1"/>
  <c r="C929" i="2" s="1"/>
  <c r="C941" i="2" a="1"/>
  <c r="C941" i="2" s="1"/>
  <c r="C953" i="2" a="1"/>
  <c r="C953" i="2" s="1"/>
  <c r="C965" i="2" a="1"/>
  <c r="C965" i="2" s="1"/>
  <c r="C977" i="2" a="1"/>
  <c r="C977" i="2" s="1"/>
  <c r="C989" i="2" a="1"/>
  <c r="C989" i="2" s="1"/>
  <c r="C1001" i="2" a="1"/>
  <c r="C1001" i="2" s="1"/>
  <c r="C1013" i="2" a="1"/>
  <c r="C1013" i="2" s="1"/>
  <c r="C1025" i="2" a="1"/>
  <c r="C1025" i="2" s="1"/>
  <c r="C1037" i="2" a="1"/>
  <c r="C1037" i="2" s="1"/>
  <c r="C1049" i="2" a="1"/>
  <c r="C1049" i="2" s="1"/>
  <c r="C1061" i="2" a="1"/>
  <c r="C1061" i="2" s="1"/>
  <c r="C1073" i="2" a="1"/>
  <c r="C1073" i="2" s="1"/>
  <c r="C1085" i="2" a="1"/>
  <c r="C1085" i="2" s="1"/>
  <c r="C1097" i="2" a="1"/>
  <c r="C1097" i="2" s="1"/>
  <c r="C1109" i="2" a="1"/>
  <c r="C1109" i="2" s="1"/>
  <c r="C1121" i="2" a="1"/>
  <c r="C1121" i="2" s="1"/>
  <c r="C1133" i="2" a="1"/>
  <c r="C1133" i="2" s="1"/>
  <c r="C1145" i="2" a="1"/>
  <c r="C1145" i="2" s="1"/>
  <c r="C1157" i="2" a="1"/>
  <c r="C1157" i="2" s="1"/>
  <c r="C1169" i="2" a="1"/>
  <c r="C1169" i="2" s="1"/>
  <c r="C1181" i="2" a="1"/>
  <c r="C1181" i="2" s="1"/>
  <c r="C1193" i="2" a="1"/>
  <c r="C1193" i="2" s="1"/>
  <c r="C1205" i="2" a="1"/>
  <c r="C1205" i="2" s="1"/>
  <c r="C1217" i="2" a="1"/>
  <c r="C1217" i="2" s="1"/>
  <c r="C1229" i="2" a="1"/>
  <c r="C1229" i="2" s="1"/>
  <c r="C1241" i="2" a="1"/>
  <c r="C1241" i="2" s="1"/>
  <c r="C1253" i="2" a="1"/>
  <c r="C1253" i="2" s="1"/>
  <c r="C1265" i="2" a="1"/>
  <c r="C1265" i="2" s="1"/>
  <c r="C1277" i="2" a="1"/>
  <c r="C1277" i="2" s="1"/>
  <c r="C1289" i="2" a="1"/>
  <c r="C1289" i="2" s="1"/>
  <c r="C1301" i="2" a="1"/>
  <c r="C1301" i="2" s="1"/>
  <c r="C1313" i="2" a="1"/>
  <c r="C1313" i="2" s="1"/>
  <c r="C1325" i="2" a="1"/>
  <c r="C1325" i="2" s="1"/>
  <c r="C1337" i="2" a="1"/>
  <c r="C1337" i="2" s="1"/>
  <c r="C1349" i="2" a="1"/>
  <c r="C1349" i="2" s="1"/>
  <c r="C1361" i="2" a="1"/>
  <c r="C1361" i="2" s="1"/>
  <c r="C1373" i="2" a="1"/>
  <c r="C1373" i="2" s="1"/>
  <c r="C1385" i="2" a="1"/>
  <c r="C1385" i="2" s="1"/>
  <c r="C1397" i="2" a="1"/>
  <c r="C1397" i="2" s="1"/>
  <c r="C1409" i="2" a="1"/>
  <c r="C1409" i="2" s="1"/>
  <c r="C1421" i="2" a="1"/>
  <c r="C1421" i="2" s="1"/>
  <c r="C1433" i="2" a="1"/>
  <c r="C1433" i="2" s="1"/>
  <c r="C1445" i="2" a="1"/>
  <c r="C1445" i="2" s="1"/>
  <c r="C1457" i="2" a="1"/>
  <c r="C1457" i="2" s="1"/>
  <c r="C1469" i="2" a="1"/>
  <c r="C1469" i="2" s="1"/>
  <c r="C1481" i="2" a="1"/>
  <c r="C1481" i="2" s="1"/>
  <c r="C1493" i="2" a="1"/>
  <c r="C1493" i="2" s="1"/>
  <c r="C1505" i="2" a="1"/>
  <c r="C1505" i="2" s="1"/>
  <c r="C1517" i="2" a="1"/>
  <c r="C1517" i="2" s="1"/>
  <c r="C1529" i="2" a="1"/>
  <c r="C1529" i="2" s="1"/>
  <c r="C1541" i="2" a="1"/>
  <c r="C1541" i="2" s="1"/>
  <c r="C1553" i="2" a="1"/>
  <c r="C1553" i="2" s="1"/>
  <c r="C1565" i="2" a="1"/>
  <c r="C1565" i="2" s="1"/>
  <c r="C1577" i="2" a="1"/>
  <c r="C1577" i="2" s="1"/>
  <c r="C1589" i="2" a="1"/>
  <c r="C1589" i="2" s="1"/>
  <c r="C1601" i="2" a="1"/>
  <c r="C1601" i="2" s="1"/>
  <c r="C1613" i="2" a="1"/>
  <c r="C1613" i="2" s="1"/>
  <c r="C1625" i="2" a="1"/>
  <c r="C1625" i="2" s="1"/>
  <c r="C1637" i="2" a="1"/>
  <c r="C1637" i="2" s="1"/>
  <c r="C1649" i="2" a="1"/>
  <c r="C1649" i="2" s="1"/>
  <c r="C1661" i="2" a="1"/>
  <c r="C1661" i="2" s="1"/>
  <c r="C1673" i="2" a="1"/>
  <c r="C1673" i="2" s="1"/>
  <c r="C1685" i="2" a="1"/>
  <c r="C1685" i="2" s="1"/>
  <c r="C1697" i="2" a="1"/>
  <c r="C1697" i="2" s="1"/>
  <c r="C1709" i="2" a="1"/>
  <c r="C1709" i="2" s="1"/>
  <c r="C1721" i="2" a="1"/>
  <c r="C1721" i="2" s="1"/>
  <c r="C1733" i="2" a="1"/>
  <c r="C1733" i="2" s="1"/>
  <c r="C1745" i="2" a="1"/>
  <c r="C1745" i="2" s="1"/>
  <c r="C1757" i="2" a="1"/>
  <c r="C1757" i="2" s="1"/>
  <c r="C1769" i="2" a="1"/>
  <c r="C1769" i="2" s="1"/>
  <c r="C1781" i="2" a="1"/>
  <c r="C1781" i="2" s="1"/>
  <c r="C1793" i="2" a="1"/>
  <c r="C1793" i="2" s="1"/>
  <c r="C1805" i="2" a="1"/>
  <c r="C1805" i="2" s="1"/>
  <c r="C1817" i="2" a="1"/>
  <c r="C1817" i="2" s="1"/>
  <c r="C1829" i="2" a="1"/>
  <c r="C1829" i="2" s="1"/>
  <c r="C1841" i="2" a="1"/>
  <c r="C1841" i="2" s="1"/>
  <c r="C1853" i="2" a="1"/>
  <c r="C1853" i="2" s="1"/>
  <c r="C1865" i="2" a="1"/>
  <c r="C1865" i="2" s="1"/>
  <c r="C1877" i="2" a="1"/>
  <c r="C1877" i="2" s="1"/>
  <c r="C1889" i="2" a="1"/>
  <c r="C1889" i="2" s="1"/>
  <c r="C1901" i="2" a="1"/>
  <c r="C1901" i="2" s="1"/>
  <c r="C1913" i="2" a="1"/>
  <c r="C1913" i="2" s="1"/>
  <c r="C1925" i="2" a="1"/>
  <c r="C1925" i="2" s="1"/>
  <c r="C1937" i="2" a="1"/>
  <c r="C1937" i="2" s="1"/>
  <c r="C1949" i="2" a="1"/>
  <c r="C1949" i="2" s="1"/>
  <c r="C1961" i="2" a="1"/>
  <c r="C1961" i="2" s="1"/>
  <c r="C1973" i="2" a="1"/>
  <c r="C1973" i="2" s="1"/>
  <c r="C1985" i="2" a="1"/>
  <c r="C1985" i="2" s="1"/>
  <c r="C1997" i="2" a="1"/>
  <c r="C1997" i="2" s="1"/>
  <c r="C2009" i="2" a="1"/>
  <c r="C2009" i="2" s="1"/>
  <c r="C2021" i="2" a="1"/>
  <c r="C2021" i="2" s="1"/>
  <c r="C2033" i="2" a="1"/>
  <c r="C2033" i="2" s="1"/>
  <c r="C2045" i="2" a="1"/>
  <c r="C2045" i="2" s="1"/>
  <c r="C2057" i="2" a="1"/>
  <c r="C2057" i="2" s="1"/>
  <c r="C2069" i="2" a="1"/>
  <c r="C2069" i="2" s="1"/>
  <c r="C2081" i="2" a="1"/>
  <c r="C2081" i="2" s="1"/>
  <c r="C2093" i="2" a="1"/>
  <c r="C2093" i="2" s="1"/>
  <c r="C2105" i="2" a="1"/>
  <c r="C2105" i="2" s="1"/>
  <c r="C2117" i="2" a="1"/>
  <c r="C2117" i="2" s="1"/>
  <c r="C90" i="2" a="1"/>
  <c r="C90" i="2" s="1"/>
  <c r="C114" i="2" a="1"/>
  <c r="C114" i="2" s="1"/>
  <c r="C126" i="2" a="1"/>
  <c r="C126" i="2" s="1"/>
  <c r="C138" i="2" a="1"/>
  <c r="C138" i="2" s="1"/>
  <c r="C150" i="2" a="1"/>
  <c r="C150" i="2" s="1"/>
  <c r="C162" i="2" a="1"/>
  <c r="C162" i="2" s="1"/>
  <c r="C174" i="2" a="1"/>
  <c r="C174" i="2" s="1"/>
  <c r="C186" i="2" a="1"/>
  <c r="C186" i="2" s="1"/>
  <c r="C198" i="2" a="1"/>
  <c r="C198" i="2" s="1"/>
  <c r="C210" i="2" a="1"/>
  <c r="C210" i="2" s="1"/>
  <c r="C222" i="2" a="1"/>
  <c r="C222" i="2" s="1"/>
  <c r="C234" i="2" a="1"/>
  <c r="C234" i="2" s="1"/>
  <c r="C246" i="2" a="1"/>
  <c r="C246" i="2" s="1"/>
  <c r="C258" i="2" a="1"/>
  <c r="C258" i="2" s="1"/>
  <c r="C270" i="2" a="1"/>
  <c r="C270" i="2" s="1"/>
  <c r="C282" i="2" a="1"/>
  <c r="C282" i="2" s="1"/>
  <c r="C294" i="2" a="1"/>
  <c r="C294" i="2" s="1"/>
  <c r="C306" i="2" a="1"/>
  <c r="C306" i="2" s="1"/>
  <c r="C318" i="2" a="1"/>
  <c r="C318" i="2" s="1"/>
  <c r="C330" i="2" a="1"/>
  <c r="C330" i="2" s="1"/>
  <c r="C342" i="2" a="1"/>
  <c r="C342" i="2" s="1"/>
  <c r="C354" i="2" a="1"/>
  <c r="C354" i="2" s="1"/>
  <c r="C366" i="2" a="1"/>
  <c r="C366" i="2" s="1"/>
  <c r="C378" i="2" a="1"/>
  <c r="C378" i="2" s="1"/>
  <c r="C390" i="2" a="1"/>
  <c r="C390" i="2" s="1"/>
  <c r="C402" i="2" a="1"/>
  <c r="C402" i="2" s="1"/>
  <c r="C414" i="2" a="1"/>
  <c r="C414" i="2" s="1"/>
  <c r="C426" i="2" a="1"/>
  <c r="C426" i="2" s="1"/>
  <c r="C438" i="2" a="1"/>
  <c r="C438" i="2" s="1"/>
  <c r="C450" i="2" a="1"/>
  <c r="C450" i="2" s="1"/>
  <c r="C462" i="2" a="1"/>
  <c r="C462" i="2" s="1"/>
  <c r="C474" i="2" a="1"/>
  <c r="C474" i="2" s="1"/>
  <c r="C486" i="2" a="1"/>
  <c r="C486" i="2" s="1"/>
  <c r="C498" i="2" a="1"/>
  <c r="C498" i="2" s="1"/>
  <c r="C510" i="2" a="1"/>
  <c r="C510" i="2" s="1"/>
  <c r="C522" i="2" a="1"/>
  <c r="C522" i="2" s="1"/>
  <c r="C534" i="2" a="1"/>
  <c r="C534" i="2" s="1"/>
  <c r="C546" i="2" a="1"/>
  <c r="C546" i="2" s="1"/>
  <c r="C558" i="2" a="1"/>
  <c r="C558" i="2" s="1"/>
  <c r="C570" i="2" a="1"/>
  <c r="C570" i="2" s="1"/>
  <c r="C582" i="2" a="1"/>
  <c r="C582" i="2" s="1"/>
  <c r="C594" i="2" a="1"/>
  <c r="C594" i="2" s="1"/>
  <c r="C606" i="2" a="1"/>
  <c r="C606" i="2" s="1"/>
  <c r="C618" i="2" a="1"/>
  <c r="C618" i="2" s="1"/>
  <c r="C630" i="2" a="1"/>
  <c r="C630" i="2" s="1"/>
  <c r="C642" i="2" a="1"/>
  <c r="C642" i="2" s="1"/>
  <c r="C654" i="2" a="1"/>
  <c r="C654" i="2" s="1"/>
  <c r="C666" i="2" a="1"/>
  <c r="C666" i="2" s="1"/>
  <c r="C678" i="2" a="1"/>
  <c r="C678" i="2" s="1"/>
  <c r="C690" i="2" a="1"/>
  <c r="C690" i="2" s="1"/>
  <c r="C702" i="2" a="1"/>
  <c r="C702" i="2" s="1"/>
  <c r="C714" i="2" a="1"/>
  <c r="C714" i="2" s="1"/>
  <c r="C726" i="2" a="1"/>
  <c r="C726" i="2" s="1"/>
  <c r="C738" i="2" a="1"/>
  <c r="C738" i="2" s="1"/>
  <c r="C750" i="2" a="1"/>
  <c r="C750" i="2" s="1"/>
  <c r="C762" i="2" a="1"/>
  <c r="C762" i="2" s="1"/>
  <c r="C774" i="2" a="1"/>
  <c r="C774" i="2" s="1"/>
  <c r="C786" i="2" a="1"/>
  <c r="C786" i="2" s="1"/>
  <c r="C798" i="2" a="1"/>
  <c r="C798" i="2" s="1"/>
  <c r="C810" i="2" a="1"/>
  <c r="C810" i="2" s="1"/>
  <c r="C822" i="2" a="1"/>
  <c r="C822" i="2" s="1"/>
  <c r="C834" i="2" a="1"/>
  <c r="C834" i="2" s="1"/>
  <c r="C846" i="2" a="1"/>
  <c r="C846" i="2" s="1"/>
  <c r="C858" i="2" a="1"/>
  <c r="C858" i="2" s="1"/>
  <c r="C870" i="2" a="1"/>
  <c r="C870" i="2" s="1"/>
  <c r="C882" i="2" a="1"/>
  <c r="C882" i="2" s="1"/>
  <c r="C894" i="2" a="1"/>
  <c r="C894" i="2" s="1"/>
  <c r="C906" i="2" a="1"/>
  <c r="C906" i="2" s="1"/>
  <c r="C918" i="2" a="1"/>
  <c r="C918" i="2" s="1"/>
  <c r="C930" i="2" a="1"/>
  <c r="C930" i="2" s="1"/>
  <c r="C942" i="2" a="1"/>
  <c r="C942" i="2" s="1"/>
  <c r="C954" i="2" a="1"/>
  <c r="C954" i="2" s="1"/>
  <c r="C966" i="2" a="1"/>
  <c r="C966" i="2" s="1"/>
  <c r="C978" i="2" a="1"/>
  <c r="C978" i="2" s="1"/>
  <c r="C990" i="2" a="1"/>
  <c r="C990" i="2" s="1"/>
  <c r="C1002" i="2" a="1"/>
  <c r="C1002" i="2" s="1"/>
  <c r="C1014" i="2" a="1"/>
  <c r="C1014" i="2" s="1"/>
  <c r="C1026" i="2" a="1"/>
  <c r="C1026" i="2" s="1"/>
  <c r="C1038" i="2" a="1"/>
  <c r="C1038" i="2" s="1"/>
  <c r="C1050" i="2" a="1"/>
  <c r="C1050" i="2" s="1"/>
  <c r="C1062" i="2" a="1"/>
  <c r="C1062" i="2" s="1"/>
  <c r="C1074" i="2" a="1"/>
  <c r="C1074" i="2" s="1"/>
  <c r="C1086" i="2" a="1"/>
  <c r="C1086" i="2" s="1"/>
  <c r="C1098" i="2" a="1"/>
  <c r="C1098" i="2" s="1"/>
  <c r="C1110" i="2" a="1"/>
  <c r="C1110" i="2" s="1"/>
  <c r="C1122" i="2" a="1"/>
  <c r="C1122" i="2" s="1"/>
  <c r="C1134" i="2" a="1"/>
  <c r="C1134" i="2" s="1"/>
  <c r="C1146" i="2" a="1"/>
  <c r="C1146" i="2" s="1"/>
  <c r="C1158" i="2" a="1"/>
  <c r="C1158" i="2" s="1"/>
  <c r="C1170" i="2" a="1"/>
  <c r="C1170" i="2" s="1"/>
  <c r="C1182" i="2" a="1"/>
  <c r="C1182" i="2" s="1"/>
  <c r="C1194" i="2" a="1"/>
  <c r="C1194" i="2" s="1"/>
  <c r="C1206" i="2" a="1"/>
  <c r="C1206" i="2" s="1"/>
  <c r="C1218" i="2" a="1"/>
  <c r="C1218" i="2" s="1"/>
  <c r="C1230" i="2" a="1"/>
  <c r="C1230" i="2" s="1"/>
  <c r="C1242" i="2" a="1"/>
  <c r="C1242" i="2" s="1"/>
  <c r="C1254" i="2" a="1"/>
  <c r="C1254" i="2" s="1"/>
  <c r="C1266" i="2" a="1"/>
  <c r="C1266" i="2" s="1"/>
  <c r="C1278" i="2" a="1"/>
  <c r="C1278" i="2" s="1"/>
  <c r="C1290" i="2" a="1"/>
  <c r="C1290" i="2" s="1"/>
  <c r="C1302" i="2" a="1"/>
  <c r="C1302" i="2" s="1"/>
  <c r="C1314" i="2" a="1"/>
  <c r="C1314" i="2" s="1"/>
  <c r="C1326" i="2" a="1"/>
  <c r="C1326" i="2" s="1"/>
  <c r="C1338" i="2" a="1"/>
  <c r="C1338" i="2" s="1"/>
  <c r="C1350" i="2" a="1"/>
  <c r="C1350" i="2" s="1"/>
  <c r="C1362" i="2" a="1"/>
  <c r="C1362" i="2" s="1"/>
  <c r="C1374" i="2" a="1"/>
  <c r="C1374" i="2" s="1"/>
  <c r="C1386" i="2" a="1"/>
  <c r="C1386" i="2" s="1"/>
  <c r="C1398" i="2" a="1"/>
  <c r="C1398" i="2" s="1"/>
  <c r="C1410" i="2" a="1"/>
  <c r="C1410" i="2" s="1"/>
  <c r="C1422" i="2" a="1"/>
  <c r="C1422" i="2" s="1"/>
  <c r="C1434" i="2" a="1"/>
  <c r="C1434" i="2" s="1"/>
  <c r="C1446" i="2" a="1"/>
  <c r="C1446" i="2" s="1"/>
  <c r="C1458" i="2" a="1"/>
  <c r="C1458" i="2" s="1"/>
  <c r="C1470" i="2" a="1"/>
  <c r="C1470" i="2" s="1"/>
  <c r="C1482" i="2" a="1"/>
  <c r="C1482" i="2" s="1"/>
  <c r="C1494" i="2" a="1"/>
  <c r="C1494" i="2" s="1"/>
  <c r="C1506" i="2" a="1"/>
  <c r="C1506" i="2" s="1"/>
  <c r="C1518" i="2" a="1"/>
  <c r="C1518" i="2" s="1"/>
  <c r="C1530" i="2" a="1"/>
  <c r="C1530" i="2" s="1"/>
  <c r="C1542" i="2" a="1"/>
  <c r="C1542" i="2" s="1"/>
  <c r="C1554" i="2" a="1"/>
  <c r="C1554" i="2" s="1"/>
  <c r="C1566" i="2" a="1"/>
  <c r="C1566" i="2" s="1"/>
  <c r="C1578" i="2" a="1"/>
  <c r="C1578" i="2" s="1"/>
  <c r="C1590" i="2" a="1"/>
  <c r="C1590" i="2" s="1"/>
  <c r="C1602" i="2" a="1"/>
  <c r="C1602" i="2" s="1"/>
  <c r="C1614" i="2" a="1"/>
  <c r="C1614" i="2" s="1"/>
  <c r="C1626" i="2" a="1"/>
  <c r="C1626" i="2" s="1"/>
  <c r="C1638" i="2" a="1"/>
  <c r="C1638" i="2" s="1"/>
  <c r="C1650" i="2" a="1"/>
  <c r="C1650" i="2" s="1"/>
  <c r="C1662" i="2" a="1"/>
  <c r="C1662" i="2" s="1"/>
  <c r="C1674" i="2" a="1"/>
  <c r="C1674" i="2" s="1"/>
  <c r="C1686" i="2" a="1"/>
  <c r="C1686" i="2" s="1"/>
  <c r="C1698" i="2" a="1"/>
  <c r="C1698" i="2" s="1"/>
  <c r="C1710" i="2" a="1"/>
  <c r="C1710" i="2" s="1"/>
  <c r="C1722" i="2" a="1"/>
  <c r="C1722" i="2" s="1"/>
  <c r="C1734" i="2" a="1"/>
  <c r="C1734" i="2" s="1"/>
  <c r="C1746" i="2" a="1"/>
  <c r="C1746" i="2" s="1"/>
  <c r="C1758" i="2" a="1"/>
  <c r="C1758" i="2" s="1"/>
  <c r="C94" i="2" a="1"/>
  <c r="C94" i="2" s="1"/>
  <c r="C115" i="2" a="1"/>
  <c r="C115" i="2" s="1"/>
  <c r="C127" i="2" a="1"/>
  <c r="C127" i="2" s="1"/>
  <c r="C139" i="2" a="1"/>
  <c r="C139" i="2" s="1"/>
  <c r="C151" i="2" a="1"/>
  <c r="C151" i="2" s="1"/>
  <c r="C163" i="2" a="1"/>
  <c r="C163" i="2" s="1"/>
  <c r="C175" i="2" a="1"/>
  <c r="C175" i="2" s="1"/>
  <c r="C187" i="2" a="1"/>
  <c r="C187" i="2" s="1"/>
  <c r="C199" i="2" a="1"/>
  <c r="C199" i="2" s="1"/>
  <c r="C211" i="2" a="1"/>
  <c r="C211" i="2" s="1"/>
  <c r="C223" i="2" a="1"/>
  <c r="C223" i="2" s="1"/>
  <c r="C235" i="2" a="1"/>
  <c r="C235" i="2" s="1"/>
  <c r="C247" i="2" a="1"/>
  <c r="C247" i="2" s="1"/>
  <c r="C259" i="2" a="1"/>
  <c r="C259" i="2" s="1"/>
  <c r="C271" i="2" a="1"/>
  <c r="C271" i="2" s="1"/>
  <c r="C283" i="2" a="1"/>
  <c r="C283" i="2" s="1"/>
  <c r="C295" i="2" a="1"/>
  <c r="C295" i="2" s="1"/>
  <c r="C307" i="2" a="1"/>
  <c r="C307" i="2" s="1"/>
  <c r="C319" i="2" a="1"/>
  <c r="C319" i="2" s="1"/>
  <c r="C331" i="2" a="1"/>
  <c r="C331" i="2" s="1"/>
  <c r="C343" i="2" a="1"/>
  <c r="C343" i="2" s="1"/>
  <c r="C355" i="2" a="1"/>
  <c r="C355" i="2" s="1"/>
  <c r="C367" i="2" a="1"/>
  <c r="C367" i="2" s="1"/>
  <c r="C379" i="2" a="1"/>
  <c r="C379" i="2" s="1"/>
  <c r="C391" i="2" a="1"/>
  <c r="C391" i="2" s="1"/>
  <c r="C403" i="2" a="1"/>
  <c r="C403" i="2" s="1"/>
  <c r="C415" i="2" a="1"/>
  <c r="C415" i="2" s="1"/>
  <c r="C427" i="2" a="1"/>
  <c r="C427" i="2" s="1"/>
  <c r="C439" i="2" a="1"/>
  <c r="C439" i="2" s="1"/>
  <c r="C451" i="2" a="1"/>
  <c r="C451" i="2" s="1"/>
  <c r="C463" i="2" a="1"/>
  <c r="C463" i="2" s="1"/>
  <c r="C475" i="2" a="1"/>
  <c r="C475" i="2" s="1"/>
  <c r="C487" i="2" a="1"/>
  <c r="C487" i="2" s="1"/>
  <c r="C499" i="2" a="1"/>
  <c r="C499" i="2" s="1"/>
  <c r="C511" i="2" a="1"/>
  <c r="C511" i="2" s="1"/>
  <c r="C523" i="2" a="1"/>
  <c r="C523" i="2" s="1"/>
  <c r="C535" i="2" a="1"/>
  <c r="C535" i="2" s="1"/>
  <c r="C547" i="2" a="1"/>
  <c r="C547" i="2" s="1"/>
  <c r="C559" i="2" a="1"/>
  <c r="C559" i="2" s="1"/>
  <c r="C571" i="2" a="1"/>
  <c r="C571" i="2" s="1"/>
  <c r="C583" i="2" a="1"/>
  <c r="C583" i="2" s="1"/>
  <c r="C595" i="2" a="1"/>
  <c r="C595" i="2" s="1"/>
  <c r="C607" i="2" a="1"/>
  <c r="C607" i="2" s="1"/>
  <c r="C619" i="2" a="1"/>
  <c r="C619" i="2" s="1"/>
  <c r="C631" i="2" a="1"/>
  <c r="C631" i="2" s="1"/>
  <c r="C643" i="2" a="1"/>
  <c r="C643" i="2" s="1"/>
  <c r="C655" i="2" a="1"/>
  <c r="C655" i="2" s="1"/>
  <c r="C667" i="2" a="1"/>
  <c r="C667" i="2" s="1"/>
  <c r="C679" i="2" a="1"/>
  <c r="C679" i="2" s="1"/>
  <c r="C691" i="2" a="1"/>
  <c r="C691" i="2" s="1"/>
  <c r="C703" i="2" a="1"/>
  <c r="C703" i="2" s="1"/>
  <c r="C715" i="2" a="1"/>
  <c r="C715" i="2" s="1"/>
  <c r="C727" i="2" a="1"/>
  <c r="C727" i="2" s="1"/>
  <c r="C739" i="2" a="1"/>
  <c r="C739" i="2" s="1"/>
  <c r="C751" i="2" a="1"/>
  <c r="C751" i="2" s="1"/>
  <c r="C763" i="2" a="1"/>
  <c r="C763" i="2" s="1"/>
  <c r="C775" i="2" a="1"/>
  <c r="C775" i="2" s="1"/>
  <c r="C787" i="2" a="1"/>
  <c r="C787" i="2" s="1"/>
  <c r="C799" i="2" a="1"/>
  <c r="C799" i="2" s="1"/>
  <c r="C811" i="2" a="1"/>
  <c r="C811" i="2" s="1"/>
  <c r="C823" i="2" a="1"/>
  <c r="C823" i="2" s="1"/>
  <c r="C835" i="2" a="1"/>
  <c r="C835" i="2" s="1"/>
  <c r="C847" i="2" a="1"/>
  <c r="C847" i="2" s="1"/>
  <c r="C859" i="2" a="1"/>
  <c r="C859" i="2" s="1"/>
  <c r="C871" i="2" a="1"/>
  <c r="C871" i="2" s="1"/>
  <c r="C883" i="2" a="1"/>
  <c r="C883" i="2" s="1"/>
  <c r="C895" i="2" a="1"/>
  <c r="C895" i="2" s="1"/>
  <c r="C907" i="2" a="1"/>
  <c r="C907" i="2" s="1"/>
  <c r="C919" i="2" a="1"/>
  <c r="C919" i="2" s="1"/>
  <c r="C931" i="2" a="1"/>
  <c r="C931" i="2" s="1"/>
  <c r="C943" i="2" a="1"/>
  <c r="C943" i="2" s="1"/>
  <c r="C955" i="2" a="1"/>
  <c r="C955" i="2" s="1"/>
  <c r="C967" i="2" a="1"/>
  <c r="C967" i="2" s="1"/>
  <c r="C979" i="2" a="1"/>
  <c r="C979" i="2" s="1"/>
  <c r="C991" i="2" a="1"/>
  <c r="C991" i="2" s="1"/>
  <c r="C1003" i="2" a="1"/>
  <c r="C1003" i="2" s="1"/>
  <c r="C1015" i="2" a="1"/>
  <c r="C1015" i="2" s="1"/>
  <c r="C1027" i="2" a="1"/>
  <c r="C1027" i="2" s="1"/>
  <c r="C1039" i="2" a="1"/>
  <c r="C1039" i="2" s="1"/>
  <c r="C1051" i="2" a="1"/>
  <c r="C1051" i="2" s="1"/>
  <c r="C1063" i="2" a="1"/>
  <c r="C1063" i="2" s="1"/>
  <c r="C1075" i="2" a="1"/>
  <c r="C1075" i="2" s="1"/>
  <c r="C1087" i="2" a="1"/>
  <c r="C1087" i="2" s="1"/>
  <c r="C1099" i="2" a="1"/>
  <c r="C1099" i="2" s="1"/>
  <c r="C1111" i="2" a="1"/>
  <c r="C1111" i="2" s="1"/>
  <c r="C1123" i="2" a="1"/>
  <c r="C1123" i="2" s="1"/>
  <c r="C1135" i="2" a="1"/>
  <c r="C1135" i="2" s="1"/>
  <c r="C1147" i="2" a="1"/>
  <c r="C1147" i="2" s="1"/>
  <c r="C1159" i="2" a="1"/>
  <c r="C1159" i="2" s="1"/>
  <c r="C1171" i="2" a="1"/>
  <c r="C1171" i="2" s="1"/>
  <c r="C1183" i="2" a="1"/>
  <c r="C1183" i="2" s="1"/>
  <c r="C1195" i="2" a="1"/>
  <c r="C1195" i="2" s="1"/>
  <c r="C1207" i="2" a="1"/>
  <c r="C1207" i="2" s="1"/>
  <c r="C1219" i="2" a="1"/>
  <c r="C1219" i="2" s="1"/>
  <c r="C1231" i="2" a="1"/>
  <c r="C1231" i="2" s="1"/>
  <c r="C1243" i="2" a="1"/>
  <c r="C1243" i="2" s="1"/>
  <c r="C1255" i="2" a="1"/>
  <c r="C1255" i="2" s="1"/>
  <c r="C1267" i="2" a="1"/>
  <c r="C1267" i="2" s="1"/>
  <c r="C1279" i="2" a="1"/>
  <c r="C1279" i="2" s="1"/>
  <c r="C1291" i="2" a="1"/>
  <c r="C1291" i="2" s="1"/>
  <c r="C1303" i="2" a="1"/>
  <c r="C1303" i="2" s="1"/>
  <c r="C1315" i="2" a="1"/>
  <c r="C1315" i="2" s="1"/>
  <c r="C1327" i="2" a="1"/>
  <c r="C1327" i="2" s="1"/>
  <c r="C1339" i="2" a="1"/>
  <c r="C1339" i="2" s="1"/>
  <c r="C1351" i="2" a="1"/>
  <c r="C1351" i="2" s="1"/>
  <c r="C1363" i="2" a="1"/>
  <c r="C1363" i="2" s="1"/>
  <c r="C1375" i="2" a="1"/>
  <c r="C1375" i="2" s="1"/>
  <c r="C96" i="2" a="1"/>
  <c r="C96" i="2" s="1"/>
  <c r="C116" i="2" a="1"/>
  <c r="C116" i="2" s="1"/>
  <c r="C128" i="2" a="1"/>
  <c r="C128" i="2" s="1"/>
  <c r="C140" i="2" a="1"/>
  <c r="C140" i="2" s="1"/>
  <c r="C152" i="2" a="1"/>
  <c r="C152" i="2" s="1"/>
  <c r="C164" i="2" a="1"/>
  <c r="C164" i="2" s="1"/>
  <c r="C176" i="2" a="1"/>
  <c r="C176" i="2" s="1"/>
  <c r="C188" i="2" a="1"/>
  <c r="C188" i="2" s="1"/>
  <c r="C200" i="2" a="1"/>
  <c r="C200" i="2" s="1"/>
  <c r="C212" i="2" a="1"/>
  <c r="C212" i="2" s="1"/>
  <c r="C224" i="2" a="1"/>
  <c r="C224" i="2" s="1"/>
  <c r="C236" i="2" a="1"/>
  <c r="C236" i="2" s="1"/>
  <c r="C248" i="2" a="1"/>
  <c r="C248" i="2" s="1"/>
  <c r="C260" i="2" a="1"/>
  <c r="C260" i="2" s="1"/>
  <c r="C272" i="2" a="1"/>
  <c r="C272" i="2" s="1"/>
  <c r="C284" i="2" a="1"/>
  <c r="C284" i="2" s="1"/>
  <c r="C296" i="2" a="1"/>
  <c r="C296" i="2" s="1"/>
  <c r="C308" i="2" a="1"/>
  <c r="C308" i="2" s="1"/>
  <c r="C320" i="2" a="1"/>
  <c r="C320" i="2" s="1"/>
  <c r="C332" i="2" a="1"/>
  <c r="C332" i="2" s="1"/>
  <c r="C344" i="2" a="1"/>
  <c r="C344" i="2" s="1"/>
  <c r="C356" i="2" a="1"/>
  <c r="C356" i="2" s="1"/>
  <c r="C368" i="2" a="1"/>
  <c r="C368" i="2" s="1"/>
  <c r="C380" i="2" a="1"/>
  <c r="C380" i="2" s="1"/>
  <c r="C392" i="2" a="1"/>
  <c r="C392" i="2" s="1"/>
  <c r="C404" i="2" a="1"/>
  <c r="C404" i="2" s="1"/>
  <c r="C416" i="2" a="1"/>
  <c r="C416" i="2" s="1"/>
  <c r="C428" i="2" a="1"/>
  <c r="C428" i="2" s="1"/>
  <c r="C440" i="2" a="1"/>
  <c r="C440" i="2" s="1"/>
  <c r="C452" i="2" a="1"/>
  <c r="C452" i="2" s="1"/>
  <c r="C464" i="2" a="1"/>
  <c r="C464" i="2" s="1"/>
  <c r="C476" i="2" a="1"/>
  <c r="C476" i="2" s="1"/>
  <c r="C488" i="2" a="1"/>
  <c r="C488" i="2" s="1"/>
  <c r="C500" i="2" a="1"/>
  <c r="C500" i="2" s="1"/>
  <c r="C512" i="2" a="1"/>
  <c r="C512" i="2" s="1"/>
  <c r="C524" i="2" a="1"/>
  <c r="C524" i="2" s="1"/>
  <c r="C536" i="2" a="1"/>
  <c r="C536" i="2" s="1"/>
  <c r="C548" i="2" a="1"/>
  <c r="C548" i="2" s="1"/>
  <c r="C560" i="2" a="1"/>
  <c r="C560" i="2" s="1"/>
  <c r="C572" i="2" a="1"/>
  <c r="C572" i="2" s="1"/>
  <c r="C584" i="2" a="1"/>
  <c r="C584" i="2" s="1"/>
  <c r="C596" i="2" a="1"/>
  <c r="C596" i="2" s="1"/>
  <c r="C608" i="2" a="1"/>
  <c r="C608" i="2" s="1"/>
  <c r="C620" i="2" a="1"/>
  <c r="C620" i="2" s="1"/>
  <c r="C632" i="2" a="1"/>
  <c r="C632" i="2" s="1"/>
  <c r="C644" i="2" a="1"/>
  <c r="C644" i="2" s="1"/>
  <c r="C656" i="2" a="1"/>
  <c r="C656" i="2" s="1"/>
  <c r="C668" i="2" a="1"/>
  <c r="C668" i="2" s="1"/>
  <c r="C680" i="2" a="1"/>
  <c r="C680" i="2" s="1"/>
  <c r="C692" i="2" a="1"/>
  <c r="C692" i="2" s="1"/>
  <c r="C704" i="2" a="1"/>
  <c r="C704" i="2" s="1"/>
  <c r="C716" i="2" a="1"/>
  <c r="C716" i="2" s="1"/>
  <c r="C728" i="2" a="1"/>
  <c r="C728" i="2" s="1"/>
  <c r="C740" i="2" a="1"/>
  <c r="C740" i="2" s="1"/>
  <c r="C752" i="2" a="1"/>
  <c r="C752" i="2" s="1"/>
  <c r="C764" i="2" a="1"/>
  <c r="C764" i="2" s="1"/>
  <c r="C776" i="2" a="1"/>
  <c r="C776" i="2" s="1"/>
  <c r="C788" i="2" a="1"/>
  <c r="C788" i="2" s="1"/>
  <c r="C800" i="2" a="1"/>
  <c r="C800" i="2" s="1"/>
  <c r="C812" i="2" a="1"/>
  <c r="C812" i="2" s="1"/>
  <c r="C824" i="2" a="1"/>
  <c r="C824" i="2" s="1"/>
  <c r="C836" i="2" a="1"/>
  <c r="C836" i="2" s="1"/>
  <c r="C848" i="2" a="1"/>
  <c r="C848" i="2" s="1"/>
  <c r="C860" i="2" a="1"/>
  <c r="C860" i="2" s="1"/>
  <c r="C872" i="2" a="1"/>
  <c r="C872" i="2" s="1"/>
  <c r="C884" i="2" a="1"/>
  <c r="C884" i="2" s="1"/>
  <c r="C896" i="2" a="1"/>
  <c r="C896" i="2" s="1"/>
  <c r="C908" i="2" a="1"/>
  <c r="C908" i="2" s="1"/>
  <c r="C920" i="2" a="1"/>
  <c r="C920" i="2" s="1"/>
  <c r="C932" i="2" a="1"/>
  <c r="C932" i="2" s="1"/>
  <c r="C944" i="2" a="1"/>
  <c r="C944" i="2" s="1"/>
  <c r="C956" i="2" a="1"/>
  <c r="C956" i="2" s="1"/>
  <c r="C968" i="2" a="1"/>
  <c r="C968" i="2" s="1"/>
  <c r="C980" i="2" a="1"/>
  <c r="C980" i="2" s="1"/>
  <c r="C992" i="2" a="1"/>
  <c r="C992" i="2" s="1"/>
  <c r="C1004" i="2" a="1"/>
  <c r="C1004" i="2" s="1"/>
  <c r="C1016" i="2" a="1"/>
  <c r="C1016" i="2" s="1"/>
  <c r="C1028" i="2" a="1"/>
  <c r="C1028" i="2" s="1"/>
  <c r="C1040" i="2" a="1"/>
  <c r="C1040" i="2" s="1"/>
  <c r="C1052" i="2" a="1"/>
  <c r="C1052" i="2" s="1"/>
  <c r="C1064" i="2" a="1"/>
  <c r="C1064" i="2" s="1"/>
  <c r="C1076" i="2" a="1"/>
  <c r="C1076" i="2" s="1"/>
  <c r="C1088" i="2" a="1"/>
  <c r="C1088" i="2" s="1"/>
  <c r="C1100" i="2" a="1"/>
  <c r="C1100" i="2" s="1"/>
  <c r="C1112" i="2" a="1"/>
  <c r="C1112" i="2" s="1"/>
  <c r="C1124" i="2" a="1"/>
  <c r="C1124" i="2" s="1"/>
  <c r="C1136" i="2" a="1"/>
  <c r="C1136" i="2" s="1"/>
  <c r="C1148" i="2" a="1"/>
  <c r="C1148" i="2" s="1"/>
  <c r="C1160" i="2" a="1"/>
  <c r="C1160" i="2" s="1"/>
  <c r="C1172" i="2" a="1"/>
  <c r="C1172" i="2" s="1"/>
  <c r="C1184" i="2" a="1"/>
  <c r="C1184" i="2" s="1"/>
  <c r="C1196" i="2" a="1"/>
  <c r="C1196" i="2" s="1"/>
  <c r="C1208" i="2" a="1"/>
  <c r="C1208" i="2" s="1"/>
  <c r="C1220" i="2" a="1"/>
  <c r="C1220" i="2" s="1"/>
  <c r="C1232" i="2" a="1"/>
  <c r="C1232" i="2" s="1"/>
  <c r="C1244" i="2" a="1"/>
  <c r="C1244" i="2" s="1"/>
  <c r="C1256" i="2" a="1"/>
  <c r="C1256" i="2" s="1"/>
  <c r="C1268" i="2" a="1"/>
  <c r="C1268" i="2" s="1"/>
  <c r="C1280" i="2" a="1"/>
  <c r="C1280" i="2" s="1"/>
  <c r="C1292" i="2" a="1"/>
  <c r="C1292" i="2" s="1"/>
  <c r="C1304" i="2" a="1"/>
  <c r="C1304" i="2" s="1"/>
  <c r="C1316" i="2" a="1"/>
  <c r="C1316" i="2" s="1"/>
  <c r="C1328" i="2" a="1"/>
  <c r="C1328" i="2" s="1"/>
  <c r="C1340" i="2" a="1"/>
  <c r="C1340" i="2" s="1"/>
  <c r="C1352" i="2" a="1"/>
  <c r="C1352" i="2" s="1"/>
  <c r="C1364" i="2" a="1"/>
  <c r="C1364" i="2" s="1"/>
  <c r="C1376" i="2" a="1"/>
  <c r="C1376" i="2" s="1"/>
  <c r="C1388" i="2" a="1"/>
  <c r="C1388" i="2" s="1"/>
  <c r="C1400" i="2" a="1"/>
  <c r="C1400" i="2" s="1"/>
  <c r="C1412" i="2" a="1"/>
  <c r="C1412" i="2" s="1"/>
  <c r="C1424" i="2" a="1"/>
  <c r="C1424" i="2" s="1"/>
  <c r="C1436" i="2" a="1"/>
  <c r="C1436" i="2" s="1"/>
  <c r="C1448" i="2" a="1"/>
  <c r="C1448" i="2" s="1"/>
  <c r="C1460" i="2" a="1"/>
  <c r="C1460" i="2" s="1"/>
  <c r="C1472" i="2" a="1"/>
  <c r="C1472" i="2" s="1"/>
  <c r="C1484" i="2" a="1"/>
  <c r="C1484" i="2" s="1"/>
  <c r="C1496" i="2" a="1"/>
  <c r="C1496" i="2" s="1"/>
  <c r="C1508" i="2" a="1"/>
  <c r="C1508" i="2" s="1"/>
  <c r="C1520" i="2" a="1"/>
  <c r="C1520" i="2" s="1"/>
  <c r="C1532" i="2" a="1"/>
  <c r="C1532" i="2" s="1"/>
  <c r="C1544" i="2" a="1"/>
  <c r="C1544" i="2" s="1"/>
  <c r="C1556" i="2" a="1"/>
  <c r="C1556" i="2" s="1"/>
  <c r="C1568" i="2" a="1"/>
  <c r="C1568" i="2" s="1"/>
  <c r="C1580" i="2" a="1"/>
  <c r="C1580" i="2" s="1"/>
  <c r="C1592" i="2" a="1"/>
  <c r="C1592" i="2" s="1"/>
  <c r="C1604" i="2" a="1"/>
  <c r="C1604" i="2" s="1"/>
  <c r="C98" i="2" a="1"/>
  <c r="C98" i="2" s="1"/>
  <c r="C117" i="2" a="1"/>
  <c r="C117" i="2" s="1"/>
  <c r="C129" i="2" a="1"/>
  <c r="C129" i="2" s="1"/>
  <c r="C141" i="2" a="1"/>
  <c r="C141" i="2" s="1"/>
  <c r="C153" i="2" a="1"/>
  <c r="C153" i="2" s="1"/>
  <c r="C165" i="2" a="1"/>
  <c r="C165" i="2" s="1"/>
  <c r="C177" i="2" a="1"/>
  <c r="C177" i="2" s="1"/>
  <c r="C189" i="2" a="1"/>
  <c r="C189" i="2" s="1"/>
  <c r="C201" i="2" a="1"/>
  <c r="C201" i="2" s="1"/>
  <c r="C213" i="2" a="1"/>
  <c r="C213" i="2" s="1"/>
  <c r="C225" i="2" a="1"/>
  <c r="C225" i="2" s="1"/>
  <c r="C237" i="2" a="1"/>
  <c r="C237" i="2" s="1"/>
  <c r="C249" i="2" a="1"/>
  <c r="C249" i="2" s="1"/>
  <c r="C261" i="2" a="1"/>
  <c r="C261" i="2" s="1"/>
  <c r="C273" i="2" a="1"/>
  <c r="C273" i="2" s="1"/>
  <c r="C285" i="2" a="1"/>
  <c r="C285" i="2" s="1"/>
  <c r="C297" i="2" a="1"/>
  <c r="C297" i="2" s="1"/>
  <c r="C309" i="2" a="1"/>
  <c r="C309" i="2" s="1"/>
  <c r="C321" i="2" a="1"/>
  <c r="C321" i="2" s="1"/>
  <c r="C333" i="2" a="1"/>
  <c r="C333" i="2" s="1"/>
  <c r="C345" i="2" a="1"/>
  <c r="C345" i="2" s="1"/>
  <c r="C357" i="2" a="1"/>
  <c r="C357" i="2" s="1"/>
  <c r="C369" i="2" a="1"/>
  <c r="C369" i="2" s="1"/>
  <c r="C381" i="2" a="1"/>
  <c r="C381" i="2" s="1"/>
  <c r="C393" i="2" a="1"/>
  <c r="C393" i="2" s="1"/>
  <c r="C405" i="2" a="1"/>
  <c r="C405" i="2" s="1"/>
  <c r="C417" i="2" a="1"/>
  <c r="C417" i="2" s="1"/>
  <c r="C429" i="2" a="1"/>
  <c r="C429" i="2" s="1"/>
  <c r="C441" i="2" a="1"/>
  <c r="C441" i="2" s="1"/>
  <c r="C453" i="2" a="1"/>
  <c r="C453" i="2" s="1"/>
  <c r="C465" i="2" a="1"/>
  <c r="C465" i="2" s="1"/>
  <c r="C477" i="2" a="1"/>
  <c r="C477" i="2" s="1"/>
  <c r="C489" i="2" a="1"/>
  <c r="C489" i="2" s="1"/>
  <c r="C501" i="2" a="1"/>
  <c r="C501" i="2" s="1"/>
  <c r="C513" i="2" a="1"/>
  <c r="C513" i="2" s="1"/>
  <c r="C525" i="2" a="1"/>
  <c r="C525" i="2" s="1"/>
  <c r="C537" i="2" a="1"/>
  <c r="C537" i="2" s="1"/>
  <c r="C549" i="2" a="1"/>
  <c r="C549" i="2" s="1"/>
  <c r="C561" i="2" a="1"/>
  <c r="C561" i="2" s="1"/>
  <c r="C573" i="2" a="1"/>
  <c r="C573" i="2" s="1"/>
  <c r="C585" i="2" a="1"/>
  <c r="C585" i="2" s="1"/>
  <c r="C597" i="2" a="1"/>
  <c r="C597" i="2" s="1"/>
  <c r="C609" i="2" a="1"/>
  <c r="C609" i="2" s="1"/>
  <c r="C621" i="2" a="1"/>
  <c r="C621" i="2" s="1"/>
  <c r="C633" i="2" a="1"/>
  <c r="C633" i="2" s="1"/>
  <c r="C645" i="2" a="1"/>
  <c r="C645" i="2" s="1"/>
  <c r="C657" i="2" a="1"/>
  <c r="C657" i="2" s="1"/>
  <c r="C669" i="2" a="1"/>
  <c r="C669" i="2" s="1"/>
  <c r="C681" i="2" a="1"/>
  <c r="C681" i="2" s="1"/>
  <c r="C693" i="2" a="1"/>
  <c r="C693" i="2" s="1"/>
  <c r="C705" i="2" a="1"/>
  <c r="C705" i="2" s="1"/>
  <c r="C717" i="2" a="1"/>
  <c r="C717" i="2" s="1"/>
  <c r="C729" i="2" a="1"/>
  <c r="C729" i="2" s="1"/>
  <c r="C741" i="2" a="1"/>
  <c r="C741" i="2" s="1"/>
  <c r="C753" i="2" a="1"/>
  <c r="C753" i="2" s="1"/>
  <c r="C765" i="2" a="1"/>
  <c r="C765" i="2" s="1"/>
  <c r="C777" i="2" a="1"/>
  <c r="C777" i="2" s="1"/>
  <c r="C789" i="2" a="1"/>
  <c r="C789" i="2" s="1"/>
  <c r="C801" i="2" a="1"/>
  <c r="C801" i="2" s="1"/>
  <c r="C813" i="2" a="1"/>
  <c r="C813" i="2" s="1"/>
  <c r="C825" i="2" a="1"/>
  <c r="C825" i="2" s="1"/>
  <c r="C837" i="2" a="1"/>
  <c r="C837" i="2" s="1"/>
  <c r="C849" i="2" a="1"/>
  <c r="C849" i="2" s="1"/>
  <c r="C861" i="2" a="1"/>
  <c r="C861" i="2" s="1"/>
  <c r="C873" i="2" a="1"/>
  <c r="C873" i="2" s="1"/>
  <c r="C885" i="2" a="1"/>
  <c r="C885" i="2" s="1"/>
  <c r="C897" i="2" a="1"/>
  <c r="C897" i="2" s="1"/>
  <c r="C909" i="2" a="1"/>
  <c r="C909" i="2" s="1"/>
  <c r="C921" i="2" a="1"/>
  <c r="C921" i="2" s="1"/>
  <c r="C933" i="2" a="1"/>
  <c r="C933" i="2" s="1"/>
  <c r="C945" i="2" a="1"/>
  <c r="C945" i="2" s="1"/>
  <c r="C957" i="2" a="1"/>
  <c r="C957" i="2" s="1"/>
  <c r="C969" i="2" a="1"/>
  <c r="C969" i="2" s="1"/>
  <c r="C981" i="2" a="1"/>
  <c r="C981" i="2" s="1"/>
  <c r="C993" i="2" a="1"/>
  <c r="C993" i="2" s="1"/>
  <c r="C1005" i="2" a="1"/>
  <c r="C1005" i="2" s="1"/>
  <c r="C1017" i="2" a="1"/>
  <c r="C1017" i="2" s="1"/>
  <c r="C1029" i="2" a="1"/>
  <c r="C1029" i="2" s="1"/>
  <c r="C1041" i="2" a="1"/>
  <c r="C1041" i="2" s="1"/>
  <c r="C1053" i="2" a="1"/>
  <c r="C1053" i="2" s="1"/>
  <c r="C1065" i="2" a="1"/>
  <c r="C1065" i="2" s="1"/>
  <c r="C1077" i="2" a="1"/>
  <c r="C1077" i="2" s="1"/>
  <c r="C1089" i="2" a="1"/>
  <c r="C1089" i="2" s="1"/>
  <c r="C1101" i="2" a="1"/>
  <c r="C1101" i="2" s="1"/>
  <c r="C1113" i="2" a="1"/>
  <c r="C1113" i="2" s="1"/>
  <c r="C1125" i="2" a="1"/>
  <c r="C1125" i="2" s="1"/>
  <c r="C1137" i="2" a="1"/>
  <c r="C1137" i="2" s="1"/>
  <c r="C1149" i="2" a="1"/>
  <c r="C1149" i="2" s="1"/>
  <c r="C1161" i="2" a="1"/>
  <c r="C1161" i="2" s="1"/>
  <c r="C1173" i="2" a="1"/>
  <c r="C1173" i="2" s="1"/>
  <c r="C1185" i="2" a="1"/>
  <c r="C1185" i="2" s="1"/>
  <c r="C1197" i="2" a="1"/>
  <c r="C1197" i="2" s="1"/>
  <c r="C1209" i="2" a="1"/>
  <c r="C1209" i="2" s="1"/>
  <c r="C1221" i="2" a="1"/>
  <c r="C1221" i="2" s="1"/>
  <c r="C1233" i="2" a="1"/>
  <c r="C1233" i="2" s="1"/>
  <c r="C1245" i="2" a="1"/>
  <c r="C1245" i="2" s="1"/>
  <c r="C1257" i="2" a="1"/>
  <c r="C1257" i="2" s="1"/>
  <c r="C1269" i="2" a="1"/>
  <c r="C1269" i="2" s="1"/>
  <c r="C1281" i="2" a="1"/>
  <c r="C1281" i="2" s="1"/>
  <c r="C1293" i="2" a="1"/>
  <c r="C1293" i="2" s="1"/>
  <c r="C1305" i="2" a="1"/>
  <c r="C1305" i="2" s="1"/>
  <c r="C1317" i="2" a="1"/>
  <c r="C1317" i="2" s="1"/>
  <c r="C1329" i="2" a="1"/>
  <c r="C1329" i="2" s="1"/>
  <c r="C1341" i="2" a="1"/>
  <c r="C1341" i="2" s="1"/>
  <c r="C1353" i="2" a="1"/>
  <c r="C1353" i="2" s="1"/>
  <c r="C1365" i="2" a="1"/>
  <c r="C1365" i="2" s="1"/>
  <c r="C1377" i="2" a="1"/>
  <c r="C1377" i="2" s="1"/>
  <c r="C1389" i="2" a="1"/>
  <c r="C1389" i="2" s="1"/>
  <c r="C1401" i="2" a="1"/>
  <c r="C1401" i="2" s="1"/>
  <c r="C1413" i="2" a="1"/>
  <c r="C1413" i="2" s="1"/>
  <c r="C1425" i="2" a="1"/>
  <c r="C1425" i="2" s="1"/>
  <c r="C1437" i="2" a="1"/>
  <c r="C1437" i="2" s="1"/>
  <c r="C1449" i="2" a="1"/>
  <c r="C1449" i="2" s="1"/>
  <c r="C1461" i="2" a="1"/>
  <c r="C1461" i="2" s="1"/>
  <c r="C1473" i="2" a="1"/>
  <c r="C1473" i="2" s="1"/>
  <c r="C1485" i="2" a="1"/>
  <c r="C1485" i="2" s="1"/>
  <c r="C1497" i="2" a="1"/>
  <c r="C1497" i="2" s="1"/>
  <c r="C1509" i="2" a="1"/>
  <c r="C1509" i="2" s="1"/>
  <c r="C1521" i="2" a="1"/>
  <c r="C1521" i="2" s="1"/>
  <c r="C1533" i="2" a="1"/>
  <c r="C1533" i="2" s="1"/>
  <c r="C1545" i="2" a="1"/>
  <c r="C1545" i="2" s="1"/>
  <c r="C1557" i="2" a="1"/>
  <c r="C1557" i="2" s="1"/>
  <c r="C1569" i="2" a="1"/>
  <c r="C1569" i="2" s="1"/>
  <c r="C1581" i="2" a="1"/>
  <c r="C1581" i="2" s="1"/>
  <c r="C1593" i="2" a="1"/>
  <c r="C1593" i="2" s="1"/>
  <c r="C1605" i="2" a="1"/>
  <c r="C1605" i="2" s="1"/>
  <c r="C1617" i="2" a="1"/>
  <c r="C1617" i="2" s="1"/>
  <c r="C1629" i="2" a="1"/>
  <c r="C1629" i="2" s="1"/>
  <c r="C1641" i="2" a="1"/>
  <c r="C1641" i="2" s="1"/>
  <c r="C1653" i="2" a="1"/>
  <c r="C1653" i="2" s="1"/>
  <c r="C1665" i="2" a="1"/>
  <c r="C1665" i="2" s="1"/>
  <c r="C1677" i="2" a="1"/>
  <c r="C1677" i="2" s="1"/>
  <c r="C1689" i="2" a="1"/>
  <c r="C1689" i="2" s="1"/>
  <c r="C1701" i="2" a="1"/>
  <c r="C1701" i="2" s="1"/>
  <c r="C1713" i="2" a="1"/>
  <c r="C1713" i="2" s="1"/>
  <c r="C1725" i="2" a="1"/>
  <c r="C1725" i="2" s="1"/>
  <c r="C1737" i="2" a="1"/>
  <c r="C1737" i="2" s="1"/>
  <c r="C1749" i="2" a="1"/>
  <c r="C1749" i="2" s="1"/>
  <c r="C1761" i="2" a="1"/>
  <c r="C1761" i="2" s="1"/>
  <c r="C1773" i="2" a="1"/>
  <c r="C1773" i="2" s="1"/>
  <c r="C1785" i="2" a="1"/>
  <c r="C1785" i="2" s="1"/>
  <c r="C1797" i="2" a="1"/>
  <c r="C1797" i="2" s="1"/>
  <c r="C1809" i="2" a="1"/>
  <c r="C1809" i="2" s="1"/>
  <c r="C1821" i="2" a="1"/>
  <c r="C1821" i="2" s="1"/>
  <c r="C1833" i="2" a="1"/>
  <c r="C1833" i="2" s="1"/>
  <c r="C1845" i="2" a="1"/>
  <c r="C1845" i="2" s="1"/>
  <c r="C1857" i="2" a="1"/>
  <c r="C1857" i="2" s="1"/>
  <c r="C1869" i="2" a="1"/>
  <c r="C1869" i="2" s="1"/>
  <c r="C1881" i="2" a="1"/>
  <c r="C1881" i="2" s="1"/>
  <c r="C1893" i="2" a="1"/>
  <c r="C1893" i="2" s="1"/>
  <c r="C1905" i="2" a="1"/>
  <c r="C1905" i="2" s="1"/>
  <c r="C1917" i="2" a="1"/>
  <c r="C1917" i="2" s="1"/>
  <c r="C1929" i="2" a="1"/>
  <c r="C1929" i="2" s="1"/>
  <c r="C1941" i="2" a="1"/>
  <c r="C1941" i="2" s="1"/>
  <c r="C1953" i="2" a="1"/>
  <c r="C1953" i="2" s="1"/>
  <c r="C1965" i="2" a="1"/>
  <c r="C1965" i="2" s="1"/>
  <c r="C1977" i="2" a="1"/>
  <c r="C1977" i="2" s="1"/>
  <c r="C1989" i="2" a="1"/>
  <c r="C1989" i="2" s="1"/>
  <c r="C2001" i="2" a="1"/>
  <c r="C2001" i="2" s="1"/>
  <c r="C2013" i="2" a="1"/>
  <c r="C2013" i="2" s="1"/>
  <c r="C2025" i="2" a="1"/>
  <c r="C2025" i="2" s="1"/>
  <c r="C2037" i="2" a="1"/>
  <c r="C2037" i="2" s="1"/>
  <c r="C2049" i="2" a="1"/>
  <c r="C2049" i="2" s="1"/>
  <c r="C2061" i="2" a="1"/>
  <c r="C2061" i="2" s="1"/>
  <c r="C2073" i="2" a="1"/>
  <c r="C2073" i="2" s="1"/>
  <c r="C2085" i="2" a="1"/>
  <c r="C2085" i="2" s="1"/>
  <c r="C2097" i="2" a="1"/>
  <c r="C2097" i="2" s="1"/>
  <c r="C2109" i="2" a="1"/>
  <c r="C2109" i="2" s="1"/>
  <c r="C2121" i="2" a="1"/>
  <c r="C2121" i="2" s="1"/>
  <c r="C2133" i="2" a="1"/>
  <c r="C2133" i="2" s="1"/>
  <c r="C2145" i="2" a="1"/>
  <c r="C2145" i="2" s="1"/>
  <c r="C2157" i="2" a="1"/>
  <c r="C2157" i="2" s="1"/>
  <c r="C2169" i="2" a="1"/>
  <c r="C2169" i="2" s="1"/>
  <c r="C2181" i="2" a="1"/>
  <c r="C2181" i="2" s="1"/>
  <c r="C2193" i="2" a="1"/>
  <c r="C2193" i="2" s="1"/>
  <c r="C2205" i="2" a="1"/>
  <c r="C2205" i="2" s="1"/>
  <c r="C2217" i="2" a="1"/>
  <c r="C2217" i="2" s="1"/>
  <c r="C2229" i="2" a="1"/>
  <c r="C2229" i="2" s="1"/>
  <c r="C2241" i="2" a="1"/>
  <c r="C2241" i="2" s="1"/>
  <c r="C2253" i="2" a="1"/>
  <c r="C2253" i="2" s="1"/>
  <c r="C102" i="2" a="1"/>
  <c r="C102" i="2" s="1"/>
  <c r="C118" i="2" a="1"/>
  <c r="C118" i="2" s="1"/>
  <c r="C130" i="2" a="1"/>
  <c r="C130" i="2" s="1"/>
  <c r="C142" i="2" a="1"/>
  <c r="C142" i="2" s="1"/>
  <c r="C154" i="2" a="1"/>
  <c r="C154" i="2" s="1"/>
  <c r="C166" i="2" a="1"/>
  <c r="C166" i="2" s="1"/>
  <c r="C178" i="2" a="1"/>
  <c r="C178" i="2" s="1"/>
  <c r="C190" i="2" a="1"/>
  <c r="C190" i="2" s="1"/>
  <c r="C202" i="2" a="1"/>
  <c r="C202" i="2" s="1"/>
  <c r="C214" i="2" a="1"/>
  <c r="C214" i="2" s="1"/>
  <c r="C226" i="2" a="1"/>
  <c r="C226" i="2" s="1"/>
  <c r="C238" i="2" a="1"/>
  <c r="C238" i="2" s="1"/>
  <c r="C250" i="2" a="1"/>
  <c r="C250" i="2" s="1"/>
  <c r="C262" i="2" a="1"/>
  <c r="C262" i="2" s="1"/>
  <c r="C274" i="2" a="1"/>
  <c r="C274" i="2" s="1"/>
  <c r="C286" i="2" a="1"/>
  <c r="C286" i="2" s="1"/>
  <c r="C298" i="2" a="1"/>
  <c r="C298" i="2" s="1"/>
  <c r="C310" i="2" a="1"/>
  <c r="C310" i="2" s="1"/>
  <c r="C322" i="2" a="1"/>
  <c r="C322" i="2" s="1"/>
  <c r="C334" i="2" a="1"/>
  <c r="C334" i="2" s="1"/>
  <c r="C346" i="2" a="1"/>
  <c r="C346" i="2" s="1"/>
  <c r="C358" i="2" a="1"/>
  <c r="C358" i="2" s="1"/>
  <c r="C370" i="2" a="1"/>
  <c r="C370" i="2" s="1"/>
  <c r="C382" i="2" a="1"/>
  <c r="C382" i="2" s="1"/>
  <c r="C394" i="2" a="1"/>
  <c r="C394" i="2" s="1"/>
  <c r="C406" i="2" a="1"/>
  <c r="C406" i="2" s="1"/>
  <c r="C418" i="2" a="1"/>
  <c r="C418" i="2" s="1"/>
  <c r="C430" i="2" a="1"/>
  <c r="C430" i="2" s="1"/>
  <c r="C442" i="2" a="1"/>
  <c r="C442" i="2" s="1"/>
  <c r="C454" i="2" a="1"/>
  <c r="C454" i="2" s="1"/>
  <c r="C466" i="2" a="1"/>
  <c r="C466" i="2" s="1"/>
  <c r="C478" i="2" a="1"/>
  <c r="C478" i="2" s="1"/>
  <c r="C490" i="2" a="1"/>
  <c r="C490" i="2" s="1"/>
  <c r="C502" i="2" a="1"/>
  <c r="C502" i="2" s="1"/>
  <c r="C514" i="2" a="1"/>
  <c r="C514" i="2" s="1"/>
  <c r="C526" i="2" a="1"/>
  <c r="C526" i="2" s="1"/>
  <c r="C538" i="2" a="1"/>
  <c r="C538" i="2" s="1"/>
  <c r="C550" i="2" a="1"/>
  <c r="C550" i="2" s="1"/>
  <c r="C562" i="2" a="1"/>
  <c r="C562" i="2" s="1"/>
  <c r="C574" i="2" a="1"/>
  <c r="C574" i="2" s="1"/>
  <c r="C586" i="2" a="1"/>
  <c r="C586" i="2" s="1"/>
  <c r="C598" i="2" a="1"/>
  <c r="C598" i="2" s="1"/>
  <c r="C610" i="2" a="1"/>
  <c r="C610" i="2" s="1"/>
  <c r="C622" i="2" a="1"/>
  <c r="C622" i="2" s="1"/>
  <c r="C634" i="2" a="1"/>
  <c r="C634" i="2" s="1"/>
  <c r="C646" i="2" a="1"/>
  <c r="C646" i="2" s="1"/>
  <c r="C658" i="2" a="1"/>
  <c r="C658" i="2" s="1"/>
  <c r="C670" i="2" a="1"/>
  <c r="C670" i="2" s="1"/>
  <c r="C682" i="2" a="1"/>
  <c r="C682" i="2" s="1"/>
  <c r="C694" i="2" a="1"/>
  <c r="C694" i="2" s="1"/>
  <c r="C706" i="2" a="1"/>
  <c r="C706" i="2" s="1"/>
  <c r="C718" i="2" a="1"/>
  <c r="C718" i="2" s="1"/>
  <c r="C730" i="2" a="1"/>
  <c r="C730" i="2" s="1"/>
  <c r="C742" i="2" a="1"/>
  <c r="C742" i="2" s="1"/>
  <c r="C754" i="2" a="1"/>
  <c r="C754" i="2" s="1"/>
  <c r="C766" i="2" a="1"/>
  <c r="C766" i="2" s="1"/>
  <c r="C778" i="2" a="1"/>
  <c r="C778" i="2" s="1"/>
  <c r="C790" i="2" a="1"/>
  <c r="C790" i="2" s="1"/>
  <c r="C802" i="2" a="1"/>
  <c r="C802" i="2" s="1"/>
  <c r="C814" i="2" a="1"/>
  <c r="C814" i="2" s="1"/>
  <c r="C826" i="2" a="1"/>
  <c r="C826" i="2" s="1"/>
  <c r="C838" i="2" a="1"/>
  <c r="C838" i="2" s="1"/>
  <c r="C850" i="2" a="1"/>
  <c r="C850" i="2" s="1"/>
  <c r="C862" i="2" a="1"/>
  <c r="C862" i="2" s="1"/>
  <c r="C874" i="2" a="1"/>
  <c r="C874" i="2" s="1"/>
  <c r="C886" i="2" a="1"/>
  <c r="C886" i="2" s="1"/>
  <c r="C898" i="2" a="1"/>
  <c r="C898" i="2" s="1"/>
  <c r="C910" i="2" a="1"/>
  <c r="C910" i="2" s="1"/>
  <c r="C922" i="2" a="1"/>
  <c r="C922" i="2" s="1"/>
  <c r="C934" i="2" a="1"/>
  <c r="C934" i="2" s="1"/>
  <c r="C946" i="2" a="1"/>
  <c r="C946" i="2" s="1"/>
  <c r="C958" i="2" a="1"/>
  <c r="C958" i="2" s="1"/>
  <c r="C970" i="2" a="1"/>
  <c r="C970" i="2" s="1"/>
  <c r="C982" i="2" a="1"/>
  <c r="C982" i="2" s="1"/>
  <c r="C994" i="2" a="1"/>
  <c r="C994" i="2" s="1"/>
  <c r="C1006" i="2" a="1"/>
  <c r="C1006" i="2" s="1"/>
  <c r="C1018" i="2" a="1"/>
  <c r="C1018" i="2" s="1"/>
  <c r="C1030" i="2" a="1"/>
  <c r="C1030" i="2" s="1"/>
  <c r="C1042" i="2" a="1"/>
  <c r="C1042" i="2" s="1"/>
  <c r="C1054" i="2" a="1"/>
  <c r="C1054" i="2" s="1"/>
  <c r="C1066" i="2" a="1"/>
  <c r="C1066" i="2" s="1"/>
  <c r="C1078" i="2" a="1"/>
  <c r="C1078" i="2" s="1"/>
  <c r="C1090" i="2" a="1"/>
  <c r="C1090" i="2" s="1"/>
  <c r="C1102" i="2" a="1"/>
  <c r="C1102" i="2" s="1"/>
  <c r="C1114" i="2" a="1"/>
  <c r="C1114" i="2" s="1"/>
  <c r="C1126" i="2" a="1"/>
  <c r="C1126" i="2" s="1"/>
  <c r="C1138" i="2" a="1"/>
  <c r="C1138" i="2" s="1"/>
  <c r="C1150" i="2" a="1"/>
  <c r="C1150" i="2" s="1"/>
  <c r="C1162" i="2" a="1"/>
  <c r="C1162" i="2" s="1"/>
  <c r="C1174" i="2" a="1"/>
  <c r="C1174" i="2" s="1"/>
  <c r="C1186" i="2" a="1"/>
  <c r="C1186" i="2" s="1"/>
  <c r="C1198" i="2" a="1"/>
  <c r="C1198" i="2" s="1"/>
  <c r="C1210" i="2" a="1"/>
  <c r="C1210" i="2" s="1"/>
  <c r="C1222" i="2" a="1"/>
  <c r="C1222" i="2" s="1"/>
  <c r="C1234" i="2" a="1"/>
  <c r="C1234" i="2" s="1"/>
  <c r="C1246" i="2" a="1"/>
  <c r="C1246" i="2" s="1"/>
  <c r="C1258" i="2" a="1"/>
  <c r="C1258" i="2" s="1"/>
  <c r="C1270" i="2" a="1"/>
  <c r="C1270" i="2" s="1"/>
  <c r="C1282" i="2" a="1"/>
  <c r="C1282" i="2" s="1"/>
  <c r="C1294" i="2" a="1"/>
  <c r="C1294" i="2" s="1"/>
  <c r="C1306" i="2" a="1"/>
  <c r="C1306" i="2" s="1"/>
  <c r="C1318" i="2" a="1"/>
  <c r="C1318" i="2" s="1"/>
  <c r="C1330" i="2" a="1"/>
  <c r="C1330" i="2" s="1"/>
  <c r="C1342" i="2" a="1"/>
  <c r="C1342" i="2" s="1"/>
  <c r="C1354" i="2" a="1"/>
  <c r="C1354" i="2" s="1"/>
  <c r="C1366" i="2" a="1"/>
  <c r="C1366" i="2" s="1"/>
  <c r="C1378" i="2" a="1"/>
  <c r="C1378" i="2" s="1"/>
  <c r="C1390" i="2" a="1"/>
  <c r="C1390" i="2" s="1"/>
  <c r="C1402" i="2" a="1"/>
  <c r="C1402" i="2" s="1"/>
  <c r="C1414" i="2" a="1"/>
  <c r="C1414" i="2" s="1"/>
  <c r="C1426" i="2" a="1"/>
  <c r="C1426" i="2" s="1"/>
  <c r="C1438" i="2" a="1"/>
  <c r="C1438" i="2" s="1"/>
  <c r="C1450" i="2" a="1"/>
  <c r="C1450" i="2" s="1"/>
  <c r="C1462" i="2" a="1"/>
  <c r="C1462" i="2" s="1"/>
  <c r="C1474" i="2" a="1"/>
  <c r="C1474" i="2" s="1"/>
  <c r="C1486" i="2" a="1"/>
  <c r="C1486" i="2" s="1"/>
  <c r="C1498" i="2" a="1"/>
  <c r="C1498" i="2" s="1"/>
  <c r="C1510" i="2" a="1"/>
  <c r="C1510" i="2" s="1"/>
  <c r="C1522" i="2" a="1"/>
  <c r="C1522" i="2" s="1"/>
  <c r="C1534" i="2" a="1"/>
  <c r="C1534" i="2" s="1"/>
  <c r="C1546" i="2" a="1"/>
  <c r="C1546" i="2" s="1"/>
  <c r="C1558" i="2" a="1"/>
  <c r="C1558" i="2" s="1"/>
  <c r="C1570" i="2" a="1"/>
  <c r="C1570" i="2" s="1"/>
  <c r="C1582" i="2" a="1"/>
  <c r="C1582" i="2" s="1"/>
  <c r="C1594" i="2" a="1"/>
  <c r="C1594" i="2" s="1"/>
  <c r="C1606" i="2" a="1"/>
  <c r="C1606" i="2" s="1"/>
  <c r="C1618" i="2" a="1"/>
  <c r="C1618" i="2" s="1"/>
  <c r="C1630" i="2" a="1"/>
  <c r="C1630" i="2" s="1"/>
  <c r="C1642" i="2" a="1"/>
  <c r="C1642" i="2" s="1"/>
  <c r="C1654" i="2" a="1"/>
  <c r="C1654" i="2" s="1"/>
  <c r="C1666" i="2" a="1"/>
  <c r="C1666" i="2" s="1"/>
  <c r="C1678" i="2" a="1"/>
  <c r="C1678" i="2" s="1"/>
  <c r="C1690" i="2" a="1"/>
  <c r="C1690" i="2" s="1"/>
  <c r="C1702" i="2" a="1"/>
  <c r="C1702" i="2" s="1"/>
  <c r="C1714" i="2" a="1"/>
  <c r="C1714" i="2" s="1"/>
  <c r="C1726" i="2" a="1"/>
  <c r="C1726" i="2" s="1"/>
  <c r="C1738" i="2" a="1"/>
  <c r="C1738" i="2" s="1"/>
  <c r="C1750" i="2" a="1"/>
  <c r="C1750" i="2" s="1"/>
  <c r="C1762" i="2" a="1"/>
  <c r="C1762" i="2" s="1"/>
  <c r="C1774" i="2" a="1"/>
  <c r="C1774" i="2" s="1"/>
  <c r="C1786" i="2" a="1"/>
  <c r="C1786" i="2" s="1"/>
  <c r="C1798" i="2" a="1"/>
  <c r="C1798" i="2" s="1"/>
  <c r="C1810" i="2" a="1"/>
  <c r="C1810" i="2" s="1"/>
  <c r="C1822" i="2" a="1"/>
  <c r="C1822" i="2" s="1"/>
  <c r="C1834" i="2" a="1"/>
  <c r="C1834" i="2" s="1"/>
  <c r="C1846" i="2" a="1"/>
  <c r="C1846" i="2" s="1"/>
  <c r="C1858" i="2" a="1"/>
  <c r="C1858" i="2" s="1"/>
  <c r="C1870" i="2" a="1"/>
  <c r="C1870" i="2" s="1"/>
  <c r="C1882" i="2" a="1"/>
  <c r="C1882" i="2" s="1"/>
  <c r="C1894" i="2" a="1"/>
  <c r="C1894" i="2" s="1"/>
  <c r="C1906" i="2" a="1"/>
  <c r="C1906" i="2" s="1"/>
  <c r="C1918" i="2" a="1"/>
  <c r="C1918" i="2" s="1"/>
  <c r="C1930" i="2" a="1"/>
  <c r="C1930" i="2" s="1"/>
  <c r="C1942" i="2" a="1"/>
  <c r="C1942" i="2" s="1"/>
  <c r="C1954" i="2" a="1"/>
  <c r="C1954" i="2" s="1"/>
  <c r="C1966" i="2" a="1"/>
  <c r="C1966" i="2" s="1"/>
  <c r="C1978" i="2" a="1"/>
  <c r="C1978" i="2" s="1"/>
  <c r="C1990" i="2" a="1"/>
  <c r="C1990" i="2" s="1"/>
  <c r="C2002" i="2" a="1"/>
  <c r="C2002" i="2" s="1"/>
  <c r="C2014" i="2" a="1"/>
  <c r="C2014" i="2" s="1"/>
  <c r="C2026" i="2" a="1"/>
  <c r="C2026" i="2" s="1"/>
  <c r="C2038" i="2" a="1"/>
  <c r="C2038" i="2" s="1"/>
  <c r="C2050" i="2" a="1"/>
  <c r="C2050" i="2" s="1"/>
  <c r="C2062" i="2" a="1"/>
  <c r="C2062" i="2" s="1"/>
  <c r="C2074" i="2" a="1"/>
  <c r="C2074" i="2" s="1"/>
  <c r="C2086" i="2" a="1"/>
  <c r="C2086" i="2" s="1"/>
  <c r="C2098" i="2" a="1"/>
  <c r="C2098" i="2" s="1"/>
  <c r="C2110" i="2" a="1"/>
  <c r="C2110" i="2" s="1"/>
  <c r="C2122" i="2" a="1"/>
  <c r="C2122" i="2" s="1"/>
  <c r="C2134" i="2" a="1"/>
  <c r="C2134" i="2" s="1"/>
  <c r="C2146" i="2" a="1"/>
  <c r="C2146" i="2" s="1"/>
  <c r="C2158" i="2" a="1"/>
  <c r="C2158" i="2" s="1"/>
  <c r="C2170" i="2" a="1"/>
  <c r="C2170" i="2" s="1"/>
  <c r="C2182" i="2" a="1"/>
  <c r="C2182" i="2" s="1"/>
  <c r="C2194" i="2" a="1"/>
  <c r="C2194" i="2" s="1"/>
  <c r="C2206" i="2" a="1"/>
  <c r="C2206" i="2" s="1"/>
  <c r="C55" i="2" a="1"/>
  <c r="C55" i="2" s="1"/>
  <c r="C106" i="2" a="1"/>
  <c r="C106" i="2" s="1"/>
  <c r="C119" i="2" a="1"/>
  <c r="C119" i="2" s="1"/>
  <c r="C131" i="2" a="1"/>
  <c r="C131" i="2" s="1"/>
  <c r="C143" i="2" a="1"/>
  <c r="C143" i="2" s="1"/>
  <c r="C155" i="2" a="1"/>
  <c r="C155" i="2" s="1"/>
  <c r="C167" i="2" a="1"/>
  <c r="C167" i="2" s="1"/>
  <c r="C179" i="2" a="1"/>
  <c r="C179" i="2" s="1"/>
  <c r="C191" i="2" a="1"/>
  <c r="C191" i="2" s="1"/>
  <c r="C203" i="2" a="1"/>
  <c r="C203" i="2" s="1"/>
  <c r="C215" i="2" a="1"/>
  <c r="C215" i="2" s="1"/>
  <c r="C227" i="2" a="1"/>
  <c r="C227" i="2" s="1"/>
  <c r="C239" i="2" a="1"/>
  <c r="C239" i="2" s="1"/>
  <c r="C251" i="2" a="1"/>
  <c r="C251" i="2" s="1"/>
  <c r="C263" i="2" a="1"/>
  <c r="C263" i="2" s="1"/>
  <c r="C275" i="2" a="1"/>
  <c r="C275" i="2" s="1"/>
  <c r="C287" i="2" a="1"/>
  <c r="C287" i="2" s="1"/>
  <c r="C299" i="2" a="1"/>
  <c r="C299" i="2" s="1"/>
  <c r="C311" i="2" a="1"/>
  <c r="C311" i="2" s="1"/>
  <c r="C323" i="2" a="1"/>
  <c r="C323" i="2" s="1"/>
  <c r="C335" i="2" a="1"/>
  <c r="C335" i="2" s="1"/>
  <c r="C347" i="2" a="1"/>
  <c r="C347" i="2" s="1"/>
  <c r="C359" i="2" a="1"/>
  <c r="C359" i="2" s="1"/>
  <c r="C371" i="2" a="1"/>
  <c r="C371" i="2" s="1"/>
  <c r="C383" i="2" a="1"/>
  <c r="C383" i="2" s="1"/>
  <c r="C395" i="2" a="1"/>
  <c r="C395" i="2" s="1"/>
  <c r="C407" i="2" a="1"/>
  <c r="C407" i="2" s="1"/>
  <c r="C419" i="2" a="1"/>
  <c r="C419" i="2" s="1"/>
  <c r="C431" i="2" a="1"/>
  <c r="C431" i="2" s="1"/>
  <c r="C443" i="2" a="1"/>
  <c r="C443" i="2" s="1"/>
  <c r="C455" i="2" a="1"/>
  <c r="C455" i="2" s="1"/>
  <c r="C467" i="2" a="1"/>
  <c r="C467" i="2" s="1"/>
  <c r="C479" i="2" a="1"/>
  <c r="C479" i="2" s="1"/>
  <c r="C491" i="2" a="1"/>
  <c r="C491" i="2" s="1"/>
  <c r="C503" i="2" a="1"/>
  <c r="C503" i="2" s="1"/>
  <c r="C515" i="2" a="1"/>
  <c r="C515" i="2" s="1"/>
  <c r="C527" i="2" a="1"/>
  <c r="C527" i="2" s="1"/>
  <c r="C539" i="2" a="1"/>
  <c r="C539" i="2" s="1"/>
  <c r="C551" i="2" a="1"/>
  <c r="C551" i="2" s="1"/>
  <c r="C563" i="2" a="1"/>
  <c r="C563" i="2" s="1"/>
  <c r="C575" i="2" a="1"/>
  <c r="C575" i="2" s="1"/>
  <c r="C587" i="2" a="1"/>
  <c r="C587" i="2" s="1"/>
  <c r="C599" i="2" a="1"/>
  <c r="C599" i="2" s="1"/>
  <c r="C611" i="2" a="1"/>
  <c r="C611" i="2" s="1"/>
  <c r="C623" i="2" a="1"/>
  <c r="C623" i="2" s="1"/>
  <c r="C635" i="2" a="1"/>
  <c r="C635" i="2" s="1"/>
  <c r="C647" i="2" a="1"/>
  <c r="C647" i="2" s="1"/>
  <c r="C659" i="2" a="1"/>
  <c r="C659" i="2" s="1"/>
  <c r="C671" i="2" a="1"/>
  <c r="C671" i="2" s="1"/>
  <c r="C683" i="2" a="1"/>
  <c r="C683" i="2" s="1"/>
  <c r="C695" i="2" a="1"/>
  <c r="C695" i="2" s="1"/>
  <c r="C707" i="2" a="1"/>
  <c r="C707" i="2" s="1"/>
  <c r="C719" i="2" a="1"/>
  <c r="C719" i="2" s="1"/>
  <c r="C731" i="2" a="1"/>
  <c r="C731" i="2" s="1"/>
  <c r="C743" i="2" a="1"/>
  <c r="C743" i="2" s="1"/>
  <c r="C755" i="2" a="1"/>
  <c r="C755" i="2" s="1"/>
  <c r="C767" i="2" a="1"/>
  <c r="C767" i="2" s="1"/>
  <c r="C779" i="2" a="1"/>
  <c r="C779" i="2" s="1"/>
  <c r="C791" i="2" a="1"/>
  <c r="C791" i="2" s="1"/>
  <c r="C803" i="2" a="1"/>
  <c r="C803" i="2" s="1"/>
  <c r="C815" i="2" a="1"/>
  <c r="C815" i="2" s="1"/>
  <c r="C827" i="2" a="1"/>
  <c r="C827" i="2" s="1"/>
  <c r="C839" i="2" a="1"/>
  <c r="C839" i="2" s="1"/>
  <c r="C851" i="2" a="1"/>
  <c r="C851" i="2" s="1"/>
  <c r="C863" i="2" a="1"/>
  <c r="C863" i="2" s="1"/>
  <c r="C875" i="2" a="1"/>
  <c r="C875" i="2" s="1"/>
  <c r="C887" i="2" a="1"/>
  <c r="C887" i="2" s="1"/>
  <c r="C899" i="2" a="1"/>
  <c r="C899" i="2" s="1"/>
  <c r="C911" i="2" a="1"/>
  <c r="C911" i="2" s="1"/>
  <c r="C923" i="2" a="1"/>
  <c r="C923" i="2" s="1"/>
  <c r="C935" i="2" a="1"/>
  <c r="C935" i="2" s="1"/>
  <c r="C947" i="2" a="1"/>
  <c r="C947" i="2" s="1"/>
  <c r="C959" i="2" a="1"/>
  <c r="C959" i="2" s="1"/>
  <c r="C971" i="2" a="1"/>
  <c r="C971" i="2" s="1"/>
  <c r="C983" i="2" a="1"/>
  <c r="C983" i="2" s="1"/>
  <c r="C995" i="2" a="1"/>
  <c r="C995" i="2" s="1"/>
  <c r="C1007" i="2" a="1"/>
  <c r="C1007" i="2" s="1"/>
  <c r="C1019" i="2" a="1"/>
  <c r="C1019" i="2" s="1"/>
  <c r="C1031" i="2" a="1"/>
  <c r="C1031" i="2" s="1"/>
  <c r="C1043" i="2" a="1"/>
  <c r="C1043" i="2" s="1"/>
  <c r="C1055" i="2" a="1"/>
  <c r="C1055" i="2" s="1"/>
  <c r="C1067" i="2" a="1"/>
  <c r="C1067" i="2" s="1"/>
  <c r="C1079" i="2" a="1"/>
  <c r="C1079" i="2" s="1"/>
  <c r="C1091" i="2" a="1"/>
  <c r="C1091" i="2" s="1"/>
  <c r="C1103" i="2" a="1"/>
  <c r="C1103" i="2" s="1"/>
  <c r="C1115" i="2" a="1"/>
  <c r="C1115" i="2" s="1"/>
  <c r="C1127" i="2" a="1"/>
  <c r="C1127" i="2" s="1"/>
  <c r="C1139" i="2" a="1"/>
  <c r="C1139" i="2" s="1"/>
  <c r="C1151" i="2" a="1"/>
  <c r="C1151" i="2" s="1"/>
  <c r="C1163" i="2" a="1"/>
  <c r="C1163" i="2" s="1"/>
  <c r="C1175" i="2" a="1"/>
  <c r="C1175" i="2" s="1"/>
  <c r="C1187" i="2" a="1"/>
  <c r="C1187" i="2" s="1"/>
  <c r="C1199" i="2" a="1"/>
  <c r="C1199" i="2" s="1"/>
  <c r="C1211" i="2" a="1"/>
  <c r="C1211" i="2" s="1"/>
  <c r="C1223" i="2" a="1"/>
  <c r="C1223" i="2" s="1"/>
  <c r="C1235" i="2" a="1"/>
  <c r="C1235" i="2" s="1"/>
  <c r="C1247" i="2" a="1"/>
  <c r="C1247" i="2" s="1"/>
  <c r="C1259" i="2" a="1"/>
  <c r="C1259" i="2" s="1"/>
  <c r="C1271" i="2" a="1"/>
  <c r="C1271" i="2" s="1"/>
  <c r="C1283" i="2" a="1"/>
  <c r="C1283" i="2" s="1"/>
  <c r="C1295" i="2" a="1"/>
  <c r="C1295" i="2" s="1"/>
  <c r="C1307" i="2" a="1"/>
  <c r="C1307" i="2" s="1"/>
  <c r="C1319" i="2" a="1"/>
  <c r="C1319" i="2" s="1"/>
  <c r="C1331" i="2" a="1"/>
  <c r="C1331" i="2" s="1"/>
  <c r="C1343" i="2" a="1"/>
  <c r="C1343" i="2" s="1"/>
  <c r="C1355" i="2" a="1"/>
  <c r="C1355" i="2" s="1"/>
  <c r="C1367" i="2" a="1"/>
  <c r="C1367" i="2" s="1"/>
  <c r="C1379" i="2" a="1"/>
  <c r="C1379" i="2" s="1"/>
  <c r="C1391" i="2" a="1"/>
  <c r="C1391" i="2" s="1"/>
  <c r="C1403" i="2" a="1"/>
  <c r="C1403" i="2" s="1"/>
  <c r="C1415" i="2" a="1"/>
  <c r="C1415" i="2" s="1"/>
  <c r="C1427" i="2" a="1"/>
  <c r="C1427" i="2" s="1"/>
  <c r="C1439" i="2" a="1"/>
  <c r="C1439" i="2" s="1"/>
  <c r="C1451" i="2" a="1"/>
  <c r="C1451" i="2" s="1"/>
  <c r="C1463" i="2" a="1"/>
  <c r="C1463" i="2" s="1"/>
  <c r="C1475" i="2" a="1"/>
  <c r="C1475" i="2" s="1"/>
  <c r="C1487" i="2" a="1"/>
  <c r="C1487" i="2" s="1"/>
  <c r="C1499" i="2" a="1"/>
  <c r="C1499" i="2" s="1"/>
  <c r="C1511" i="2" a="1"/>
  <c r="C1511" i="2" s="1"/>
  <c r="C1523" i="2" a="1"/>
  <c r="C1523" i="2" s="1"/>
  <c r="C1535" i="2" a="1"/>
  <c r="C1535" i="2" s="1"/>
  <c r="C1547" i="2" a="1"/>
  <c r="C1547" i="2" s="1"/>
  <c r="C1559" i="2" a="1"/>
  <c r="C1559" i="2" s="1"/>
  <c r="C1571" i="2" a="1"/>
  <c r="C1571" i="2" s="1"/>
  <c r="C1583" i="2" a="1"/>
  <c r="C1583" i="2" s="1"/>
  <c r="C1595" i="2" a="1"/>
  <c r="C1595" i="2" s="1"/>
  <c r="C1607" i="2" a="1"/>
  <c r="C1607" i="2" s="1"/>
  <c r="C1619" i="2" a="1"/>
  <c r="C1619" i="2" s="1"/>
  <c r="C1631" i="2" a="1"/>
  <c r="C1631" i="2" s="1"/>
  <c r="C1643" i="2" a="1"/>
  <c r="C1643" i="2" s="1"/>
  <c r="C1655" i="2" a="1"/>
  <c r="C1655" i="2" s="1"/>
  <c r="C1667" i="2" a="1"/>
  <c r="C1667" i="2" s="1"/>
  <c r="C1679" i="2" a="1"/>
  <c r="C1679" i="2" s="1"/>
  <c r="C1691" i="2" a="1"/>
  <c r="C1691" i="2" s="1"/>
  <c r="C1703" i="2" a="1"/>
  <c r="C1703" i="2" s="1"/>
  <c r="C1715" i="2" a="1"/>
  <c r="C1715" i="2" s="1"/>
  <c r="C1727" i="2" a="1"/>
  <c r="C1727" i="2" s="1"/>
  <c r="C1739" i="2" a="1"/>
  <c r="C1739" i="2" s="1"/>
  <c r="C1751" i="2" a="1"/>
  <c r="C1751" i="2" s="1"/>
  <c r="C1763" i="2" a="1"/>
  <c r="C1763" i="2" s="1"/>
  <c r="C1775" i="2" a="1"/>
  <c r="C1775" i="2" s="1"/>
  <c r="C1787" i="2" a="1"/>
  <c r="C1787" i="2" s="1"/>
  <c r="C1799" i="2" a="1"/>
  <c r="C1799" i="2" s="1"/>
  <c r="C1811" i="2" a="1"/>
  <c r="C1811" i="2" s="1"/>
  <c r="C1823" i="2" a="1"/>
  <c r="C1823" i="2" s="1"/>
  <c r="C1835" i="2" a="1"/>
  <c r="C1835" i="2" s="1"/>
  <c r="C1847" i="2" a="1"/>
  <c r="C1847" i="2" s="1"/>
  <c r="C1859" i="2" a="1"/>
  <c r="C1859" i="2" s="1"/>
  <c r="C1871" i="2" a="1"/>
  <c r="C1871" i="2" s="1"/>
  <c r="C1883" i="2" a="1"/>
  <c r="C1883" i="2" s="1"/>
  <c r="C1895" i="2" a="1"/>
  <c r="C1895" i="2" s="1"/>
  <c r="C1907" i="2" a="1"/>
  <c r="C1907" i="2" s="1"/>
  <c r="C1919" i="2" a="1"/>
  <c r="C1919" i="2" s="1"/>
  <c r="C1931" i="2" a="1"/>
  <c r="C1931" i="2" s="1"/>
  <c r="C1943" i="2" a="1"/>
  <c r="C1943" i="2" s="1"/>
  <c r="C1955" i="2" a="1"/>
  <c r="C1955" i="2" s="1"/>
  <c r="C1967" i="2" a="1"/>
  <c r="C1967" i="2" s="1"/>
  <c r="C1979" i="2" a="1"/>
  <c r="C1979" i="2" s="1"/>
  <c r="C1991" i="2" a="1"/>
  <c r="C1991" i="2" s="1"/>
  <c r="C2003" i="2" a="1"/>
  <c r="C2003" i="2" s="1"/>
  <c r="C2015" i="2" a="1"/>
  <c r="C2015" i="2" s="1"/>
  <c r="C2027" i="2" a="1"/>
  <c r="C2027" i="2" s="1"/>
  <c r="C2039" i="2" a="1"/>
  <c r="C2039" i="2" s="1"/>
  <c r="C2051" i="2" a="1"/>
  <c r="C2051" i="2" s="1"/>
  <c r="C2063" i="2" a="1"/>
  <c r="C2063" i="2" s="1"/>
  <c r="C2075" i="2" a="1"/>
  <c r="C2075" i="2" s="1"/>
  <c r="C2087" i="2" a="1"/>
  <c r="C2087" i="2" s="1"/>
  <c r="C2099" i="2" a="1"/>
  <c r="C2099" i="2" s="1"/>
  <c r="C2111" i="2" a="1"/>
  <c r="C2111" i="2" s="1"/>
  <c r="C59" i="2" a="1"/>
  <c r="C59" i="2" s="1"/>
  <c r="C108" i="2" a="1"/>
  <c r="C108" i="2" s="1"/>
  <c r="C120" i="2" a="1"/>
  <c r="C120" i="2" s="1"/>
  <c r="C132" i="2" a="1"/>
  <c r="C132" i="2" s="1"/>
  <c r="C144" i="2" a="1"/>
  <c r="C144" i="2" s="1"/>
  <c r="C156" i="2" a="1"/>
  <c r="C156" i="2" s="1"/>
  <c r="C168" i="2" a="1"/>
  <c r="C168" i="2" s="1"/>
  <c r="C180" i="2" a="1"/>
  <c r="C180" i="2" s="1"/>
  <c r="C192" i="2" a="1"/>
  <c r="C192" i="2" s="1"/>
  <c r="C204" i="2" a="1"/>
  <c r="C204" i="2" s="1"/>
  <c r="C216" i="2" a="1"/>
  <c r="C216" i="2" s="1"/>
  <c r="C228" i="2" a="1"/>
  <c r="C228" i="2" s="1"/>
  <c r="C240" i="2" a="1"/>
  <c r="C240" i="2" s="1"/>
  <c r="C252" i="2" a="1"/>
  <c r="C252" i="2" s="1"/>
  <c r="C264" i="2" a="1"/>
  <c r="C264" i="2" s="1"/>
  <c r="C276" i="2" a="1"/>
  <c r="C276" i="2" s="1"/>
  <c r="C288" i="2" a="1"/>
  <c r="C288" i="2" s="1"/>
  <c r="C300" i="2" a="1"/>
  <c r="C300" i="2" s="1"/>
  <c r="C312" i="2" a="1"/>
  <c r="C312" i="2" s="1"/>
  <c r="C324" i="2" a="1"/>
  <c r="C324" i="2" s="1"/>
  <c r="C336" i="2" a="1"/>
  <c r="C336" i="2" s="1"/>
  <c r="C348" i="2" a="1"/>
  <c r="C348" i="2" s="1"/>
  <c r="C360" i="2" a="1"/>
  <c r="C360" i="2" s="1"/>
  <c r="C372" i="2" a="1"/>
  <c r="C372" i="2" s="1"/>
  <c r="C384" i="2" a="1"/>
  <c r="C384" i="2" s="1"/>
  <c r="C396" i="2" a="1"/>
  <c r="C396" i="2" s="1"/>
  <c r="C408" i="2" a="1"/>
  <c r="C408" i="2" s="1"/>
  <c r="C420" i="2" a="1"/>
  <c r="C420" i="2" s="1"/>
  <c r="C432" i="2" a="1"/>
  <c r="C432" i="2" s="1"/>
  <c r="C444" i="2" a="1"/>
  <c r="C444" i="2" s="1"/>
  <c r="C456" i="2" a="1"/>
  <c r="C456" i="2" s="1"/>
  <c r="C468" i="2" a="1"/>
  <c r="C468" i="2" s="1"/>
  <c r="C480" i="2" a="1"/>
  <c r="C480" i="2" s="1"/>
  <c r="C492" i="2" a="1"/>
  <c r="C492" i="2" s="1"/>
  <c r="C504" i="2" a="1"/>
  <c r="C504" i="2" s="1"/>
  <c r="C516" i="2" a="1"/>
  <c r="C516" i="2" s="1"/>
  <c r="C528" i="2" a="1"/>
  <c r="C528" i="2" s="1"/>
  <c r="C540" i="2" a="1"/>
  <c r="C540" i="2" s="1"/>
  <c r="C552" i="2" a="1"/>
  <c r="C552" i="2" s="1"/>
  <c r="C564" i="2" a="1"/>
  <c r="C564" i="2" s="1"/>
  <c r="C576" i="2" a="1"/>
  <c r="C576" i="2" s="1"/>
  <c r="C588" i="2" a="1"/>
  <c r="C588" i="2" s="1"/>
  <c r="C600" i="2" a="1"/>
  <c r="C600" i="2" s="1"/>
  <c r="C612" i="2" a="1"/>
  <c r="C612" i="2" s="1"/>
  <c r="C624" i="2" a="1"/>
  <c r="C624" i="2" s="1"/>
  <c r="C636" i="2" a="1"/>
  <c r="C636" i="2" s="1"/>
  <c r="C648" i="2" a="1"/>
  <c r="C648" i="2" s="1"/>
  <c r="C660" i="2" a="1"/>
  <c r="C660" i="2" s="1"/>
  <c r="C672" i="2" a="1"/>
  <c r="C672" i="2" s="1"/>
  <c r="C684" i="2" a="1"/>
  <c r="C684" i="2" s="1"/>
  <c r="C696" i="2" a="1"/>
  <c r="C696" i="2" s="1"/>
  <c r="C708" i="2" a="1"/>
  <c r="C708" i="2" s="1"/>
  <c r="C720" i="2" a="1"/>
  <c r="C720" i="2" s="1"/>
  <c r="C732" i="2" a="1"/>
  <c r="C732" i="2" s="1"/>
  <c r="C744" i="2" a="1"/>
  <c r="C744" i="2" s="1"/>
  <c r="C756" i="2" a="1"/>
  <c r="C756" i="2" s="1"/>
  <c r="C768" i="2" a="1"/>
  <c r="C768" i="2" s="1"/>
  <c r="C780" i="2" a="1"/>
  <c r="C780" i="2" s="1"/>
  <c r="C792" i="2" a="1"/>
  <c r="C792" i="2" s="1"/>
  <c r="C804" i="2" a="1"/>
  <c r="C804" i="2" s="1"/>
  <c r="C816" i="2" a="1"/>
  <c r="C816" i="2" s="1"/>
  <c r="C828" i="2" a="1"/>
  <c r="C828" i="2" s="1"/>
  <c r="C840" i="2" a="1"/>
  <c r="C840" i="2" s="1"/>
  <c r="C852" i="2" a="1"/>
  <c r="C852" i="2" s="1"/>
  <c r="C864" i="2" a="1"/>
  <c r="C864" i="2" s="1"/>
  <c r="C876" i="2" a="1"/>
  <c r="C876" i="2" s="1"/>
  <c r="C888" i="2" a="1"/>
  <c r="C888" i="2" s="1"/>
  <c r="C900" i="2" a="1"/>
  <c r="C900" i="2" s="1"/>
  <c r="C912" i="2" a="1"/>
  <c r="C912" i="2" s="1"/>
  <c r="C924" i="2" a="1"/>
  <c r="C924" i="2" s="1"/>
  <c r="C936" i="2" a="1"/>
  <c r="C936" i="2" s="1"/>
  <c r="C948" i="2" a="1"/>
  <c r="C948" i="2" s="1"/>
  <c r="C960" i="2" a="1"/>
  <c r="C960" i="2" s="1"/>
  <c r="C972" i="2" a="1"/>
  <c r="C972" i="2" s="1"/>
  <c r="C984" i="2" a="1"/>
  <c r="C984" i="2" s="1"/>
  <c r="C996" i="2" a="1"/>
  <c r="C996" i="2" s="1"/>
  <c r="C1008" i="2" a="1"/>
  <c r="C1008" i="2" s="1"/>
  <c r="C1020" i="2" a="1"/>
  <c r="C1020" i="2" s="1"/>
  <c r="C1032" i="2" a="1"/>
  <c r="C1032" i="2" s="1"/>
  <c r="C1044" i="2" a="1"/>
  <c r="C1044" i="2" s="1"/>
  <c r="C1056" i="2" a="1"/>
  <c r="C1056" i="2" s="1"/>
  <c r="C1068" i="2" a="1"/>
  <c r="C1068" i="2" s="1"/>
  <c r="C1080" i="2" a="1"/>
  <c r="C1080" i="2" s="1"/>
  <c r="C1092" i="2" a="1"/>
  <c r="C1092" i="2" s="1"/>
  <c r="C1104" i="2" a="1"/>
  <c r="C1104" i="2" s="1"/>
  <c r="C1116" i="2" a="1"/>
  <c r="C1116" i="2" s="1"/>
  <c r="C1128" i="2" a="1"/>
  <c r="C1128" i="2" s="1"/>
  <c r="C1140" i="2" a="1"/>
  <c r="C1140" i="2" s="1"/>
  <c r="C1152" i="2" a="1"/>
  <c r="C1152" i="2" s="1"/>
  <c r="C1164" i="2" a="1"/>
  <c r="C1164" i="2" s="1"/>
  <c r="C1176" i="2" a="1"/>
  <c r="C1176" i="2" s="1"/>
  <c r="C1188" i="2" a="1"/>
  <c r="C1188" i="2" s="1"/>
  <c r="C1200" i="2" a="1"/>
  <c r="C1200" i="2" s="1"/>
  <c r="C1212" i="2" a="1"/>
  <c r="C1212" i="2" s="1"/>
  <c r="C1224" i="2" a="1"/>
  <c r="C1224" i="2" s="1"/>
  <c r="C1236" i="2" a="1"/>
  <c r="C1236" i="2" s="1"/>
  <c r="C1248" i="2" a="1"/>
  <c r="C1248" i="2" s="1"/>
  <c r="C1260" i="2" a="1"/>
  <c r="C1260" i="2" s="1"/>
  <c r="C1272" i="2" a="1"/>
  <c r="C1272" i="2" s="1"/>
  <c r="C1284" i="2" a="1"/>
  <c r="C1284" i="2" s="1"/>
  <c r="C1296" i="2" a="1"/>
  <c r="C1296" i="2" s="1"/>
  <c r="C1308" i="2" a="1"/>
  <c r="C1308" i="2" s="1"/>
  <c r="C1320" i="2" a="1"/>
  <c r="C1320" i="2" s="1"/>
  <c r="C1332" i="2" a="1"/>
  <c r="C1332" i="2" s="1"/>
  <c r="C1344" i="2" a="1"/>
  <c r="C1344" i="2" s="1"/>
  <c r="C1356" i="2" a="1"/>
  <c r="C1356" i="2" s="1"/>
  <c r="C1368" i="2" a="1"/>
  <c r="C1368" i="2" s="1"/>
  <c r="C1380" i="2" a="1"/>
  <c r="C1380" i="2" s="1"/>
  <c r="C1392" i="2" a="1"/>
  <c r="C1392" i="2" s="1"/>
  <c r="C1404" i="2" a="1"/>
  <c r="C1404" i="2" s="1"/>
  <c r="C1416" i="2" a="1"/>
  <c r="C1416" i="2" s="1"/>
  <c r="C1428" i="2" a="1"/>
  <c r="C1428" i="2" s="1"/>
  <c r="C1440" i="2" a="1"/>
  <c r="C1440" i="2" s="1"/>
  <c r="C1452" i="2" a="1"/>
  <c r="C1452" i="2" s="1"/>
  <c r="C1464" i="2" a="1"/>
  <c r="C1464" i="2" s="1"/>
  <c r="C1476" i="2" a="1"/>
  <c r="C1476" i="2" s="1"/>
  <c r="C1488" i="2" a="1"/>
  <c r="C1488" i="2" s="1"/>
  <c r="C1500" i="2" a="1"/>
  <c r="C1500" i="2" s="1"/>
  <c r="C1512" i="2" a="1"/>
  <c r="C1512" i="2" s="1"/>
  <c r="C1524" i="2" a="1"/>
  <c r="C1524" i="2" s="1"/>
  <c r="C1536" i="2" a="1"/>
  <c r="C1536" i="2" s="1"/>
  <c r="C1548" i="2" a="1"/>
  <c r="C1548" i="2" s="1"/>
  <c r="C1560" i="2" a="1"/>
  <c r="C1560" i="2" s="1"/>
  <c r="C1572" i="2" a="1"/>
  <c r="C1572" i="2" s="1"/>
  <c r="C1584" i="2" a="1"/>
  <c r="C1584" i="2" s="1"/>
  <c r="C1596" i="2" a="1"/>
  <c r="C1596" i="2" s="1"/>
  <c r="C1608" i="2" a="1"/>
  <c r="C1608" i="2" s="1"/>
  <c r="C1620" i="2" a="1"/>
  <c r="C1620" i="2" s="1"/>
  <c r="C1632" i="2" a="1"/>
  <c r="C1632" i="2" s="1"/>
  <c r="C1644" i="2" a="1"/>
  <c r="C1644" i="2" s="1"/>
  <c r="C1656" i="2" a="1"/>
  <c r="C1656" i="2" s="1"/>
  <c r="C1668" i="2" a="1"/>
  <c r="C1668" i="2" s="1"/>
  <c r="C1680" i="2" a="1"/>
  <c r="C1680" i="2" s="1"/>
  <c r="C1692" i="2" a="1"/>
  <c r="C1692" i="2" s="1"/>
  <c r="C1704" i="2" a="1"/>
  <c r="C1704" i="2" s="1"/>
  <c r="C1716" i="2" a="1"/>
  <c r="C1716" i="2" s="1"/>
  <c r="C1728" i="2" a="1"/>
  <c r="C1728" i="2" s="1"/>
  <c r="C1740" i="2" a="1"/>
  <c r="C1740" i="2" s="1"/>
  <c r="C1752" i="2" a="1"/>
  <c r="C1752" i="2" s="1"/>
  <c r="C1764" i="2" a="1"/>
  <c r="C1764" i="2" s="1"/>
  <c r="C1776" i="2" a="1"/>
  <c r="C1776" i="2" s="1"/>
  <c r="C1788" i="2" a="1"/>
  <c r="C1788" i="2" s="1"/>
  <c r="C1800" i="2" a="1"/>
  <c r="C1800" i="2" s="1"/>
  <c r="C1812" i="2" a="1"/>
  <c r="C1812" i="2" s="1"/>
  <c r="C1824" i="2" a="1"/>
  <c r="C1824" i="2" s="1"/>
  <c r="C1836" i="2" a="1"/>
  <c r="C1836" i="2" s="1"/>
  <c r="C1848" i="2" a="1"/>
  <c r="C1848" i="2" s="1"/>
  <c r="C1860" i="2" a="1"/>
  <c r="C1860" i="2" s="1"/>
  <c r="C1872" i="2" a="1"/>
  <c r="C1872" i="2" s="1"/>
  <c r="C1884" i="2" a="1"/>
  <c r="C1884" i="2" s="1"/>
  <c r="C1896" i="2" a="1"/>
  <c r="C1896" i="2" s="1"/>
  <c r="C1908" i="2" a="1"/>
  <c r="C1908" i="2" s="1"/>
  <c r="C1920" i="2" a="1"/>
  <c r="C1920" i="2" s="1"/>
  <c r="C1932" i="2" a="1"/>
  <c r="C1932" i="2" s="1"/>
  <c r="C1944" i="2" a="1"/>
  <c r="C1944" i="2" s="1"/>
  <c r="C1956" i="2" a="1"/>
  <c r="C1956" i="2" s="1"/>
  <c r="C1968" i="2" a="1"/>
  <c r="C1968" i="2" s="1"/>
  <c r="C1980" i="2" a="1"/>
  <c r="C1980" i="2" s="1"/>
  <c r="C1992" i="2" a="1"/>
  <c r="C1992" i="2" s="1"/>
  <c r="C2004" i="2" a="1"/>
  <c r="C2004" i="2" s="1"/>
  <c r="C2016" i="2" a="1"/>
  <c r="C2016" i="2" s="1"/>
  <c r="C2028" i="2" a="1"/>
  <c r="C2028" i="2" s="1"/>
  <c r="C2040" i="2" a="1"/>
  <c r="C2040" i="2" s="1"/>
  <c r="C2052" i="2" a="1"/>
  <c r="C2052" i="2" s="1"/>
  <c r="C2064" i="2" a="1"/>
  <c r="C2064" i="2" s="1"/>
  <c r="C2076" i="2" a="1"/>
  <c r="C2076" i="2" s="1"/>
  <c r="C2088" i="2" a="1"/>
  <c r="C2088" i="2" s="1"/>
  <c r="C2100" i="2" a="1"/>
  <c r="C2100" i="2" s="1"/>
  <c r="C2112" i="2" a="1"/>
  <c r="C2112" i="2" s="1"/>
  <c r="C2124" i="2" a="1"/>
  <c r="C2124" i="2" s="1"/>
  <c r="C2136" i="2" a="1"/>
  <c r="C2136" i="2" s="1"/>
  <c r="C2148" i="2" a="1"/>
  <c r="C2148" i="2" s="1"/>
  <c r="C2160" i="2" a="1"/>
  <c r="C2160" i="2" s="1"/>
  <c r="C2172" i="2" a="1"/>
  <c r="C2172" i="2" s="1"/>
  <c r="C2184" i="2" a="1"/>
  <c r="C2184" i="2" s="1"/>
  <c r="C2196" i="2" a="1"/>
  <c r="C2196" i="2" s="1"/>
  <c r="C2208" i="2" a="1"/>
  <c r="C2208" i="2" s="1"/>
  <c r="C2220" i="2" a="1"/>
  <c r="C2220" i="2" s="1"/>
  <c r="C70" i="2" a="1"/>
  <c r="C70" i="2" s="1"/>
  <c r="C109" i="2" a="1"/>
  <c r="C109" i="2" s="1"/>
  <c r="C121" i="2" a="1"/>
  <c r="C121" i="2" s="1"/>
  <c r="C133" i="2" a="1"/>
  <c r="C133" i="2" s="1"/>
  <c r="C145" i="2" a="1"/>
  <c r="C145" i="2" s="1"/>
  <c r="C157" i="2" a="1"/>
  <c r="C157" i="2" s="1"/>
  <c r="C169" i="2" a="1"/>
  <c r="C169" i="2" s="1"/>
  <c r="C181" i="2" a="1"/>
  <c r="C181" i="2" s="1"/>
  <c r="C193" i="2" a="1"/>
  <c r="C193" i="2" s="1"/>
  <c r="C205" i="2" a="1"/>
  <c r="C205" i="2" s="1"/>
  <c r="C217" i="2" a="1"/>
  <c r="C217" i="2" s="1"/>
  <c r="C229" i="2" a="1"/>
  <c r="C229" i="2" s="1"/>
  <c r="C241" i="2" a="1"/>
  <c r="C241" i="2" s="1"/>
  <c r="C253" i="2" a="1"/>
  <c r="C253" i="2" s="1"/>
  <c r="C265" i="2" a="1"/>
  <c r="C265" i="2" s="1"/>
  <c r="C277" i="2" a="1"/>
  <c r="C277" i="2" s="1"/>
  <c r="C289" i="2" a="1"/>
  <c r="C289" i="2" s="1"/>
  <c r="C301" i="2" a="1"/>
  <c r="C301" i="2" s="1"/>
  <c r="C313" i="2" a="1"/>
  <c r="C313" i="2" s="1"/>
  <c r="C325" i="2" a="1"/>
  <c r="C325" i="2" s="1"/>
  <c r="C337" i="2" a="1"/>
  <c r="C337" i="2" s="1"/>
  <c r="C349" i="2" a="1"/>
  <c r="C349" i="2" s="1"/>
  <c r="C361" i="2" a="1"/>
  <c r="C361" i="2" s="1"/>
  <c r="C373" i="2" a="1"/>
  <c r="C373" i="2" s="1"/>
  <c r="C385" i="2" a="1"/>
  <c r="C385" i="2" s="1"/>
  <c r="C397" i="2" a="1"/>
  <c r="C397" i="2" s="1"/>
  <c r="C409" i="2" a="1"/>
  <c r="C409" i="2" s="1"/>
  <c r="C421" i="2" a="1"/>
  <c r="C421" i="2" s="1"/>
  <c r="C433" i="2" a="1"/>
  <c r="C433" i="2" s="1"/>
  <c r="C445" i="2" a="1"/>
  <c r="C445" i="2" s="1"/>
  <c r="C457" i="2" a="1"/>
  <c r="C457" i="2" s="1"/>
  <c r="C469" i="2" a="1"/>
  <c r="C469" i="2" s="1"/>
  <c r="C481" i="2" a="1"/>
  <c r="C481" i="2" s="1"/>
  <c r="C493" i="2" a="1"/>
  <c r="C493" i="2" s="1"/>
  <c r="C505" i="2" a="1"/>
  <c r="C505" i="2" s="1"/>
  <c r="C517" i="2" a="1"/>
  <c r="C517" i="2" s="1"/>
  <c r="C529" i="2" a="1"/>
  <c r="C529" i="2" s="1"/>
  <c r="C541" i="2" a="1"/>
  <c r="C541" i="2" s="1"/>
  <c r="C553" i="2" a="1"/>
  <c r="C553" i="2" s="1"/>
  <c r="C565" i="2" a="1"/>
  <c r="C565" i="2" s="1"/>
  <c r="C577" i="2" a="1"/>
  <c r="C577" i="2" s="1"/>
  <c r="C589" i="2" a="1"/>
  <c r="C589" i="2" s="1"/>
  <c r="C601" i="2" a="1"/>
  <c r="C601" i="2" s="1"/>
  <c r="C613" i="2" a="1"/>
  <c r="C613" i="2" s="1"/>
  <c r="C625" i="2" a="1"/>
  <c r="C625" i="2" s="1"/>
  <c r="C637" i="2" a="1"/>
  <c r="C637" i="2" s="1"/>
  <c r="C649" i="2" a="1"/>
  <c r="C649" i="2" s="1"/>
  <c r="C661" i="2" a="1"/>
  <c r="C661" i="2" s="1"/>
  <c r="C673" i="2" a="1"/>
  <c r="C673" i="2" s="1"/>
  <c r="C685" i="2" a="1"/>
  <c r="C685" i="2" s="1"/>
  <c r="C697" i="2" a="1"/>
  <c r="C697" i="2" s="1"/>
  <c r="C709" i="2" a="1"/>
  <c r="C709" i="2" s="1"/>
  <c r="C721" i="2" a="1"/>
  <c r="C721" i="2" s="1"/>
  <c r="C733" i="2" a="1"/>
  <c r="C733" i="2" s="1"/>
  <c r="C745" i="2" a="1"/>
  <c r="C745" i="2" s="1"/>
  <c r="C757" i="2" a="1"/>
  <c r="C757" i="2" s="1"/>
  <c r="C769" i="2" a="1"/>
  <c r="C769" i="2" s="1"/>
  <c r="C781" i="2" a="1"/>
  <c r="C781" i="2" s="1"/>
  <c r="C793" i="2" a="1"/>
  <c r="C793" i="2" s="1"/>
  <c r="C805" i="2" a="1"/>
  <c r="C805" i="2" s="1"/>
  <c r="C817" i="2" a="1"/>
  <c r="C817" i="2" s="1"/>
  <c r="C829" i="2" a="1"/>
  <c r="C829" i="2" s="1"/>
  <c r="C841" i="2" a="1"/>
  <c r="C841" i="2" s="1"/>
  <c r="C853" i="2" a="1"/>
  <c r="C853" i="2" s="1"/>
  <c r="C865" i="2" a="1"/>
  <c r="C865" i="2" s="1"/>
  <c r="C877" i="2" a="1"/>
  <c r="C877" i="2" s="1"/>
  <c r="C889" i="2" a="1"/>
  <c r="C889" i="2" s="1"/>
  <c r="C901" i="2" a="1"/>
  <c r="C901" i="2" s="1"/>
  <c r="C913" i="2" a="1"/>
  <c r="C913" i="2" s="1"/>
  <c r="C925" i="2" a="1"/>
  <c r="C925" i="2" s="1"/>
  <c r="C937" i="2" a="1"/>
  <c r="C937" i="2" s="1"/>
  <c r="C949" i="2" a="1"/>
  <c r="C949" i="2" s="1"/>
  <c r="C961" i="2" a="1"/>
  <c r="C961" i="2" s="1"/>
  <c r="C973" i="2" a="1"/>
  <c r="C973" i="2" s="1"/>
  <c r="C985" i="2" a="1"/>
  <c r="C985" i="2" s="1"/>
  <c r="C997" i="2" a="1"/>
  <c r="C997" i="2" s="1"/>
  <c r="C1009" i="2" a="1"/>
  <c r="C1009" i="2" s="1"/>
  <c r="C1021" i="2" a="1"/>
  <c r="C1021" i="2" s="1"/>
  <c r="C1033" i="2" a="1"/>
  <c r="C1033" i="2" s="1"/>
  <c r="C1045" i="2" a="1"/>
  <c r="C1045" i="2" s="1"/>
  <c r="C1057" i="2" a="1"/>
  <c r="C1057" i="2" s="1"/>
  <c r="C1069" i="2" a="1"/>
  <c r="C1069" i="2" s="1"/>
  <c r="C1081" i="2" a="1"/>
  <c r="C1081" i="2" s="1"/>
  <c r="C1093" i="2" a="1"/>
  <c r="C1093" i="2" s="1"/>
  <c r="C1105" i="2" a="1"/>
  <c r="C1105" i="2" s="1"/>
  <c r="C1117" i="2" a="1"/>
  <c r="C1117" i="2" s="1"/>
  <c r="C1129" i="2" a="1"/>
  <c r="C1129" i="2" s="1"/>
  <c r="C1141" i="2" a="1"/>
  <c r="C1141" i="2" s="1"/>
  <c r="C1153" i="2" a="1"/>
  <c r="C1153" i="2" s="1"/>
  <c r="C1165" i="2" a="1"/>
  <c r="C1165" i="2" s="1"/>
  <c r="C1177" i="2" a="1"/>
  <c r="C1177" i="2" s="1"/>
  <c r="C1189" i="2" a="1"/>
  <c r="C1189" i="2" s="1"/>
  <c r="C1201" i="2" a="1"/>
  <c r="C1201" i="2" s="1"/>
  <c r="C1213" i="2" a="1"/>
  <c r="C1213" i="2" s="1"/>
  <c r="C1225" i="2" a="1"/>
  <c r="C1225" i="2" s="1"/>
  <c r="C1237" i="2" a="1"/>
  <c r="C1237" i="2" s="1"/>
  <c r="C1249" i="2" a="1"/>
  <c r="C1249" i="2" s="1"/>
  <c r="C1261" i="2" a="1"/>
  <c r="C1261" i="2" s="1"/>
  <c r="C1273" i="2" a="1"/>
  <c r="C1273" i="2" s="1"/>
  <c r="C1285" i="2" a="1"/>
  <c r="C1285" i="2" s="1"/>
  <c r="C1297" i="2" a="1"/>
  <c r="C1297" i="2" s="1"/>
  <c r="C1309" i="2" a="1"/>
  <c r="C1309" i="2" s="1"/>
  <c r="C1321" i="2" a="1"/>
  <c r="C1321" i="2" s="1"/>
  <c r="C1333" i="2" a="1"/>
  <c r="C1333" i="2" s="1"/>
  <c r="C1345" i="2" a="1"/>
  <c r="C1345" i="2" s="1"/>
  <c r="C1357" i="2" a="1"/>
  <c r="C1357" i="2" s="1"/>
  <c r="C1369" i="2" a="1"/>
  <c r="C1369" i="2" s="1"/>
  <c r="C1381" i="2" a="1"/>
  <c r="C1381" i="2" s="1"/>
  <c r="C1393" i="2" a="1"/>
  <c r="C1393" i="2" s="1"/>
  <c r="C1405" i="2" a="1"/>
  <c r="C1405" i="2" s="1"/>
  <c r="C1417" i="2" a="1"/>
  <c r="C1417" i="2" s="1"/>
  <c r="C1429" i="2" a="1"/>
  <c r="C1429" i="2" s="1"/>
  <c r="C1441" i="2" a="1"/>
  <c r="C1441" i="2" s="1"/>
  <c r="C1453" i="2" a="1"/>
  <c r="C1453" i="2" s="1"/>
  <c r="C1465" i="2" a="1"/>
  <c r="C1465" i="2" s="1"/>
  <c r="C1477" i="2" a="1"/>
  <c r="C1477" i="2" s="1"/>
  <c r="C1489" i="2" a="1"/>
  <c r="C1489" i="2" s="1"/>
  <c r="C1501" i="2" a="1"/>
  <c r="C1501" i="2" s="1"/>
  <c r="C1513" i="2" a="1"/>
  <c r="C1513" i="2" s="1"/>
  <c r="C1525" i="2" a="1"/>
  <c r="C1525" i="2" s="1"/>
  <c r="C1537" i="2" a="1"/>
  <c r="C1537" i="2" s="1"/>
  <c r="C1549" i="2" a="1"/>
  <c r="C1549" i="2" s="1"/>
  <c r="C1561" i="2" a="1"/>
  <c r="C1561" i="2" s="1"/>
  <c r="C1573" i="2" a="1"/>
  <c r="C1573" i="2" s="1"/>
  <c r="C1585" i="2" a="1"/>
  <c r="C1585" i="2" s="1"/>
  <c r="C1597" i="2" a="1"/>
  <c r="C1597" i="2" s="1"/>
  <c r="C1609" i="2" a="1"/>
  <c r="C1609" i="2" s="1"/>
  <c r="C1621" i="2" a="1"/>
  <c r="C1621" i="2" s="1"/>
  <c r="C1633" i="2" a="1"/>
  <c r="C1633" i="2" s="1"/>
  <c r="C1645" i="2" a="1"/>
  <c r="C1645" i="2" s="1"/>
  <c r="C1657" i="2" a="1"/>
  <c r="C1657" i="2" s="1"/>
  <c r="C1669" i="2" a="1"/>
  <c r="C1669" i="2" s="1"/>
  <c r="C1681" i="2" a="1"/>
  <c r="C1681" i="2" s="1"/>
  <c r="C1693" i="2" a="1"/>
  <c r="C1693" i="2" s="1"/>
  <c r="C1705" i="2" a="1"/>
  <c r="C1705" i="2" s="1"/>
  <c r="C1717" i="2" a="1"/>
  <c r="C1717" i="2" s="1"/>
  <c r="C1729" i="2" a="1"/>
  <c r="C1729" i="2" s="1"/>
  <c r="C1741" i="2" a="1"/>
  <c r="C1741" i="2" s="1"/>
  <c r="C1753" i="2" a="1"/>
  <c r="C1753" i="2" s="1"/>
  <c r="C1765" i="2" a="1"/>
  <c r="C1765" i="2" s="1"/>
  <c r="C1777" i="2" a="1"/>
  <c r="C1777" i="2" s="1"/>
  <c r="C1789" i="2" a="1"/>
  <c r="C1789" i="2" s="1"/>
  <c r="C1801" i="2" a="1"/>
  <c r="C1801" i="2" s="1"/>
  <c r="C1813" i="2" a="1"/>
  <c r="C1813" i="2" s="1"/>
  <c r="C1825" i="2" a="1"/>
  <c r="C1825" i="2" s="1"/>
  <c r="C1837" i="2" a="1"/>
  <c r="C1837" i="2" s="1"/>
  <c r="C1849" i="2" a="1"/>
  <c r="C1849" i="2" s="1"/>
  <c r="C1861" i="2" a="1"/>
  <c r="C1861" i="2" s="1"/>
  <c r="C1873" i="2" a="1"/>
  <c r="C1873" i="2" s="1"/>
  <c r="C1885" i="2" a="1"/>
  <c r="C1885" i="2" s="1"/>
  <c r="C1897" i="2" a="1"/>
  <c r="C1897" i="2" s="1"/>
  <c r="C1909" i="2" a="1"/>
  <c r="C1909" i="2" s="1"/>
  <c r="C1921" i="2" a="1"/>
  <c r="C1921" i="2" s="1"/>
  <c r="C1933" i="2" a="1"/>
  <c r="C1933" i="2" s="1"/>
  <c r="C1945" i="2" a="1"/>
  <c r="C1945" i="2" s="1"/>
  <c r="C1957" i="2" a="1"/>
  <c r="C1957" i="2" s="1"/>
  <c r="C1969" i="2" a="1"/>
  <c r="C1969" i="2" s="1"/>
  <c r="C1981" i="2" a="1"/>
  <c r="C1981" i="2" s="1"/>
  <c r="C1993" i="2" a="1"/>
  <c r="C1993" i="2" s="1"/>
  <c r="C2005" i="2" a="1"/>
  <c r="C2005" i="2" s="1"/>
  <c r="C2017" i="2" a="1"/>
  <c r="C2017" i="2" s="1"/>
  <c r="C2029" i="2" a="1"/>
  <c r="C2029" i="2" s="1"/>
  <c r="C2041" i="2" a="1"/>
  <c r="C2041" i="2" s="1"/>
  <c r="C2053" i="2" a="1"/>
  <c r="C2053" i="2" s="1"/>
  <c r="C2065" i="2" a="1"/>
  <c r="C2065" i="2" s="1"/>
  <c r="C2077" i="2" a="1"/>
  <c r="C2077" i="2" s="1"/>
  <c r="C2089" i="2" a="1"/>
  <c r="C2089" i="2" s="1"/>
  <c r="C2101" i="2" a="1"/>
  <c r="C2101" i="2" s="1"/>
  <c r="C2113" i="2" a="1"/>
  <c r="C2113" i="2" s="1"/>
  <c r="C2125" i="2" a="1"/>
  <c r="C2125" i="2" s="1"/>
  <c r="C2137" i="2" a="1"/>
  <c r="C2137" i="2" s="1"/>
  <c r="C2149" i="2" a="1"/>
  <c r="C2149" i="2" s="1"/>
  <c r="C72" i="2" a="1"/>
  <c r="C72" i="2" s="1"/>
  <c r="C110" i="2" a="1"/>
  <c r="C110" i="2" s="1"/>
  <c r="C122" i="2" a="1"/>
  <c r="C122" i="2" s="1"/>
  <c r="C134" i="2" a="1"/>
  <c r="C134" i="2" s="1"/>
  <c r="C146" i="2" a="1"/>
  <c r="C146" i="2" s="1"/>
  <c r="C158" i="2" a="1"/>
  <c r="C158" i="2" s="1"/>
  <c r="C170" i="2" a="1"/>
  <c r="C170" i="2" s="1"/>
  <c r="C182" i="2" a="1"/>
  <c r="C182" i="2" s="1"/>
  <c r="C194" i="2" a="1"/>
  <c r="C194" i="2" s="1"/>
  <c r="C206" i="2" a="1"/>
  <c r="C206" i="2" s="1"/>
  <c r="C218" i="2" a="1"/>
  <c r="C218" i="2" s="1"/>
  <c r="C230" i="2" a="1"/>
  <c r="C230" i="2" s="1"/>
  <c r="C242" i="2" a="1"/>
  <c r="C242" i="2" s="1"/>
  <c r="C254" i="2" a="1"/>
  <c r="C254" i="2" s="1"/>
  <c r="C266" i="2" a="1"/>
  <c r="C266" i="2" s="1"/>
  <c r="C278" i="2" a="1"/>
  <c r="C278" i="2" s="1"/>
  <c r="C290" i="2" a="1"/>
  <c r="C290" i="2" s="1"/>
  <c r="C302" i="2" a="1"/>
  <c r="C302" i="2" s="1"/>
  <c r="C314" i="2" a="1"/>
  <c r="C314" i="2" s="1"/>
  <c r="C326" i="2" a="1"/>
  <c r="C326" i="2" s="1"/>
  <c r="C338" i="2" a="1"/>
  <c r="C338" i="2" s="1"/>
  <c r="C350" i="2" a="1"/>
  <c r="C350" i="2" s="1"/>
  <c r="C362" i="2" a="1"/>
  <c r="C362" i="2" s="1"/>
  <c r="C374" i="2" a="1"/>
  <c r="C374" i="2" s="1"/>
  <c r="C386" i="2" a="1"/>
  <c r="C386" i="2" s="1"/>
  <c r="C398" i="2" a="1"/>
  <c r="C398" i="2" s="1"/>
  <c r="C410" i="2" a="1"/>
  <c r="C410" i="2" s="1"/>
  <c r="C422" i="2" a="1"/>
  <c r="C422" i="2" s="1"/>
  <c r="C434" i="2" a="1"/>
  <c r="C434" i="2" s="1"/>
  <c r="C446" i="2" a="1"/>
  <c r="C446" i="2" s="1"/>
  <c r="C458" i="2" a="1"/>
  <c r="C458" i="2" s="1"/>
  <c r="C470" i="2" a="1"/>
  <c r="C470" i="2" s="1"/>
  <c r="C482" i="2" a="1"/>
  <c r="C482" i="2" s="1"/>
  <c r="C494" i="2" a="1"/>
  <c r="C494" i="2" s="1"/>
  <c r="C506" i="2" a="1"/>
  <c r="C506" i="2" s="1"/>
  <c r="C518" i="2" a="1"/>
  <c r="C518" i="2" s="1"/>
  <c r="C530" i="2" a="1"/>
  <c r="C530" i="2" s="1"/>
  <c r="C542" i="2" a="1"/>
  <c r="C542" i="2" s="1"/>
  <c r="C554" i="2" a="1"/>
  <c r="C554" i="2" s="1"/>
  <c r="C566" i="2" a="1"/>
  <c r="C566" i="2" s="1"/>
  <c r="C578" i="2" a="1"/>
  <c r="C578" i="2" s="1"/>
  <c r="C590" i="2" a="1"/>
  <c r="C590" i="2" s="1"/>
  <c r="C602" i="2" a="1"/>
  <c r="C602" i="2" s="1"/>
  <c r="C614" i="2" a="1"/>
  <c r="C614" i="2" s="1"/>
  <c r="C626" i="2" a="1"/>
  <c r="C626" i="2" s="1"/>
  <c r="C638" i="2" a="1"/>
  <c r="C638" i="2" s="1"/>
  <c r="C650" i="2" a="1"/>
  <c r="C650" i="2" s="1"/>
  <c r="C662" i="2" a="1"/>
  <c r="C662" i="2" s="1"/>
  <c r="C674" i="2" a="1"/>
  <c r="C674" i="2" s="1"/>
  <c r="C686" i="2" a="1"/>
  <c r="C686" i="2" s="1"/>
  <c r="C698" i="2" a="1"/>
  <c r="C698" i="2" s="1"/>
  <c r="C710" i="2" a="1"/>
  <c r="C710" i="2" s="1"/>
  <c r="C722" i="2" a="1"/>
  <c r="C722" i="2" s="1"/>
  <c r="C734" i="2" a="1"/>
  <c r="C734" i="2" s="1"/>
  <c r="C746" i="2" a="1"/>
  <c r="C746" i="2" s="1"/>
  <c r="C758" i="2" a="1"/>
  <c r="C758" i="2" s="1"/>
  <c r="C770" i="2" a="1"/>
  <c r="C770" i="2" s="1"/>
  <c r="C782" i="2" a="1"/>
  <c r="C782" i="2" s="1"/>
  <c r="C794" i="2" a="1"/>
  <c r="C794" i="2" s="1"/>
  <c r="C806" i="2" a="1"/>
  <c r="C806" i="2" s="1"/>
  <c r="C818" i="2" a="1"/>
  <c r="C818" i="2" s="1"/>
  <c r="C830" i="2" a="1"/>
  <c r="C830" i="2" s="1"/>
  <c r="C842" i="2" a="1"/>
  <c r="C842" i="2" s="1"/>
  <c r="C854" i="2" a="1"/>
  <c r="C854" i="2" s="1"/>
  <c r="C866" i="2" a="1"/>
  <c r="C866" i="2" s="1"/>
  <c r="C878" i="2" a="1"/>
  <c r="C878" i="2" s="1"/>
  <c r="C890" i="2" a="1"/>
  <c r="C890" i="2" s="1"/>
  <c r="C902" i="2" a="1"/>
  <c r="C902" i="2" s="1"/>
  <c r="C914" i="2" a="1"/>
  <c r="C914" i="2" s="1"/>
  <c r="C926" i="2" a="1"/>
  <c r="C926" i="2" s="1"/>
  <c r="C938" i="2" a="1"/>
  <c r="C938" i="2" s="1"/>
  <c r="C950" i="2" a="1"/>
  <c r="C950" i="2" s="1"/>
  <c r="C962" i="2" a="1"/>
  <c r="C962" i="2" s="1"/>
  <c r="C974" i="2" a="1"/>
  <c r="C974" i="2" s="1"/>
  <c r="C986" i="2" a="1"/>
  <c r="C986" i="2" s="1"/>
  <c r="C998" i="2" a="1"/>
  <c r="C998" i="2" s="1"/>
  <c r="C1010" i="2" a="1"/>
  <c r="C1010" i="2" s="1"/>
  <c r="C1022" i="2" a="1"/>
  <c r="C1022" i="2" s="1"/>
  <c r="C1034" i="2" a="1"/>
  <c r="C1034" i="2" s="1"/>
  <c r="C1046" i="2" a="1"/>
  <c r="C1046" i="2" s="1"/>
  <c r="C1058" i="2" a="1"/>
  <c r="C1058" i="2" s="1"/>
  <c r="C1070" i="2" a="1"/>
  <c r="C1070" i="2" s="1"/>
  <c r="C1082" i="2" a="1"/>
  <c r="C1082" i="2" s="1"/>
  <c r="C1094" i="2" a="1"/>
  <c r="C1094" i="2" s="1"/>
  <c r="C1106" i="2" a="1"/>
  <c r="C1106" i="2" s="1"/>
  <c r="C1118" i="2" a="1"/>
  <c r="C1118" i="2" s="1"/>
  <c r="C1130" i="2" a="1"/>
  <c r="C1130" i="2" s="1"/>
  <c r="C1142" i="2" a="1"/>
  <c r="C1142" i="2" s="1"/>
  <c r="C1154" i="2" a="1"/>
  <c r="C1154" i="2" s="1"/>
  <c r="C78" i="2" a="1"/>
  <c r="C78" i="2" s="1"/>
  <c r="C111" i="2" a="1"/>
  <c r="C111" i="2" s="1"/>
  <c r="C123" i="2" a="1"/>
  <c r="C123" i="2" s="1"/>
  <c r="C135" i="2" a="1"/>
  <c r="C135" i="2" s="1"/>
  <c r="C147" i="2" a="1"/>
  <c r="C147" i="2" s="1"/>
  <c r="C159" i="2" a="1"/>
  <c r="C159" i="2" s="1"/>
  <c r="C171" i="2" a="1"/>
  <c r="C171" i="2" s="1"/>
  <c r="C183" i="2" a="1"/>
  <c r="C183" i="2" s="1"/>
  <c r="C195" i="2" a="1"/>
  <c r="C195" i="2" s="1"/>
  <c r="C207" i="2" a="1"/>
  <c r="C207" i="2" s="1"/>
  <c r="C219" i="2" a="1"/>
  <c r="C219" i="2" s="1"/>
  <c r="C231" i="2" a="1"/>
  <c r="C231" i="2" s="1"/>
  <c r="C243" i="2" a="1"/>
  <c r="C243" i="2" s="1"/>
  <c r="C255" i="2" a="1"/>
  <c r="C255" i="2" s="1"/>
  <c r="C267" i="2" a="1"/>
  <c r="C267" i="2" s="1"/>
  <c r="C279" i="2" a="1"/>
  <c r="C279" i="2" s="1"/>
  <c r="C291" i="2" a="1"/>
  <c r="C291" i="2" s="1"/>
  <c r="C303" i="2" a="1"/>
  <c r="C303" i="2" s="1"/>
  <c r="C315" i="2" a="1"/>
  <c r="C315" i="2" s="1"/>
  <c r="C327" i="2" a="1"/>
  <c r="C327" i="2" s="1"/>
  <c r="C339" i="2" a="1"/>
  <c r="C339" i="2" s="1"/>
  <c r="C351" i="2" a="1"/>
  <c r="C351" i="2" s="1"/>
  <c r="C363" i="2" a="1"/>
  <c r="C363" i="2" s="1"/>
  <c r="C375" i="2" a="1"/>
  <c r="C375" i="2" s="1"/>
  <c r="C387" i="2" a="1"/>
  <c r="C387" i="2" s="1"/>
  <c r="C399" i="2" a="1"/>
  <c r="C399" i="2" s="1"/>
  <c r="C411" i="2" a="1"/>
  <c r="C411" i="2" s="1"/>
  <c r="C423" i="2" a="1"/>
  <c r="C423" i="2" s="1"/>
  <c r="C435" i="2" a="1"/>
  <c r="C435" i="2" s="1"/>
  <c r="C447" i="2" a="1"/>
  <c r="C447" i="2" s="1"/>
  <c r="C459" i="2" a="1"/>
  <c r="C459" i="2" s="1"/>
  <c r="C471" i="2" a="1"/>
  <c r="C471" i="2" s="1"/>
  <c r="C483" i="2" a="1"/>
  <c r="C483" i="2" s="1"/>
  <c r="C495" i="2" a="1"/>
  <c r="C495" i="2" s="1"/>
  <c r="C507" i="2" a="1"/>
  <c r="C507" i="2" s="1"/>
  <c r="C519" i="2" a="1"/>
  <c r="C519" i="2" s="1"/>
  <c r="C531" i="2" a="1"/>
  <c r="C531" i="2" s="1"/>
  <c r="C543" i="2" a="1"/>
  <c r="C543" i="2" s="1"/>
  <c r="C555" i="2" a="1"/>
  <c r="C555" i="2" s="1"/>
  <c r="C567" i="2" a="1"/>
  <c r="C567" i="2" s="1"/>
  <c r="C579" i="2" a="1"/>
  <c r="C579" i="2" s="1"/>
  <c r="C591" i="2" a="1"/>
  <c r="C591" i="2" s="1"/>
  <c r="C603" i="2" a="1"/>
  <c r="C603" i="2" s="1"/>
  <c r="C615" i="2" a="1"/>
  <c r="C615" i="2" s="1"/>
  <c r="C627" i="2" a="1"/>
  <c r="C627" i="2" s="1"/>
  <c r="C639" i="2" a="1"/>
  <c r="C639" i="2" s="1"/>
  <c r="C651" i="2" a="1"/>
  <c r="C651" i="2" s="1"/>
  <c r="C663" i="2" a="1"/>
  <c r="C663" i="2" s="1"/>
  <c r="C675" i="2" a="1"/>
  <c r="C675" i="2" s="1"/>
  <c r="C687" i="2" a="1"/>
  <c r="C687" i="2" s="1"/>
  <c r="C699" i="2" a="1"/>
  <c r="C699" i="2" s="1"/>
  <c r="C711" i="2" a="1"/>
  <c r="C711" i="2" s="1"/>
  <c r="C723" i="2" a="1"/>
  <c r="C723" i="2" s="1"/>
  <c r="C735" i="2" a="1"/>
  <c r="C735" i="2" s="1"/>
  <c r="C747" i="2" a="1"/>
  <c r="C747" i="2" s="1"/>
  <c r="C759" i="2" a="1"/>
  <c r="C759" i="2" s="1"/>
  <c r="C771" i="2" a="1"/>
  <c r="C771" i="2" s="1"/>
  <c r="C783" i="2" a="1"/>
  <c r="C783" i="2" s="1"/>
  <c r="C795" i="2" a="1"/>
  <c r="C795" i="2" s="1"/>
  <c r="C807" i="2" a="1"/>
  <c r="C807" i="2" s="1"/>
  <c r="C819" i="2" a="1"/>
  <c r="C819" i="2" s="1"/>
  <c r="C831" i="2" a="1"/>
  <c r="C831" i="2" s="1"/>
  <c r="C843" i="2" a="1"/>
  <c r="C843" i="2" s="1"/>
  <c r="C855" i="2" a="1"/>
  <c r="C855" i="2" s="1"/>
  <c r="C867" i="2" a="1"/>
  <c r="C867" i="2" s="1"/>
  <c r="C879" i="2" a="1"/>
  <c r="C879" i="2" s="1"/>
  <c r="C891" i="2" a="1"/>
  <c r="C891" i="2" s="1"/>
  <c r="C903" i="2" a="1"/>
  <c r="C903" i="2" s="1"/>
  <c r="C915" i="2" a="1"/>
  <c r="C915" i="2" s="1"/>
  <c r="C927" i="2" a="1"/>
  <c r="C927" i="2" s="1"/>
  <c r="C939" i="2" a="1"/>
  <c r="C939" i="2" s="1"/>
  <c r="C951" i="2" a="1"/>
  <c r="C951" i="2" s="1"/>
  <c r="C963" i="2" a="1"/>
  <c r="C963" i="2" s="1"/>
  <c r="C975" i="2" a="1"/>
  <c r="C975" i="2" s="1"/>
  <c r="C987" i="2" a="1"/>
  <c r="C987" i="2" s="1"/>
  <c r="C999" i="2" a="1"/>
  <c r="C999" i="2" s="1"/>
  <c r="C1011" i="2" a="1"/>
  <c r="C1011" i="2" s="1"/>
  <c r="C1023" i="2" a="1"/>
  <c r="C1023" i="2" s="1"/>
  <c r="C1035" i="2" a="1"/>
  <c r="C1035" i="2" s="1"/>
  <c r="C1047" i="2" a="1"/>
  <c r="C1047" i="2" s="1"/>
  <c r="C1059" i="2" a="1"/>
  <c r="C1059" i="2" s="1"/>
  <c r="C1071" i="2" a="1"/>
  <c r="C1071" i="2" s="1"/>
  <c r="C1083" i="2" a="1"/>
  <c r="C1083" i="2" s="1"/>
  <c r="C1095" i="2" a="1"/>
  <c r="C1095" i="2" s="1"/>
  <c r="C1107" i="2" a="1"/>
  <c r="C1107" i="2" s="1"/>
  <c r="C1119" i="2" a="1"/>
  <c r="C1119" i="2" s="1"/>
  <c r="C1131" i="2" a="1"/>
  <c r="C1131" i="2" s="1"/>
  <c r="C1143" i="2" a="1"/>
  <c r="C1143" i="2" s="1"/>
  <c r="C1155" i="2" a="1"/>
  <c r="C1155" i="2" s="1"/>
  <c r="C1167" i="2" a="1"/>
  <c r="C1167" i="2" s="1"/>
  <c r="C1179" i="2" a="1"/>
  <c r="C1179" i="2" s="1"/>
  <c r="C1191" i="2" a="1"/>
  <c r="C1191" i="2" s="1"/>
  <c r="C1203" i="2" a="1"/>
  <c r="C1203" i="2" s="1"/>
  <c r="C1215" i="2" a="1"/>
  <c r="C1215" i="2" s="1"/>
  <c r="C1227" i="2" a="1"/>
  <c r="C1227" i="2" s="1"/>
  <c r="C1239" i="2" a="1"/>
  <c r="C1239" i="2" s="1"/>
  <c r="C1251" i="2" a="1"/>
  <c r="C1251" i="2" s="1"/>
  <c r="C1263" i="2" a="1"/>
  <c r="C1263" i="2" s="1"/>
  <c r="C1275" i="2" a="1"/>
  <c r="C1275" i="2" s="1"/>
  <c r="C1287" i="2" a="1"/>
  <c r="C1287" i="2" s="1"/>
  <c r="C1299" i="2" a="1"/>
  <c r="C1299" i="2" s="1"/>
  <c r="C1311" i="2" a="1"/>
  <c r="C1311" i="2" s="1"/>
  <c r="C1323" i="2" a="1"/>
  <c r="C1323" i="2" s="1"/>
  <c r="C1335" i="2" a="1"/>
  <c r="C1335" i="2" s="1"/>
  <c r="C1347" i="2" a="1"/>
  <c r="C1347" i="2" s="1"/>
  <c r="C1359" i="2" a="1"/>
  <c r="C1359" i="2" s="1"/>
  <c r="C1371" i="2" a="1"/>
  <c r="C1371" i="2" s="1"/>
  <c r="C1383" i="2" a="1"/>
  <c r="C1383" i="2" s="1"/>
  <c r="C1395" i="2" a="1"/>
  <c r="C1395" i="2" s="1"/>
  <c r="C1407" i="2" a="1"/>
  <c r="C1407" i="2" s="1"/>
  <c r="C1419" i="2" a="1"/>
  <c r="C1419" i="2" s="1"/>
  <c r="C1431" i="2" a="1"/>
  <c r="C1431" i="2" s="1"/>
  <c r="C1443" i="2" a="1"/>
  <c r="C1443" i="2" s="1"/>
  <c r="C1455" i="2" a="1"/>
  <c r="C1455" i="2" s="1"/>
  <c r="C1467" i="2" a="1"/>
  <c r="C1467" i="2" s="1"/>
  <c r="C1479" i="2" a="1"/>
  <c r="C1479" i="2" s="1"/>
  <c r="C1491" i="2" a="1"/>
  <c r="C1491" i="2" s="1"/>
  <c r="C1503" i="2" a="1"/>
  <c r="C1503" i="2" s="1"/>
  <c r="C1515" i="2" a="1"/>
  <c r="C1515" i="2" s="1"/>
  <c r="C1527" i="2" a="1"/>
  <c r="C1527" i="2" s="1"/>
  <c r="C1539" i="2" a="1"/>
  <c r="C1539" i="2" s="1"/>
  <c r="C1551" i="2" a="1"/>
  <c r="C1551" i="2" s="1"/>
  <c r="C1563" i="2" a="1"/>
  <c r="C1563" i="2" s="1"/>
  <c r="C1575" i="2" a="1"/>
  <c r="C1575" i="2" s="1"/>
  <c r="C1587" i="2" a="1"/>
  <c r="C1587" i="2" s="1"/>
  <c r="C1599" i="2" a="1"/>
  <c r="C1599" i="2" s="1"/>
  <c r="C1611" i="2" a="1"/>
  <c r="C1611" i="2" s="1"/>
  <c r="C1623" i="2" a="1"/>
  <c r="C1623" i="2" s="1"/>
  <c r="C1635" i="2" a="1"/>
  <c r="C1635" i="2" s="1"/>
  <c r="C1647" i="2" a="1"/>
  <c r="C1647" i="2" s="1"/>
  <c r="C1659" i="2" a="1"/>
  <c r="C1659" i="2" s="1"/>
  <c r="C1671" i="2" a="1"/>
  <c r="C1671" i="2" s="1"/>
  <c r="C1683" i="2" a="1"/>
  <c r="C1683" i="2" s="1"/>
  <c r="C1695" i="2" a="1"/>
  <c r="C1695" i="2" s="1"/>
  <c r="C1707" i="2" a="1"/>
  <c r="C1707" i="2" s="1"/>
  <c r="C1719" i="2" a="1"/>
  <c r="C1719" i="2" s="1"/>
  <c r="C1731" i="2" a="1"/>
  <c r="C1731" i="2" s="1"/>
  <c r="C1743" i="2" a="1"/>
  <c r="C1743" i="2" s="1"/>
  <c r="C1755" i="2" a="1"/>
  <c r="C1755" i="2" s="1"/>
  <c r="C1767" i="2" a="1"/>
  <c r="C1767" i="2" s="1"/>
  <c r="C1779" i="2" a="1"/>
  <c r="C1779" i="2" s="1"/>
  <c r="C1791" i="2" a="1"/>
  <c r="C1791" i="2" s="1"/>
  <c r="C1803" i="2" a="1"/>
  <c r="C1803" i="2" s="1"/>
  <c r="C1815" i="2" a="1"/>
  <c r="C1815" i="2" s="1"/>
  <c r="C1827" i="2" a="1"/>
  <c r="C1827" i="2" s="1"/>
  <c r="C1839" i="2" a="1"/>
  <c r="C1839" i="2" s="1"/>
  <c r="C1851" i="2" a="1"/>
  <c r="C1851" i="2" s="1"/>
  <c r="C1863" i="2" a="1"/>
  <c r="C1863" i="2" s="1"/>
  <c r="C1875" i="2" a="1"/>
  <c r="C1875" i="2" s="1"/>
  <c r="C1887" i="2" a="1"/>
  <c r="C1887" i="2" s="1"/>
  <c r="C1899" i="2" a="1"/>
  <c r="C1899" i="2" s="1"/>
  <c r="C1911" i="2" a="1"/>
  <c r="C1911" i="2" s="1"/>
  <c r="C1923" i="2" a="1"/>
  <c r="C1923" i="2" s="1"/>
  <c r="C1935" i="2" a="1"/>
  <c r="C1935" i="2" s="1"/>
  <c r="C1947" i="2" a="1"/>
  <c r="C1947" i="2" s="1"/>
  <c r="C1959" i="2" a="1"/>
  <c r="C1959" i="2" s="1"/>
  <c r="C1971" i="2" a="1"/>
  <c r="C1971" i="2" s="1"/>
  <c r="C1983" i="2" a="1"/>
  <c r="C1983" i="2" s="1"/>
  <c r="C1995" i="2" a="1"/>
  <c r="C1995" i="2" s="1"/>
  <c r="C2007" i="2" a="1"/>
  <c r="C2007" i="2" s="1"/>
  <c r="C2019" i="2" a="1"/>
  <c r="C2019" i="2" s="1"/>
  <c r="C2031" i="2" a="1"/>
  <c r="C2031" i="2" s="1"/>
  <c r="C2043" i="2" a="1"/>
  <c r="C2043" i="2" s="1"/>
  <c r="C2055" i="2" a="1"/>
  <c r="C2055" i="2" s="1"/>
  <c r="C2067" i="2" a="1"/>
  <c r="C2067" i="2" s="1"/>
  <c r="C2079" i="2" a="1"/>
  <c r="C2079" i="2" s="1"/>
  <c r="C2091" i="2" a="1"/>
  <c r="C2091" i="2" s="1"/>
  <c r="C2103" i="2" a="1"/>
  <c r="C2103" i="2" s="1"/>
  <c r="C2115" i="2" a="1"/>
  <c r="C2115" i="2" s="1"/>
  <c r="C2127" i="2" a="1"/>
  <c r="C2127" i="2" s="1"/>
  <c r="C2139" i="2" a="1"/>
  <c r="C2139" i="2" s="1"/>
  <c r="C2151" i="2" a="1"/>
  <c r="C2151" i="2" s="1"/>
  <c r="C2163" i="2" a="1"/>
  <c r="C2163" i="2" s="1"/>
  <c r="C2175" i="2" a="1"/>
  <c r="C2175" i="2" s="1"/>
  <c r="C2187" i="2" a="1"/>
  <c r="C2187" i="2" s="1"/>
  <c r="C1298" i="2" a="1"/>
  <c r="C1298" i="2" s="1"/>
  <c r="C1411" i="2" a="1"/>
  <c r="C1411" i="2" s="1"/>
  <c r="C1483" i="2" a="1"/>
  <c r="C1483" i="2" s="1"/>
  <c r="C1555" i="2" a="1"/>
  <c r="C1555" i="2" s="1"/>
  <c r="C1612" i="2" a="1"/>
  <c r="C1612" i="2" s="1"/>
  <c r="C1648" i="2" a="1"/>
  <c r="C1648" i="2" s="1"/>
  <c r="C1684" i="2" a="1"/>
  <c r="C1684" i="2" s="1"/>
  <c r="C1720" i="2" a="1"/>
  <c r="C1720" i="2" s="1"/>
  <c r="C1756" i="2" a="1"/>
  <c r="C1756" i="2" s="1"/>
  <c r="C1784" i="2" a="1"/>
  <c r="C1784" i="2" s="1"/>
  <c r="C1816" i="2" a="1"/>
  <c r="C1816" i="2" s="1"/>
  <c r="C1843" i="2" a="1"/>
  <c r="C1843" i="2" s="1"/>
  <c r="C1874" i="2" a="1"/>
  <c r="C1874" i="2" s="1"/>
  <c r="C1902" i="2" a="1"/>
  <c r="C1902" i="2" s="1"/>
  <c r="C1928" i="2" a="1"/>
  <c r="C1928" i="2" s="1"/>
  <c r="C1960" i="2" a="1"/>
  <c r="C1960" i="2" s="1"/>
  <c r="C1987" i="2" a="1"/>
  <c r="C1987" i="2" s="1"/>
  <c r="C2018" i="2" a="1"/>
  <c r="C2018" i="2" s="1"/>
  <c r="C2046" i="2" a="1"/>
  <c r="C2046" i="2" s="1"/>
  <c r="C2072" i="2" a="1"/>
  <c r="C2072" i="2" s="1"/>
  <c r="C2104" i="2" a="1"/>
  <c r="C2104" i="2" s="1"/>
  <c r="C2129" i="2" a="1"/>
  <c r="C2129" i="2" s="1"/>
  <c r="C2150" i="2" a="1"/>
  <c r="C2150" i="2" s="1"/>
  <c r="C2167" i="2" a="1"/>
  <c r="C2167" i="2" s="1"/>
  <c r="C2186" i="2" a="1"/>
  <c r="C2186" i="2" s="1"/>
  <c r="C2202" i="2" a="1"/>
  <c r="C2202" i="2" s="1"/>
  <c r="C1166" i="2" a="1"/>
  <c r="C1166" i="2" s="1"/>
  <c r="C1310" i="2" a="1"/>
  <c r="C1310" i="2" s="1"/>
  <c r="C1418" i="2" a="1"/>
  <c r="C1418" i="2" s="1"/>
  <c r="C1490" i="2" a="1"/>
  <c r="C1490" i="2" s="1"/>
  <c r="C1562" i="2" a="1"/>
  <c r="C1562" i="2" s="1"/>
  <c r="C1615" i="2" a="1"/>
  <c r="C1615" i="2" s="1"/>
  <c r="C1651" i="2" a="1"/>
  <c r="C1651" i="2" s="1"/>
  <c r="C1687" i="2" a="1"/>
  <c r="C1687" i="2" s="1"/>
  <c r="C1723" i="2" a="1"/>
  <c r="C1723" i="2" s="1"/>
  <c r="C1759" i="2" a="1"/>
  <c r="C1759" i="2" s="1"/>
  <c r="C1790" i="2" a="1"/>
  <c r="C1790" i="2" s="1"/>
  <c r="C1818" i="2" a="1"/>
  <c r="C1818" i="2" s="1"/>
  <c r="C1844" i="2" a="1"/>
  <c r="C1844" i="2" s="1"/>
  <c r="C1876" i="2" a="1"/>
  <c r="C1876" i="2" s="1"/>
  <c r="C1903" i="2" a="1"/>
  <c r="C1903" i="2" s="1"/>
  <c r="C1934" i="2" a="1"/>
  <c r="C1934" i="2" s="1"/>
  <c r="C1962" i="2" a="1"/>
  <c r="C1962" i="2" s="1"/>
  <c r="C1988" i="2" a="1"/>
  <c r="C1988" i="2" s="1"/>
  <c r="C2020" i="2" a="1"/>
  <c r="C2020" i="2" s="1"/>
  <c r="C2047" i="2" a="1"/>
  <c r="C2047" i="2" s="1"/>
  <c r="C2078" i="2" a="1"/>
  <c r="C2078" i="2" s="1"/>
  <c r="C2106" i="2" a="1"/>
  <c r="C2106" i="2" s="1"/>
  <c r="C1178" i="2" a="1"/>
  <c r="C1178" i="2" s="1"/>
  <c r="C1322" i="2" a="1"/>
  <c r="C1322" i="2" s="1"/>
  <c r="C1423" i="2" a="1"/>
  <c r="C1423" i="2" s="1"/>
  <c r="C1495" i="2" a="1"/>
  <c r="C1495" i="2" s="1"/>
  <c r="C1567" i="2" a="1"/>
  <c r="C1567" i="2" s="1"/>
  <c r="C1616" i="2" a="1"/>
  <c r="C1616" i="2" s="1"/>
  <c r="C1652" i="2" a="1"/>
  <c r="C1652" i="2" s="1"/>
  <c r="C1688" i="2" a="1"/>
  <c r="C1688" i="2" s="1"/>
  <c r="C1724" i="2" a="1"/>
  <c r="C1724" i="2" s="1"/>
  <c r="C1760" i="2" a="1"/>
  <c r="C1760" i="2" s="1"/>
  <c r="C1792" i="2" a="1"/>
  <c r="C1792" i="2" s="1"/>
  <c r="C1819" i="2" a="1"/>
  <c r="C1819" i="2" s="1"/>
  <c r="C1850" i="2" a="1"/>
  <c r="C1850" i="2" s="1"/>
  <c r="C1878" i="2" a="1"/>
  <c r="C1878" i="2" s="1"/>
  <c r="C1904" i="2" a="1"/>
  <c r="C1904" i="2" s="1"/>
  <c r="C1936" i="2" a="1"/>
  <c r="C1936" i="2" s="1"/>
  <c r="C1963" i="2" a="1"/>
  <c r="C1963" i="2" s="1"/>
  <c r="C1994" i="2" a="1"/>
  <c r="C1994" i="2" s="1"/>
  <c r="C2022" i="2" a="1"/>
  <c r="C2022" i="2" s="1"/>
  <c r="C2048" i="2" a="1"/>
  <c r="C2048" i="2" s="1"/>
  <c r="C2080" i="2" a="1"/>
  <c r="C2080" i="2" s="1"/>
  <c r="C2107" i="2" a="1"/>
  <c r="C2107" i="2" s="1"/>
  <c r="C2131" i="2" a="1"/>
  <c r="C2131" i="2" s="1"/>
  <c r="C2153" i="2" a="1"/>
  <c r="C2153" i="2" s="1"/>
  <c r="C2171" i="2" a="1"/>
  <c r="C2171" i="2" s="1"/>
  <c r="C2189" i="2" a="1"/>
  <c r="C2189" i="2" s="1"/>
  <c r="C2204" i="2" a="1"/>
  <c r="C2204" i="2" s="1"/>
  <c r="C2221" i="2" a="1"/>
  <c r="C2221" i="2" s="1"/>
  <c r="C2234" i="2" a="1"/>
  <c r="C2234" i="2" s="1"/>
  <c r="C2247" i="2" a="1"/>
  <c r="C2247" i="2" s="1"/>
  <c r="C2260" i="2" a="1"/>
  <c r="C2260" i="2" s="1"/>
  <c r="C2272" i="2" a="1"/>
  <c r="C2272" i="2" s="1"/>
  <c r="C2284" i="2" a="1"/>
  <c r="C2284" i="2" s="1"/>
  <c r="C1190" i="2" a="1"/>
  <c r="C1190" i="2" s="1"/>
  <c r="C1334" i="2" a="1"/>
  <c r="C1334" i="2" s="1"/>
  <c r="C1430" i="2" a="1"/>
  <c r="C1430" i="2" s="1"/>
  <c r="C1502" i="2" a="1"/>
  <c r="C1502" i="2" s="1"/>
  <c r="C1574" i="2" a="1"/>
  <c r="C1574" i="2" s="1"/>
  <c r="C1622" i="2" a="1"/>
  <c r="C1622" i="2" s="1"/>
  <c r="C1658" i="2" a="1"/>
  <c r="C1658" i="2" s="1"/>
  <c r="C1694" i="2" a="1"/>
  <c r="C1694" i="2" s="1"/>
  <c r="C1730" i="2" a="1"/>
  <c r="C1730" i="2" s="1"/>
  <c r="C1766" i="2" a="1"/>
  <c r="C1766" i="2" s="1"/>
  <c r="C1794" i="2" a="1"/>
  <c r="C1794" i="2" s="1"/>
  <c r="C1820" i="2" a="1"/>
  <c r="C1820" i="2" s="1"/>
  <c r="C1852" i="2" a="1"/>
  <c r="C1852" i="2" s="1"/>
  <c r="C1879" i="2" a="1"/>
  <c r="C1879" i="2" s="1"/>
  <c r="C1910" i="2" a="1"/>
  <c r="C1910" i="2" s="1"/>
  <c r="C1938" i="2" a="1"/>
  <c r="C1938" i="2" s="1"/>
  <c r="C1964" i="2" a="1"/>
  <c r="C1964" i="2" s="1"/>
  <c r="C1996" i="2" a="1"/>
  <c r="C1996" i="2" s="1"/>
  <c r="C2023" i="2" a="1"/>
  <c r="C2023" i="2" s="1"/>
  <c r="C2054" i="2" a="1"/>
  <c r="C2054" i="2" s="1"/>
  <c r="C2082" i="2" a="1"/>
  <c r="C2082" i="2" s="1"/>
  <c r="C2108" i="2" a="1"/>
  <c r="C2108" i="2" s="1"/>
  <c r="C2132" i="2" a="1"/>
  <c r="C2132" i="2" s="1"/>
  <c r="C2154" i="2" a="1"/>
  <c r="C2154" i="2" s="1"/>
  <c r="C2173" i="2" a="1"/>
  <c r="C2173" i="2" s="1"/>
  <c r="C2190" i="2" a="1"/>
  <c r="C2190" i="2" s="1"/>
  <c r="C2207" i="2" a="1"/>
  <c r="C2207" i="2" s="1"/>
  <c r="C2222" i="2" a="1"/>
  <c r="C2222" i="2" s="1"/>
  <c r="C2235" i="2" a="1"/>
  <c r="C2235" i="2" s="1"/>
  <c r="C2248" i="2" a="1"/>
  <c r="C2248" i="2" s="1"/>
  <c r="C2261" i="2" a="1"/>
  <c r="C2261" i="2" s="1"/>
  <c r="C1202" i="2" a="1"/>
  <c r="C1202" i="2" s="1"/>
  <c r="C1346" i="2" a="1"/>
  <c r="C1346" i="2" s="1"/>
  <c r="C1435" i="2" a="1"/>
  <c r="C1435" i="2" s="1"/>
  <c r="C1507" i="2" a="1"/>
  <c r="C1507" i="2" s="1"/>
  <c r="C1579" i="2" a="1"/>
  <c r="C1579" i="2" s="1"/>
  <c r="C1624" i="2" a="1"/>
  <c r="C1624" i="2" s="1"/>
  <c r="C1660" i="2" a="1"/>
  <c r="C1660" i="2" s="1"/>
  <c r="C1696" i="2" a="1"/>
  <c r="C1696" i="2" s="1"/>
  <c r="C1732" i="2" a="1"/>
  <c r="C1732" i="2" s="1"/>
  <c r="C1768" i="2" a="1"/>
  <c r="C1768" i="2" s="1"/>
  <c r="C1795" i="2" a="1"/>
  <c r="C1795" i="2" s="1"/>
  <c r="C1826" i="2" a="1"/>
  <c r="C1826" i="2" s="1"/>
  <c r="C1854" i="2" a="1"/>
  <c r="C1854" i="2" s="1"/>
  <c r="C1880" i="2" a="1"/>
  <c r="C1880" i="2" s="1"/>
  <c r="C1912" i="2" a="1"/>
  <c r="C1912" i="2" s="1"/>
  <c r="C1939" i="2" a="1"/>
  <c r="C1939" i="2" s="1"/>
  <c r="C1970" i="2" a="1"/>
  <c r="C1970" i="2" s="1"/>
  <c r="C1998" i="2" a="1"/>
  <c r="C1998" i="2" s="1"/>
  <c r="C2024" i="2" a="1"/>
  <c r="C2024" i="2" s="1"/>
  <c r="C2056" i="2" a="1"/>
  <c r="C2056" i="2" s="1"/>
  <c r="C2083" i="2" a="1"/>
  <c r="C2083" i="2" s="1"/>
  <c r="C2114" i="2" a="1"/>
  <c r="C2114" i="2" s="1"/>
  <c r="C2135" i="2" a="1"/>
  <c r="C2135" i="2" s="1"/>
  <c r="C2155" i="2" a="1"/>
  <c r="C2155" i="2" s="1"/>
  <c r="C2174" i="2" a="1"/>
  <c r="C2174" i="2" s="1"/>
  <c r="C2191" i="2" a="1"/>
  <c r="C2191" i="2" s="1"/>
  <c r="C2209" i="2" a="1"/>
  <c r="C2209" i="2" s="1"/>
  <c r="C2223" i="2" a="1"/>
  <c r="C2223" i="2" s="1"/>
  <c r="C1214" i="2" a="1"/>
  <c r="C1214" i="2" s="1"/>
  <c r="C1358" i="2" a="1"/>
  <c r="C1358" i="2" s="1"/>
  <c r="C1442" i="2" a="1"/>
  <c r="C1442" i="2" s="1"/>
  <c r="C1514" i="2" a="1"/>
  <c r="C1514" i="2" s="1"/>
  <c r="C1586" i="2" a="1"/>
  <c r="C1586" i="2" s="1"/>
  <c r="C1627" i="2" a="1"/>
  <c r="C1627" i="2" s="1"/>
  <c r="C1663" i="2" a="1"/>
  <c r="C1663" i="2" s="1"/>
  <c r="C1699" i="2" a="1"/>
  <c r="C1699" i="2" s="1"/>
  <c r="C1735" i="2" a="1"/>
  <c r="C1735" i="2" s="1"/>
  <c r="C1770" i="2" a="1"/>
  <c r="C1770" i="2" s="1"/>
  <c r="C1796" i="2" a="1"/>
  <c r="C1796" i="2" s="1"/>
  <c r="C1828" i="2" a="1"/>
  <c r="C1828" i="2" s="1"/>
  <c r="C1855" i="2" a="1"/>
  <c r="C1855" i="2" s="1"/>
  <c r="C1886" i="2" a="1"/>
  <c r="C1886" i="2" s="1"/>
  <c r="C1914" i="2" a="1"/>
  <c r="C1914" i="2" s="1"/>
  <c r="C1940" i="2" a="1"/>
  <c r="C1940" i="2" s="1"/>
  <c r="C1972" i="2" a="1"/>
  <c r="C1972" i="2" s="1"/>
  <c r="C1999" i="2" a="1"/>
  <c r="C1999" i="2" s="1"/>
  <c r="C2030" i="2" a="1"/>
  <c r="C2030" i="2" s="1"/>
  <c r="C2058" i="2" a="1"/>
  <c r="C2058" i="2" s="1"/>
  <c r="C2084" i="2" a="1"/>
  <c r="C2084" i="2" s="1"/>
  <c r="C2116" i="2" a="1"/>
  <c r="C2116" i="2" s="1"/>
  <c r="C2138" i="2" a="1"/>
  <c r="C2138" i="2" s="1"/>
  <c r="C1226" i="2" a="1"/>
  <c r="C1226" i="2" s="1"/>
  <c r="C1370" i="2" a="1"/>
  <c r="C1370" i="2" s="1"/>
  <c r="C1447" i="2" a="1"/>
  <c r="C1447" i="2" s="1"/>
  <c r="C1519" i="2" a="1"/>
  <c r="C1519" i="2" s="1"/>
  <c r="C1588" i="2" a="1"/>
  <c r="C1588" i="2" s="1"/>
  <c r="C1628" i="2" a="1"/>
  <c r="C1628" i="2" s="1"/>
  <c r="C1664" i="2" a="1"/>
  <c r="C1664" i="2" s="1"/>
  <c r="C1700" i="2" a="1"/>
  <c r="C1700" i="2" s="1"/>
  <c r="C1736" i="2" a="1"/>
  <c r="C1736" i="2" s="1"/>
  <c r="C1771" i="2" a="1"/>
  <c r="C1771" i="2" s="1"/>
  <c r="C1802" i="2" a="1"/>
  <c r="C1802" i="2" s="1"/>
  <c r="C1830" i="2" a="1"/>
  <c r="C1830" i="2" s="1"/>
  <c r="C1856" i="2" a="1"/>
  <c r="C1856" i="2" s="1"/>
  <c r="C1888" i="2" a="1"/>
  <c r="C1888" i="2" s="1"/>
  <c r="C1915" i="2" a="1"/>
  <c r="C1915" i="2" s="1"/>
  <c r="C1946" i="2" a="1"/>
  <c r="C1946" i="2" s="1"/>
  <c r="C1974" i="2" a="1"/>
  <c r="C1974" i="2" s="1"/>
  <c r="C2000" i="2" a="1"/>
  <c r="C2000" i="2" s="1"/>
  <c r="C2032" i="2" a="1"/>
  <c r="C2032" i="2" s="1"/>
  <c r="C2059" i="2" a="1"/>
  <c r="C2059" i="2" s="1"/>
  <c r="C2090" i="2" a="1"/>
  <c r="C2090" i="2" s="1"/>
  <c r="C2118" i="2" a="1"/>
  <c r="C2118" i="2" s="1"/>
  <c r="C2140" i="2" a="1"/>
  <c r="C2140" i="2" s="1"/>
  <c r="C2159" i="2" a="1"/>
  <c r="C2159" i="2" s="1"/>
  <c r="C2177" i="2" a="1"/>
  <c r="C2177" i="2" s="1"/>
  <c r="C2195" i="2" a="1"/>
  <c r="C2195" i="2" s="1"/>
  <c r="C1238" i="2" a="1"/>
  <c r="C1238" i="2" s="1"/>
  <c r="C1382" i="2" a="1"/>
  <c r="C1382" i="2" s="1"/>
  <c r="C1454" i="2" a="1"/>
  <c r="C1454" i="2" s="1"/>
  <c r="C1526" i="2" a="1"/>
  <c r="C1526" i="2" s="1"/>
  <c r="C1591" i="2" a="1"/>
  <c r="C1591" i="2" s="1"/>
  <c r="C1634" i="2" a="1"/>
  <c r="C1634" i="2" s="1"/>
  <c r="C1670" i="2" a="1"/>
  <c r="C1670" i="2" s="1"/>
  <c r="C1706" i="2" a="1"/>
  <c r="C1706" i="2" s="1"/>
  <c r="C1742" i="2" a="1"/>
  <c r="C1742" i="2" s="1"/>
  <c r="C1772" i="2" a="1"/>
  <c r="C1772" i="2" s="1"/>
  <c r="C1804" i="2" a="1"/>
  <c r="C1804" i="2" s="1"/>
  <c r="C1831" i="2" a="1"/>
  <c r="C1831" i="2" s="1"/>
  <c r="C1862" i="2" a="1"/>
  <c r="C1862" i="2" s="1"/>
  <c r="C1890" i="2" a="1"/>
  <c r="C1890" i="2" s="1"/>
  <c r="C1916" i="2" a="1"/>
  <c r="C1916" i="2" s="1"/>
  <c r="C1948" i="2" a="1"/>
  <c r="C1948" i="2" s="1"/>
  <c r="C1975" i="2" a="1"/>
  <c r="C1975" i="2" s="1"/>
  <c r="C2006" i="2" a="1"/>
  <c r="C2006" i="2" s="1"/>
  <c r="C2034" i="2" a="1"/>
  <c r="C2034" i="2" s="1"/>
  <c r="C2060" i="2" a="1"/>
  <c r="C2060" i="2" s="1"/>
  <c r="C2092" i="2" a="1"/>
  <c r="C2092" i="2" s="1"/>
  <c r="C2119" i="2" a="1"/>
  <c r="C2119" i="2" s="1"/>
  <c r="C2141" i="2" a="1"/>
  <c r="C2141" i="2" s="1"/>
  <c r="C2161" i="2" a="1"/>
  <c r="C2161" i="2" s="1"/>
  <c r="C2178" i="2" a="1"/>
  <c r="C2178" i="2" s="1"/>
  <c r="C2197" i="2" a="1"/>
  <c r="C2197" i="2" s="1"/>
  <c r="C2212" i="2" a="1"/>
  <c r="C2212" i="2" s="1"/>
  <c r="C2226" i="2" a="1"/>
  <c r="C2226" i="2" s="1"/>
  <c r="C2239" i="2" a="1"/>
  <c r="C2239" i="2" s="1"/>
  <c r="C2252" i="2" a="1"/>
  <c r="C2252" i="2" s="1"/>
  <c r="C2265" i="2" a="1"/>
  <c r="C2265" i="2" s="1"/>
  <c r="C2277" i="2" a="1"/>
  <c r="C2277" i="2" s="1"/>
  <c r="C2289" i="2" a="1"/>
  <c r="C2289" i="2" s="1"/>
  <c r="C2301" i="2" a="1"/>
  <c r="C2301" i="2" s="1"/>
  <c r="C2313" i="2" a="1"/>
  <c r="C2313" i="2" s="1"/>
  <c r="H4" i="2"/>
  <c r="H16" i="2"/>
  <c r="H28" i="2"/>
  <c r="H40" i="2"/>
  <c r="H52" i="2"/>
  <c r="H64" i="2"/>
  <c r="H76" i="2"/>
  <c r="H88" i="2"/>
  <c r="H100" i="2"/>
  <c r="H112" i="2"/>
  <c r="H124" i="2"/>
  <c r="H136" i="2"/>
  <c r="H148" i="2"/>
  <c r="H160" i="2"/>
  <c r="H172" i="2"/>
  <c r="H184" i="2"/>
  <c r="H196" i="2"/>
  <c r="H208" i="2"/>
  <c r="H220" i="2"/>
  <c r="H232" i="2"/>
  <c r="H244" i="2"/>
  <c r="H256" i="2"/>
  <c r="H268" i="2"/>
  <c r="H280" i="2"/>
  <c r="H292" i="2"/>
  <c r="H304" i="2"/>
  <c r="H316" i="2"/>
  <c r="H328" i="2"/>
  <c r="H340" i="2"/>
  <c r="H352" i="2"/>
  <c r="H364" i="2"/>
  <c r="H376" i="2"/>
  <c r="H388" i="2"/>
  <c r="H400" i="2"/>
  <c r="H412" i="2"/>
  <c r="H424" i="2"/>
  <c r="H436" i="2"/>
  <c r="H448" i="2"/>
  <c r="H460" i="2"/>
  <c r="H472" i="2"/>
  <c r="H484" i="2"/>
  <c r="H496" i="2"/>
  <c r="H508" i="2"/>
  <c r="H520" i="2"/>
  <c r="H532" i="2"/>
  <c r="H544" i="2"/>
  <c r="H556" i="2"/>
  <c r="H568" i="2"/>
  <c r="H580" i="2"/>
  <c r="H592" i="2"/>
  <c r="H604" i="2"/>
  <c r="H616" i="2"/>
  <c r="H628" i="2"/>
  <c r="H640" i="2"/>
  <c r="H652" i="2"/>
  <c r="H664" i="2"/>
  <c r="H676" i="2"/>
  <c r="H688" i="2"/>
  <c r="H700" i="2"/>
  <c r="H712" i="2"/>
  <c r="H724" i="2"/>
  <c r="H736" i="2"/>
  <c r="H748" i="2"/>
  <c r="H760" i="2"/>
  <c r="H772" i="2"/>
  <c r="H784" i="2"/>
  <c r="H796" i="2"/>
  <c r="H808" i="2"/>
  <c r="H820" i="2"/>
  <c r="H832" i="2"/>
  <c r="H844" i="2"/>
  <c r="H856" i="2"/>
  <c r="H868" i="2"/>
  <c r="H880" i="2"/>
  <c r="H892" i="2"/>
  <c r="H904" i="2"/>
  <c r="H916" i="2"/>
  <c r="H928" i="2"/>
  <c r="H940" i="2"/>
  <c r="H952" i="2"/>
  <c r="H964" i="2"/>
  <c r="H976" i="2"/>
  <c r="H988" i="2"/>
  <c r="H1000" i="2"/>
  <c r="H1012" i="2"/>
  <c r="H1024" i="2"/>
  <c r="H1036" i="2"/>
  <c r="H1048" i="2"/>
  <c r="H1060" i="2"/>
  <c r="H1072" i="2"/>
  <c r="H1084" i="2"/>
  <c r="H1096" i="2"/>
  <c r="H1108" i="2"/>
  <c r="H1120" i="2"/>
  <c r="H1132" i="2"/>
  <c r="H1144" i="2"/>
  <c r="H1156" i="2"/>
  <c r="H1168" i="2"/>
  <c r="H1180" i="2"/>
  <c r="H1192" i="2"/>
  <c r="H1204" i="2"/>
  <c r="H1216" i="2"/>
  <c r="H1228" i="2"/>
  <c r="H1240" i="2"/>
  <c r="H1252" i="2"/>
  <c r="H1264" i="2"/>
  <c r="H1276" i="2"/>
  <c r="H1288" i="2"/>
  <c r="H1300" i="2"/>
  <c r="H1312" i="2"/>
  <c r="H1324" i="2"/>
  <c r="H1336" i="2"/>
  <c r="H1348" i="2"/>
  <c r="H1360" i="2"/>
  <c r="H1372" i="2"/>
  <c r="H1384" i="2"/>
  <c r="H1396" i="2"/>
  <c r="H1408" i="2"/>
  <c r="H1420" i="2"/>
  <c r="H1432" i="2"/>
  <c r="H1444" i="2"/>
  <c r="H1456" i="2"/>
  <c r="H1468" i="2"/>
  <c r="H1480" i="2"/>
  <c r="H1492" i="2"/>
  <c r="H1504" i="2"/>
  <c r="H1516" i="2"/>
  <c r="H1528" i="2"/>
  <c r="H1540" i="2"/>
  <c r="H1552" i="2"/>
  <c r="H1564" i="2"/>
  <c r="H1576" i="2"/>
  <c r="H1588" i="2"/>
  <c r="H1600" i="2"/>
  <c r="H1612" i="2"/>
  <c r="H1624" i="2"/>
  <c r="H1636" i="2"/>
  <c r="H1648" i="2"/>
  <c r="H1660" i="2"/>
  <c r="H1672" i="2"/>
  <c r="H1684" i="2"/>
  <c r="H1696" i="2"/>
  <c r="H1708" i="2"/>
  <c r="H1720" i="2"/>
  <c r="H1732" i="2"/>
  <c r="H1744" i="2"/>
  <c r="H1756" i="2"/>
  <c r="H1768" i="2"/>
  <c r="H1780" i="2"/>
  <c r="H1792" i="2"/>
  <c r="H1804" i="2"/>
  <c r="H1816" i="2"/>
  <c r="H1828" i="2"/>
  <c r="H1840" i="2"/>
  <c r="H1852" i="2"/>
  <c r="H1864" i="2"/>
  <c r="H1876" i="2"/>
  <c r="H1888" i="2"/>
  <c r="H1900" i="2"/>
  <c r="H1912" i="2"/>
  <c r="H1924" i="2"/>
  <c r="H1936" i="2"/>
  <c r="H1948" i="2"/>
  <c r="H1960" i="2"/>
  <c r="H1972" i="2"/>
  <c r="H1984" i="2"/>
  <c r="H1996" i="2"/>
  <c r="H2008" i="2"/>
  <c r="H2020" i="2"/>
  <c r="H2032" i="2"/>
  <c r="H2044" i="2"/>
  <c r="H2056" i="2"/>
  <c r="H2068" i="2"/>
  <c r="H2080" i="2"/>
  <c r="H2092" i="2"/>
  <c r="H2104" i="2"/>
  <c r="H2116" i="2"/>
  <c r="H2128" i="2"/>
  <c r="H2140" i="2"/>
  <c r="H2152" i="2"/>
  <c r="H2164" i="2"/>
  <c r="H2176" i="2"/>
  <c r="H2188" i="2"/>
  <c r="H2200" i="2"/>
  <c r="H2212" i="2"/>
  <c r="H2224" i="2"/>
  <c r="H2236" i="2"/>
  <c r="H2248" i="2"/>
  <c r="H2260" i="2"/>
  <c r="H2272" i="2"/>
  <c r="H2284" i="2"/>
  <c r="H2296" i="2"/>
  <c r="H2308" i="2"/>
  <c r="G3" i="2"/>
  <c r="G15" i="2"/>
  <c r="G27" i="2"/>
  <c r="G39" i="2"/>
  <c r="G51" i="2"/>
  <c r="G63" i="2"/>
  <c r="G75" i="2"/>
  <c r="G87" i="2"/>
  <c r="G99" i="2"/>
  <c r="G111" i="2"/>
  <c r="G123" i="2"/>
  <c r="G135" i="2"/>
  <c r="G147" i="2"/>
  <c r="G159" i="2"/>
  <c r="G171" i="2"/>
  <c r="G183" i="2"/>
  <c r="G195" i="2"/>
  <c r="G207" i="2"/>
  <c r="G219" i="2"/>
  <c r="G231" i="2"/>
  <c r="G243" i="2"/>
  <c r="G255" i="2"/>
  <c r="G267" i="2"/>
  <c r="G279" i="2"/>
  <c r="G291" i="2"/>
  <c r="G303" i="2"/>
  <c r="G315" i="2"/>
  <c r="G327" i="2"/>
  <c r="G339" i="2"/>
  <c r="G351" i="2"/>
  <c r="G363" i="2"/>
  <c r="G375" i="2"/>
  <c r="G387" i="2"/>
  <c r="G399" i="2"/>
  <c r="G411" i="2"/>
  <c r="G423" i="2"/>
  <c r="G435" i="2"/>
  <c r="G447" i="2"/>
  <c r="G459" i="2"/>
  <c r="G471" i="2"/>
  <c r="G483" i="2"/>
  <c r="G495" i="2"/>
  <c r="G507" i="2"/>
  <c r="G519" i="2"/>
  <c r="G531" i="2"/>
  <c r="G543" i="2"/>
  <c r="G555" i="2"/>
  <c r="G567" i="2"/>
  <c r="G579" i="2"/>
  <c r="G591" i="2"/>
  <c r="G603" i="2"/>
  <c r="G615" i="2"/>
  <c r="G627" i="2"/>
  <c r="G639" i="2"/>
  <c r="G651" i="2"/>
  <c r="G663" i="2"/>
  <c r="G675" i="2"/>
  <c r="G687" i="2"/>
  <c r="G699" i="2"/>
  <c r="G711" i="2"/>
  <c r="G723" i="2"/>
  <c r="G735" i="2"/>
  <c r="G747" i="2"/>
  <c r="G759" i="2"/>
  <c r="G771" i="2"/>
  <c r="G783" i="2"/>
  <c r="G795" i="2"/>
  <c r="G807" i="2"/>
  <c r="G819" i="2"/>
  <c r="G831" i="2"/>
  <c r="G843" i="2"/>
  <c r="G855" i="2"/>
  <c r="G867" i="2"/>
  <c r="G879" i="2"/>
  <c r="G891" i="2"/>
  <c r="G903" i="2"/>
  <c r="G915" i="2"/>
  <c r="G927" i="2"/>
  <c r="G939" i="2"/>
  <c r="G951" i="2"/>
  <c r="G963" i="2"/>
  <c r="G975" i="2"/>
  <c r="G987" i="2"/>
  <c r="G999" i="2"/>
  <c r="G1011" i="2"/>
  <c r="G1023" i="2"/>
  <c r="G1035" i="2"/>
  <c r="G1047" i="2"/>
  <c r="G1059" i="2"/>
  <c r="G1071" i="2"/>
  <c r="G1083" i="2"/>
  <c r="G1095" i="2"/>
  <c r="G1107" i="2"/>
  <c r="G1119" i="2"/>
  <c r="G1131" i="2"/>
  <c r="G1143" i="2"/>
  <c r="G1155" i="2"/>
  <c r="G1167" i="2"/>
  <c r="G1179" i="2"/>
  <c r="G1191" i="2"/>
  <c r="G1203" i="2"/>
  <c r="G1215" i="2"/>
  <c r="G1227" i="2"/>
  <c r="G1239" i="2"/>
  <c r="G1251" i="2"/>
  <c r="G1263" i="2"/>
  <c r="G1275" i="2"/>
  <c r="G1287" i="2"/>
  <c r="G1299" i="2"/>
  <c r="G1311" i="2"/>
  <c r="G1323" i="2"/>
  <c r="G1335" i="2"/>
  <c r="G1347" i="2"/>
  <c r="C1250" i="2" a="1"/>
  <c r="C1250" i="2" s="1"/>
  <c r="C1387" i="2" a="1"/>
  <c r="C1387" i="2" s="1"/>
  <c r="C1459" i="2" a="1"/>
  <c r="C1459" i="2" s="1"/>
  <c r="C1531" i="2" a="1"/>
  <c r="C1531" i="2" s="1"/>
  <c r="C1598" i="2" a="1"/>
  <c r="C1598" i="2" s="1"/>
  <c r="C1636" i="2" a="1"/>
  <c r="C1636" i="2" s="1"/>
  <c r="C1672" i="2" a="1"/>
  <c r="C1672" i="2" s="1"/>
  <c r="C1708" i="2" a="1"/>
  <c r="C1708" i="2" s="1"/>
  <c r="C1744" i="2" a="1"/>
  <c r="C1744" i="2" s="1"/>
  <c r="C1778" i="2" a="1"/>
  <c r="C1778" i="2" s="1"/>
  <c r="C1806" i="2" a="1"/>
  <c r="C1806" i="2" s="1"/>
  <c r="C1832" i="2" a="1"/>
  <c r="C1832" i="2" s="1"/>
  <c r="C1864" i="2" a="1"/>
  <c r="C1864" i="2" s="1"/>
  <c r="C1891" i="2" a="1"/>
  <c r="C1891" i="2" s="1"/>
  <c r="C1922" i="2" a="1"/>
  <c r="C1922" i="2" s="1"/>
  <c r="C1950" i="2" a="1"/>
  <c r="C1950" i="2" s="1"/>
  <c r="C1976" i="2" a="1"/>
  <c r="C1976" i="2" s="1"/>
  <c r="C2008" i="2" a="1"/>
  <c r="C2008" i="2" s="1"/>
  <c r="C2035" i="2" a="1"/>
  <c r="C2035" i="2" s="1"/>
  <c r="C2066" i="2" a="1"/>
  <c r="C2066" i="2" s="1"/>
  <c r="C2094" i="2" a="1"/>
  <c r="C2094" i="2" s="1"/>
  <c r="C2120" i="2" a="1"/>
  <c r="C2120" i="2" s="1"/>
  <c r="C2142" i="2" a="1"/>
  <c r="C2142" i="2" s="1"/>
  <c r="C2162" i="2" a="1"/>
  <c r="C2162" i="2" s="1"/>
  <c r="C2179" i="2" a="1"/>
  <c r="C2179" i="2" s="1"/>
  <c r="C2198" i="2" a="1"/>
  <c r="C2198" i="2" s="1"/>
  <c r="C2213" i="2" a="1"/>
  <c r="C2213" i="2" s="1"/>
  <c r="C2227" i="2" a="1"/>
  <c r="C2227" i="2" s="1"/>
  <c r="C2240" i="2" a="1"/>
  <c r="C2240" i="2" s="1"/>
  <c r="C2254" i="2" a="1"/>
  <c r="C2254" i="2" s="1"/>
  <c r="C1262" i="2" a="1"/>
  <c r="C1262" i="2" s="1"/>
  <c r="C1394" i="2" a="1"/>
  <c r="C1394" i="2" s="1"/>
  <c r="C1466" i="2" a="1"/>
  <c r="C1466" i="2" s="1"/>
  <c r="C1538" i="2" a="1"/>
  <c r="C1538" i="2" s="1"/>
  <c r="C1600" i="2" a="1"/>
  <c r="C1600" i="2" s="1"/>
  <c r="C1639" i="2" a="1"/>
  <c r="C1639" i="2" s="1"/>
  <c r="C1675" i="2" a="1"/>
  <c r="C1675" i="2" s="1"/>
  <c r="C1711" i="2" a="1"/>
  <c r="C1711" i="2" s="1"/>
  <c r="C1747" i="2" a="1"/>
  <c r="C1747" i="2" s="1"/>
  <c r="C1780" i="2" a="1"/>
  <c r="C1780" i="2" s="1"/>
  <c r="C1807" i="2" a="1"/>
  <c r="C1807" i="2" s="1"/>
  <c r="C1838" i="2" a="1"/>
  <c r="C1838" i="2" s="1"/>
  <c r="C1866" i="2" a="1"/>
  <c r="C1866" i="2" s="1"/>
  <c r="C1892" i="2" a="1"/>
  <c r="C1892" i="2" s="1"/>
  <c r="C1924" i="2" a="1"/>
  <c r="C1924" i="2" s="1"/>
  <c r="C1951" i="2" a="1"/>
  <c r="C1951" i="2" s="1"/>
  <c r="C1982" i="2" a="1"/>
  <c r="C1982" i="2" s="1"/>
  <c r="C2010" i="2" a="1"/>
  <c r="C2010" i="2" s="1"/>
  <c r="C2036" i="2" a="1"/>
  <c r="C2036" i="2" s="1"/>
  <c r="C2068" i="2" a="1"/>
  <c r="C2068" i="2" s="1"/>
  <c r="C2095" i="2" a="1"/>
  <c r="C2095" i="2" s="1"/>
  <c r="C2123" i="2" a="1"/>
  <c r="C2123" i="2" s="1"/>
  <c r="C2143" i="2" a="1"/>
  <c r="C2143" i="2" s="1"/>
  <c r="C2164" i="2" a="1"/>
  <c r="C2164" i="2" s="1"/>
  <c r="C2180" i="2" a="1"/>
  <c r="C2180" i="2" s="1"/>
  <c r="C2199" i="2" a="1"/>
  <c r="C2199" i="2" s="1"/>
  <c r="C1274" i="2" a="1"/>
  <c r="C1274" i="2" s="1"/>
  <c r="C1399" i="2" a="1"/>
  <c r="C1399" i="2" s="1"/>
  <c r="C1471" i="2" a="1"/>
  <c r="C1471" i="2" s="1"/>
  <c r="C1543" i="2" a="1"/>
  <c r="C1543" i="2" s="1"/>
  <c r="C1603" i="2" a="1"/>
  <c r="C1603" i="2" s="1"/>
  <c r="C1640" i="2" a="1"/>
  <c r="C1640" i="2" s="1"/>
  <c r="C1676" i="2" a="1"/>
  <c r="C1676" i="2" s="1"/>
  <c r="C1712" i="2" a="1"/>
  <c r="C1712" i="2" s="1"/>
  <c r="C1748" i="2" a="1"/>
  <c r="C1748" i="2" s="1"/>
  <c r="C1782" i="2" a="1"/>
  <c r="C1782" i="2" s="1"/>
  <c r="C1808" i="2" a="1"/>
  <c r="C1808" i="2" s="1"/>
  <c r="C1840" i="2" a="1"/>
  <c r="C1840" i="2" s="1"/>
  <c r="C1867" i="2" a="1"/>
  <c r="C1867" i="2" s="1"/>
  <c r="C1898" i="2" a="1"/>
  <c r="C1898" i="2" s="1"/>
  <c r="C1926" i="2" a="1"/>
  <c r="C1926" i="2" s="1"/>
  <c r="C1952" i="2" a="1"/>
  <c r="C1952" i="2" s="1"/>
  <c r="C1984" i="2" a="1"/>
  <c r="C1984" i="2" s="1"/>
  <c r="C2011" i="2" a="1"/>
  <c r="C2011" i="2" s="1"/>
  <c r="C2042" i="2" a="1"/>
  <c r="C2042" i="2" s="1"/>
  <c r="C2070" i="2" a="1"/>
  <c r="C2070" i="2" s="1"/>
  <c r="C2096" i="2" a="1"/>
  <c r="C2096" i="2" s="1"/>
  <c r="C2126" i="2" a="1"/>
  <c r="C2126" i="2" s="1"/>
  <c r="C2144" i="2" a="1"/>
  <c r="C2144" i="2" s="1"/>
  <c r="C2165" i="2" a="1"/>
  <c r="C2165" i="2" s="1"/>
  <c r="C2183" i="2" a="1"/>
  <c r="C2183" i="2" s="1"/>
  <c r="C2200" i="2" a="1"/>
  <c r="C2200" i="2" s="1"/>
  <c r="C2215" i="2" a="1"/>
  <c r="C2215" i="2" s="1"/>
  <c r="C2230" i="2" a="1"/>
  <c r="C2230" i="2" s="1"/>
  <c r="C2243" i="2" a="1"/>
  <c r="C2243" i="2" s="1"/>
  <c r="C1286" i="2" a="1"/>
  <c r="C1286" i="2" s="1"/>
  <c r="C1406" i="2" a="1"/>
  <c r="C1406" i="2" s="1"/>
  <c r="C1478" i="2" a="1"/>
  <c r="C1478" i="2" s="1"/>
  <c r="C1550" i="2" a="1"/>
  <c r="C1550" i="2" s="1"/>
  <c r="C1610" i="2" a="1"/>
  <c r="C1610" i="2" s="1"/>
  <c r="C1646" i="2" a="1"/>
  <c r="C1646" i="2" s="1"/>
  <c r="C1682" i="2" a="1"/>
  <c r="C1682" i="2" s="1"/>
  <c r="C1718" i="2" a="1"/>
  <c r="C1718" i="2" s="1"/>
  <c r="C1754" i="2" a="1"/>
  <c r="C1754" i="2" s="1"/>
  <c r="C1783" i="2" a="1"/>
  <c r="C1783" i="2" s="1"/>
  <c r="C1814" i="2" a="1"/>
  <c r="C1814" i="2" s="1"/>
  <c r="C1842" i="2" a="1"/>
  <c r="C1842" i="2" s="1"/>
  <c r="C1868" i="2" a="1"/>
  <c r="C1868" i="2" s="1"/>
  <c r="C1900" i="2" a="1"/>
  <c r="C1900" i="2" s="1"/>
  <c r="C1927" i="2" a="1"/>
  <c r="C1927" i="2" s="1"/>
  <c r="C1958" i="2" a="1"/>
  <c r="C1958" i="2" s="1"/>
  <c r="C1986" i="2" a="1"/>
  <c r="C1986" i="2" s="1"/>
  <c r="C2012" i="2" a="1"/>
  <c r="C2012" i="2" s="1"/>
  <c r="C2044" i="2" a="1"/>
  <c r="C2044" i="2" s="1"/>
  <c r="C2071" i="2" a="1"/>
  <c r="C2071" i="2" s="1"/>
  <c r="C2102" i="2" a="1"/>
  <c r="C2102" i="2" s="1"/>
  <c r="C2128" i="2" a="1"/>
  <c r="C2128" i="2" s="1"/>
  <c r="C2147" i="2" a="1"/>
  <c r="C2147" i="2" s="1"/>
  <c r="C2166" i="2" a="1"/>
  <c r="C2166" i="2" s="1"/>
  <c r="C2185" i="2" a="1"/>
  <c r="C2185" i="2" s="1"/>
  <c r="C2201" i="2" a="1"/>
  <c r="C2201" i="2" s="1"/>
  <c r="C2216" i="2" a="1"/>
  <c r="C2216" i="2" s="1"/>
  <c r="C2231" i="2" a="1"/>
  <c r="C2231" i="2" s="1"/>
  <c r="C2244" i="2" a="1"/>
  <c r="C2244" i="2" s="1"/>
  <c r="C2218" i="2" a="1"/>
  <c r="C2218" i="2" s="1"/>
  <c r="C2246" i="2" a="1"/>
  <c r="C2246" i="2" s="1"/>
  <c r="C2266" i="2" a="1"/>
  <c r="C2266" i="2" s="1"/>
  <c r="C2280" i="2" a="1"/>
  <c r="C2280" i="2" s="1"/>
  <c r="C2294" i="2" a="1"/>
  <c r="C2294" i="2" s="1"/>
  <c r="C2130" i="2" a="1"/>
  <c r="C2130" i="2" s="1"/>
  <c r="C2219" i="2" a="1"/>
  <c r="C2219" i="2" s="1"/>
  <c r="C2249" i="2" a="1"/>
  <c r="C2249" i="2" s="1"/>
  <c r="C2267" i="2" a="1"/>
  <c r="C2267" i="2" s="1"/>
  <c r="C2281" i="2" a="1"/>
  <c r="C2281" i="2" s="1"/>
  <c r="C2295" i="2" a="1"/>
  <c r="C2295" i="2" s="1"/>
  <c r="C2308" i="2" a="1"/>
  <c r="C2308" i="2" s="1"/>
  <c r="C5" i="2" a="1"/>
  <c r="C5" i="2" s="1"/>
  <c r="C2152" i="2" a="1"/>
  <c r="C2152" i="2" s="1"/>
  <c r="C2224" i="2" a="1"/>
  <c r="C2224" i="2" s="1"/>
  <c r="C2250" i="2" a="1"/>
  <c r="C2250" i="2" s="1"/>
  <c r="C2268" i="2" a="1"/>
  <c r="C2268" i="2" s="1"/>
  <c r="C2282" i="2" a="1"/>
  <c r="C2282" i="2" s="1"/>
  <c r="C2296" i="2" a="1"/>
  <c r="C2296" i="2" s="1"/>
  <c r="C2309" i="2" a="1"/>
  <c r="C2309" i="2" s="1"/>
  <c r="C6" i="2" a="1"/>
  <c r="C6" i="2" s="1"/>
  <c r="C2156" i="2" a="1"/>
  <c r="C2156" i="2" s="1"/>
  <c r="C2225" i="2" a="1"/>
  <c r="C2225" i="2" s="1"/>
  <c r="C2251" i="2" a="1"/>
  <c r="C2251" i="2" s="1"/>
  <c r="C2269" i="2" a="1"/>
  <c r="C2269" i="2" s="1"/>
  <c r="C2283" i="2" a="1"/>
  <c r="C2283" i="2" s="1"/>
  <c r="C2297" i="2" a="1"/>
  <c r="C2297" i="2" s="1"/>
  <c r="C2310" i="2" a="1"/>
  <c r="C2310" i="2" s="1"/>
  <c r="C7" i="2" a="1"/>
  <c r="C7" i="2" s="1"/>
  <c r="C2168" i="2" a="1"/>
  <c r="C2168" i="2" s="1"/>
  <c r="C2176" i="2" a="1"/>
  <c r="C2176" i="2" s="1"/>
  <c r="C2232" i="2" a="1"/>
  <c r="C2232" i="2" s="1"/>
  <c r="C2256" i="2" a="1"/>
  <c r="C2256" i="2" s="1"/>
  <c r="C2271" i="2" a="1"/>
  <c r="C2271" i="2" s="1"/>
  <c r="C2286" i="2" a="1"/>
  <c r="C2286" i="2" s="1"/>
  <c r="C2299" i="2" a="1"/>
  <c r="C2299" i="2" s="1"/>
  <c r="C2312" i="2" a="1"/>
  <c r="C2312" i="2" s="1"/>
  <c r="C2188" i="2" a="1"/>
  <c r="C2188" i="2" s="1"/>
  <c r="C2233" i="2" a="1"/>
  <c r="C2233" i="2" s="1"/>
  <c r="C2257" i="2" a="1"/>
  <c r="C2257" i="2" s="1"/>
  <c r="C2273" i="2" a="1"/>
  <c r="C2273" i="2" s="1"/>
  <c r="C2287" i="2" a="1"/>
  <c r="C2287" i="2" s="1"/>
  <c r="C2300" i="2" a="1"/>
  <c r="C2300" i="2" s="1"/>
  <c r="C2314" i="2" a="1"/>
  <c r="C2314" i="2" s="1"/>
  <c r="H6" i="2"/>
  <c r="H19" i="2"/>
  <c r="H32" i="2"/>
  <c r="H45" i="2"/>
  <c r="H58" i="2"/>
  <c r="H71" i="2"/>
  <c r="H84" i="2"/>
  <c r="H97" i="2"/>
  <c r="H110" i="2"/>
  <c r="H123" i="2"/>
  <c r="H137" i="2"/>
  <c r="H150" i="2"/>
  <c r="H163" i="2"/>
  <c r="H176" i="2"/>
  <c r="H189" i="2"/>
  <c r="H202" i="2"/>
  <c r="H215" i="2"/>
  <c r="H228" i="2"/>
  <c r="H241" i="2"/>
  <c r="H254" i="2"/>
  <c r="H267" i="2"/>
  <c r="H281" i="2"/>
  <c r="H294" i="2"/>
  <c r="H307" i="2"/>
  <c r="H320" i="2"/>
  <c r="H333" i="2"/>
  <c r="H346" i="2"/>
  <c r="H359" i="2"/>
  <c r="H372" i="2"/>
  <c r="H385" i="2"/>
  <c r="H398" i="2"/>
  <c r="H411" i="2"/>
  <c r="H425" i="2"/>
  <c r="H438" i="2"/>
  <c r="H451" i="2"/>
  <c r="H464" i="2"/>
  <c r="H477" i="2"/>
  <c r="H490" i="2"/>
  <c r="H503" i="2"/>
  <c r="H516" i="2"/>
  <c r="H529" i="2"/>
  <c r="H542" i="2"/>
  <c r="H555" i="2"/>
  <c r="H569" i="2"/>
  <c r="H582" i="2"/>
  <c r="H595" i="2"/>
  <c r="H608" i="2"/>
  <c r="H621" i="2"/>
  <c r="H634" i="2"/>
  <c r="H647" i="2"/>
  <c r="H660" i="2"/>
  <c r="H673" i="2"/>
  <c r="H686" i="2"/>
  <c r="H699" i="2"/>
  <c r="H713" i="2"/>
  <c r="H726" i="2"/>
  <c r="H739" i="2"/>
  <c r="H752" i="2"/>
  <c r="H765" i="2"/>
  <c r="H778" i="2"/>
  <c r="H791" i="2"/>
  <c r="H804" i="2"/>
  <c r="H817" i="2"/>
  <c r="H830" i="2"/>
  <c r="H843" i="2"/>
  <c r="H857" i="2"/>
  <c r="H870" i="2"/>
  <c r="H883" i="2"/>
  <c r="H896" i="2"/>
  <c r="H909" i="2"/>
  <c r="H922" i="2"/>
  <c r="H935" i="2"/>
  <c r="H948" i="2"/>
  <c r="H961" i="2"/>
  <c r="H974" i="2"/>
  <c r="H987" i="2"/>
  <c r="H1001" i="2"/>
  <c r="H1014" i="2"/>
  <c r="H1027" i="2"/>
  <c r="H1040" i="2"/>
  <c r="H1053" i="2"/>
  <c r="H1066" i="2"/>
  <c r="H1079" i="2"/>
  <c r="H1092" i="2"/>
  <c r="H1105" i="2"/>
  <c r="H1118" i="2"/>
  <c r="H1131" i="2"/>
  <c r="H1145" i="2"/>
  <c r="H1158" i="2"/>
  <c r="H1171" i="2"/>
  <c r="H1184" i="2"/>
  <c r="H1197" i="2"/>
  <c r="H1210" i="2"/>
  <c r="H1223" i="2"/>
  <c r="H1236" i="2"/>
  <c r="H1249" i="2"/>
  <c r="H1262" i="2"/>
  <c r="H1275" i="2"/>
  <c r="H1289" i="2"/>
  <c r="H1302" i="2"/>
  <c r="H1315" i="2"/>
  <c r="H1328" i="2"/>
  <c r="H1341" i="2"/>
  <c r="H1354" i="2"/>
  <c r="H1367" i="2"/>
  <c r="H1380" i="2"/>
  <c r="H1393" i="2"/>
  <c r="H1406" i="2"/>
  <c r="H1419" i="2"/>
  <c r="H1433" i="2"/>
  <c r="H1446" i="2"/>
  <c r="H1459" i="2"/>
  <c r="H1472" i="2"/>
  <c r="H1485" i="2"/>
  <c r="H1498" i="2"/>
  <c r="H1511" i="2"/>
  <c r="H1524" i="2"/>
  <c r="H1537" i="2"/>
  <c r="H1550" i="2"/>
  <c r="H1563" i="2"/>
  <c r="H1577" i="2"/>
  <c r="H1590" i="2"/>
  <c r="H1603" i="2"/>
  <c r="H1616" i="2"/>
  <c r="H1629" i="2"/>
  <c r="H1642" i="2"/>
  <c r="H1655" i="2"/>
  <c r="H1668" i="2"/>
  <c r="H1681" i="2"/>
  <c r="H1694" i="2"/>
  <c r="H1707" i="2"/>
  <c r="H1721" i="2"/>
  <c r="H1734" i="2"/>
  <c r="H1747" i="2"/>
  <c r="H1760" i="2"/>
  <c r="H1773" i="2"/>
  <c r="H1786" i="2"/>
  <c r="H1799" i="2"/>
  <c r="H1812" i="2"/>
  <c r="H1825" i="2"/>
  <c r="H1838" i="2"/>
  <c r="H1851" i="2"/>
  <c r="H1865" i="2"/>
  <c r="H1878" i="2"/>
  <c r="H1891" i="2"/>
  <c r="H1904" i="2"/>
  <c r="H1917" i="2"/>
  <c r="H1930" i="2"/>
  <c r="H1943" i="2"/>
  <c r="H1956" i="2"/>
  <c r="H1969" i="2"/>
  <c r="H1982" i="2"/>
  <c r="H1995" i="2"/>
  <c r="H2009" i="2"/>
  <c r="H2022" i="2"/>
  <c r="H2035" i="2"/>
  <c r="H2048" i="2"/>
  <c r="H2061" i="2"/>
  <c r="H2074" i="2"/>
  <c r="H2087" i="2"/>
  <c r="H2100" i="2"/>
  <c r="H2113" i="2"/>
  <c r="H2126" i="2"/>
  <c r="H2139" i="2"/>
  <c r="H2153" i="2"/>
  <c r="H2166" i="2"/>
  <c r="H2179" i="2"/>
  <c r="H2192" i="2"/>
  <c r="H2205" i="2"/>
  <c r="H2218" i="2"/>
  <c r="H2231" i="2"/>
  <c r="H2244" i="2"/>
  <c r="H2257" i="2"/>
  <c r="H2270" i="2"/>
  <c r="H2283" i="2"/>
  <c r="H2297" i="2"/>
  <c r="H2310" i="2"/>
  <c r="G6" i="2"/>
  <c r="G19" i="2"/>
  <c r="G32" i="2"/>
  <c r="G45" i="2"/>
  <c r="G58" i="2"/>
  <c r="G71" i="2"/>
  <c r="G84" i="2"/>
  <c r="G97" i="2"/>
  <c r="G110" i="2"/>
  <c r="G124" i="2"/>
  <c r="G137" i="2"/>
  <c r="G150" i="2"/>
  <c r="G163" i="2"/>
  <c r="G176" i="2"/>
  <c r="G189" i="2"/>
  <c r="G202" i="2"/>
  <c r="G215" i="2"/>
  <c r="G228" i="2"/>
  <c r="G241" i="2"/>
  <c r="G254" i="2"/>
  <c r="G268" i="2"/>
  <c r="G281" i="2"/>
  <c r="G294" i="2"/>
  <c r="G307" i="2"/>
  <c r="G320" i="2"/>
  <c r="G333" i="2"/>
  <c r="G346" i="2"/>
  <c r="G359" i="2"/>
  <c r="G372" i="2"/>
  <c r="G385" i="2"/>
  <c r="G398" i="2"/>
  <c r="G412" i="2"/>
  <c r="G425" i="2"/>
  <c r="G438" i="2"/>
  <c r="G451" i="2"/>
  <c r="G464" i="2"/>
  <c r="G477" i="2"/>
  <c r="G490" i="2"/>
  <c r="G503" i="2"/>
  <c r="G516" i="2"/>
  <c r="G529" i="2"/>
  <c r="G542" i="2"/>
  <c r="G556" i="2"/>
  <c r="G569" i="2"/>
  <c r="G582" i="2"/>
  <c r="G595" i="2"/>
  <c r="G608" i="2"/>
  <c r="G621" i="2"/>
  <c r="G634" i="2"/>
  <c r="G647" i="2"/>
  <c r="G660" i="2"/>
  <c r="G673" i="2"/>
  <c r="G686" i="2"/>
  <c r="G700" i="2"/>
  <c r="G713" i="2"/>
  <c r="G726" i="2"/>
  <c r="G739" i="2"/>
  <c r="G752" i="2"/>
  <c r="G765" i="2"/>
  <c r="G778" i="2"/>
  <c r="G791" i="2"/>
  <c r="G804" i="2"/>
  <c r="G817" i="2"/>
  <c r="G830" i="2"/>
  <c r="G844" i="2"/>
  <c r="G857" i="2"/>
  <c r="G870" i="2"/>
  <c r="G883" i="2"/>
  <c r="G896" i="2"/>
  <c r="G909" i="2"/>
  <c r="G922" i="2"/>
  <c r="G935" i="2"/>
  <c r="G948" i="2"/>
  <c r="G961" i="2"/>
  <c r="G974" i="2"/>
  <c r="G988" i="2"/>
  <c r="G1001" i="2"/>
  <c r="G1014" i="2"/>
  <c r="G1027" i="2"/>
  <c r="G1040" i="2"/>
  <c r="G1053" i="2"/>
  <c r="G1066" i="2"/>
  <c r="G1079" i="2"/>
  <c r="G1092" i="2"/>
  <c r="G1105" i="2"/>
  <c r="G1118" i="2"/>
  <c r="G1132" i="2"/>
  <c r="G1145" i="2"/>
  <c r="G1158" i="2"/>
  <c r="G1171" i="2"/>
  <c r="G1184" i="2"/>
  <c r="G1197" i="2"/>
  <c r="G1210" i="2"/>
  <c r="G1223" i="2"/>
  <c r="G1236" i="2"/>
  <c r="G1249" i="2"/>
  <c r="G1262" i="2"/>
  <c r="G1276" i="2"/>
  <c r="G1289" i="2"/>
  <c r="G1302" i="2"/>
  <c r="G1315" i="2"/>
  <c r="G1328" i="2"/>
  <c r="G1341" i="2"/>
  <c r="G1354" i="2"/>
  <c r="G1366" i="2"/>
  <c r="G1378" i="2"/>
  <c r="G1390" i="2"/>
  <c r="G1402" i="2"/>
  <c r="G1414" i="2"/>
  <c r="G1426" i="2"/>
  <c r="G1438" i="2"/>
  <c r="G1450" i="2"/>
  <c r="G1462" i="2"/>
  <c r="G1474" i="2"/>
  <c r="G1486" i="2"/>
  <c r="G1498" i="2"/>
  <c r="G1510" i="2"/>
  <c r="G1522" i="2"/>
  <c r="G1534" i="2"/>
  <c r="G1546" i="2"/>
  <c r="G1558" i="2"/>
  <c r="G1570" i="2"/>
  <c r="G1582" i="2"/>
  <c r="G1594" i="2"/>
  <c r="G1606" i="2"/>
  <c r="G1618" i="2"/>
  <c r="G1630" i="2"/>
  <c r="G1642" i="2"/>
  <c r="G1654" i="2"/>
  <c r="G1666" i="2"/>
  <c r="G1678" i="2"/>
  <c r="G1690" i="2"/>
  <c r="G1702" i="2"/>
  <c r="G1714" i="2"/>
  <c r="G1726" i="2"/>
  <c r="G1738" i="2"/>
  <c r="G1750" i="2"/>
  <c r="G1762" i="2"/>
  <c r="G1774" i="2"/>
  <c r="G1786" i="2"/>
  <c r="G1798" i="2"/>
  <c r="G1810" i="2"/>
  <c r="G1822" i="2"/>
  <c r="G1834" i="2"/>
  <c r="G1846" i="2"/>
  <c r="G1858" i="2"/>
  <c r="G1870" i="2"/>
  <c r="G1882" i="2"/>
  <c r="G1894" i="2"/>
  <c r="G1906" i="2"/>
  <c r="G1918" i="2"/>
  <c r="G1930" i="2"/>
  <c r="G1942" i="2"/>
  <c r="G1954" i="2"/>
  <c r="G1966" i="2"/>
  <c r="G1978" i="2"/>
  <c r="G1990" i="2"/>
  <c r="C2192" i="2" a="1"/>
  <c r="C2192" i="2" s="1"/>
  <c r="C2236" i="2" a="1"/>
  <c r="C2236" i="2" s="1"/>
  <c r="C2258" i="2" a="1"/>
  <c r="C2258" i="2" s="1"/>
  <c r="C2274" i="2" a="1"/>
  <c r="C2274" i="2" s="1"/>
  <c r="C2288" i="2" a="1"/>
  <c r="C2288" i="2" s="1"/>
  <c r="C2302" i="2" a="1"/>
  <c r="C2302" i="2" s="1"/>
  <c r="C2315" i="2" a="1"/>
  <c r="C2315" i="2" s="1"/>
  <c r="H7" i="2"/>
  <c r="H20" i="2"/>
  <c r="H33" i="2"/>
  <c r="H46" i="2"/>
  <c r="H59" i="2"/>
  <c r="H72" i="2"/>
  <c r="H85" i="2"/>
  <c r="H98" i="2"/>
  <c r="H111" i="2"/>
  <c r="H125" i="2"/>
  <c r="H138" i="2"/>
  <c r="H151" i="2"/>
  <c r="H164" i="2"/>
  <c r="H177" i="2"/>
  <c r="H190" i="2"/>
  <c r="H203" i="2"/>
  <c r="H216" i="2"/>
  <c r="H229" i="2"/>
  <c r="H242" i="2"/>
  <c r="H255" i="2"/>
  <c r="H269" i="2"/>
  <c r="H282" i="2"/>
  <c r="H295" i="2"/>
  <c r="H308" i="2"/>
  <c r="H321" i="2"/>
  <c r="H334" i="2"/>
  <c r="H347" i="2"/>
  <c r="H360" i="2"/>
  <c r="H373" i="2"/>
  <c r="H386" i="2"/>
  <c r="H399" i="2"/>
  <c r="H413" i="2"/>
  <c r="H426" i="2"/>
  <c r="H439" i="2"/>
  <c r="H452" i="2"/>
  <c r="H465" i="2"/>
  <c r="H478" i="2"/>
  <c r="H491" i="2"/>
  <c r="H504" i="2"/>
  <c r="H517" i="2"/>
  <c r="H530" i="2"/>
  <c r="H543" i="2"/>
  <c r="H557" i="2"/>
  <c r="H570" i="2"/>
  <c r="H583" i="2"/>
  <c r="H596" i="2"/>
  <c r="H609" i="2"/>
  <c r="H622" i="2"/>
  <c r="H635" i="2"/>
  <c r="H648" i="2"/>
  <c r="H661" i="2"/>
  <c r="H674" i="2"/>
  <c r="H687" i="2"/>
  <c r="H701" i="2"/>
  <c r="H714" i="2"/>
  <c r="H727" i="2"/>
  <c r="H740" i="2"/>
  <c r="H753" i="2"/>
  <c r="H766" i="2"/>
  <c r="H779" i="2"/>
  <c r="H792" i="2"/>
  <c r="H805" i="2"/>
  <c r="H818" i="2"/>
  <c r="H831" i="2"/>
  <c r="H845" i="2"/>
  <c r="H858" i="2"/>
  <c r="H871" i="2"/>
  <c r="H884" i="2"/>
  <c r="H897" i="2"/>
  <c r="H910" i="2"/>
  <c r="H923" i="2"/>
  <c r="H936" i="2"/>
  <c r="H949" i="2"/>
  <c r="H962" i="2"/>
  <c r="H975" i="2"/>
  <c r="H989" i="2"/>
  <c r="H1002" i="2"/>
  <c r="H1015" i="2"/>
  <c r="H1028" i="2"/>
  <c r="H1041" i="2"/>
  <c r="H1054" i="2"/>
  <c r="H1067" i="2"/>
  <c r="H1080" i="2"/>
  <c r="H1093" i="2"/>
  <c r="H1106" i="2"/>
  <c r="H1119" i="2"/>
  <c r="H1133" i="2"/>
  <c r="H1146" i="2"/>
  <c r="H1159" i="2"/>
  <c r="H1172" i="2"/>
  <c r="H1185" i="2"/>
  <c r="H1198" i="2"/>
  <c r="H1211" i="2"/>
  <c r="H1224" i="2"/>
  <c r="H1237" i="2"/>
  <c r="H1250" i="2"/>
  <c r="H1263" i="2"/>
  <c r="H1277" i="2"/>
  <c r="H1290" i="2"/>
  <c r="H1303" i="2"/>
  <c r="H1316" i="2"/>
  <c r="H1329" i="2"/>
  <c r="H1342" i="2"/>
  <c r="H1355" i="2"/>
  <c r="H1368" i="2"/>
  <c r="H1381" i="2"/>
  <c r="H1394" i="2"/>
  <c r="H1407" i="2"/>
  <c r="H1421" i="2"/>
  <c r="H1434" i="2"/>
  <c r="H1447" i="2"/>
  <c r="H1460" i="2"/>
  <c r="H1473" i="2"/>
  <c r="H1486" i="2"/>
  <c r="H1499" i="2"/>
  <c r="H1512" i="2"/>
  <c r="H1525" i="2"/>
  <c r="H1538" i="2"/>
  <c r="H1551" i="2"/>
  <c r="H1565" i="2"/>
  <c r="H1578" i="2"/>
  <c r="H1591" i="2"/>
  <c r="H1604" i="2"/>
  <c r="H1617" i="2"/>
  <c r="H1630" i="2"/>
  <c r="H1643" i="2"/>
  <c r="H1656" i="2"/>
  <c r="H1669" i="2"/>
  <c r="H1682" i="2"/>
  <c r="H1695" i="2"/>
  <c r="H1709" i="2"/>
  <c r="H1722" i="2"/>
  <c r="H1735" i="2"/>
  <c r="H1748" i="2"/>
  <c r="H1761" i="2"/>
  <c r="H1774" i="2"/>
  <c r="H1787" i="2"/>
  <c r="H1800" i="2"/>
  <c r="H1813" i="2"/>
  <c r="H1826" i="2"/>
  <c r="H1839" i="2"/>
  <c r="H1853" i="2"/>
  <c r="H1866" i="2"/>
  <c r="H1879" i="2"/>
  <c r="H1892" i="2"/>
  <c r="H1905" i="2"/>
  <c r="H1918" i="2"/>
  <c r="H1931" i="2"/>
  <c r="H1944" i="2"/>
  <c r="H1957" i="2"/>
  <c r="H1970" i="2"/>
  <c r="H1983" i="2"/>
  <c r="H1997" i="2"/>
  <c r="H2010" i="2"/>
  <c r="H2023" i="2"/>
  <c r="H2036" i="2"/>
  <c r="H2049" i="2"/>
  <c r="H2062" i="2"/>
  <c r="H2075" i="2"/>
  <c r="H2088" i="2"/>
  <c r="H2101" i="2"/>
  <c r="H2114" i="2"/>
  <c r="H2127" i="2"/>
  <c r="H2141" i="2"/>
  <c r="H2154" i="2"/>
  <c r="H2167" i="2"/>
  <c r="H2180" i="2"/>
  <c r="H2193" i="2"/>
  <c r="H2206" i="2"/>
  <c r="H2219" i="2"/>
  <c r="H2232" i="2"/>
  <c r="H2245" i="2"/>
  <c r="H2258" i="2"/>
  <c r="H2271" i="2"/>
  <c r="H2285" i="2"/>
  <c r="H2298" i="2"/>
  <c r="H2311" i="2"/>
  <c r="G7" i="2"/>
  <c r="G20" i="2"/>
  <c r="G33" i="2"/>
  <c r="G46" i="2"/>
  <c r="G59" i="2"/>
  <c r="G72" i="2"/>
  <c r="G85" i="2"/>
  <c r="G98" i="2"/>
  <c r="G112" i="2"/>
  <c r="G125" i="2"/>
  <c r="G138" i="2"/>
  <c r="G151" i="2"/>
  <c r="G164" i="2"/>
  <c r="G177" i="2"/>
  <c r="G190" i="2"/>
  <c r="G203" i="2"/>
  <c r="G216" i="2"/>
  <c r="G229" i="2"/>
  <c r="G242" i="2"/>
  <c r="G256" i="2"/>
  <c r="G269" i="2"/>
  <c r="G282" i="2"/>
  <c r="G295" i="2"/>
  <c r="G308" i="2"/>
  <c r="G321" i="2"/>
  <c r="G334" i="2"/>
  <c r="G347" i="2"/>
  <c r="G360" i="2"/>
  <c r="G373" i="2"/>
  <c r="G386" i="2"/>
  <c r="G400" i="2"/>
  <c r="G413" i="2"/>
  <c r="G426" i="2"/>
  <c r="G439" i="2"/>
  <c r="G452" i="2"/>
  <c r="G465" i="2"/>
  <c r="G478" i="2"/>
  <c r="G491" i="2"/>
  <c r="G504" i="2"/>
  <c r="G517" i="2"/>
  <c r="G530" i="2"/>
  <c r="G544" i="2"/>
  <c r="G557" i="2"/>
  <c r="G570" i="2"/>
  <c r="G583" i="2"/>
  <c r="G596" i="2"/>
  <c r="G609" i="2"/>
  <c r="G622" i="2"/>
  <c r="G635" i="2"/>
  <c r="G648" i="2"/>
  <c r="G661" i="2"/>
  <c r="G674" i="2"/>
  <c r="G688" i="2"/>
  <c r="G701" i="2"/>
  <c r="G714" i="2"/>
  <c r="G727" i="2"/>
  <c r="G740" i="2"/>
  <c r="G753" i="2"/>
  <c r="G766" i="2"/>
  <c r="G779" i="2"/>
  <c r="G792" i="2"/>
  <c r="G805" i="2"/>
  <c r="G818" i="2"/>
  <c r="G832" i="2"/>
  <c r="G845" i="2"/>
  <c r="G858" i="2"/>
  <c r="G871" i="2"/>
  <c r="G884" i="2"/>
  <c r="G897" i="2"/>
  <c r="G910" i="2"/>
  <c r="G923" i="2"/>
  <c r="G936" i="2"/>
  <c r="G949" i="2"/>
  <c r="G962" i="2"/>
  <c r="G976" i="2"/>
  <c r="G989" i="2"/>
  <c r="G1002" i="2"/>
  <c r="G1015" i="2"/>
  <c r="G1028" i="2"/>
  <c r="G1041" i="2"/>
  <c r="G1054" i="2"/>
  <c r="G1067" i="2"/>
  <c r="G1080" i="2"/>
  <c r="G1093" i="2"/>
  <c r="G1106" i="2"/>
  <c r="G1120" i="2"/>
  <c r="G1133" i="2"/>
  <c r="G1146" i="2"/>
  <c r="G1159" i="2"/>
  <c r="G1172" i="2"/>
  <c r="G1185" i="2"/>
  <c r="G1198" i="2"/>
  <c r="G1211" i="2"/>
  <c r="G1224" i="2"/>
  <c r="G1237" i="2"/>
  <c r="G1250" i="2"/>
  <c r="G1264" i="2"/>
  <c r="G1277" i="2"/>
  <c r="G1290" i="2"/>
  <c r="G1303" i="2"/>
  <c r="G1316" i="2"/>
  <c r="G1329" i="2"/>
  <c r="G1342" i="2"/>
  <c r="G1355" i="2"/>
  <c r="G1367" i="2"/>
  <c r="G1379" i="2"/>
  <c r="G1391" i="2"/>
  <c r="G1403" i="2"/>
  <c r="G1415" i="2"/>
  <c r="G1427" i="2"/>
  <c r="G1439" i="2"/>
  <c r="G1451" i="2"/>
  <c r="G1463" i="2"/>
  <c r="G1475" i="2"/>
  <c r="G1487" i="2"/>
  <c r="G1499" i="2"/>
  <c r="G1511" i="2"/>
  <c r="G1523" i="2"/>
  <c r="G1535" i="2"/>
  <c r="G1547" i="2"/>
  <c r="G1559" i="2"/>
  <c r="G1571" i="2"/>
  <c r="G1583" i="2"/>
  <c r="G1595" i="2"/>
  <c r="G1607" i="2"/>
  <c r="G1619" i="2"/>
  <c r="G1631" i="2"/>
  <c r="G1643" i="2"/>
  <c r="G1655" i="2"/>
  <c r="G1667" i="2"/>
  <c r="G1679" i="2"/>
  <c r="G1691" i="2"/>
  <c r="G1703" i="2"/>
  <c r="G1715" i="2"/>
  <c r="G1727" i="2"/>
  <c r="G1739" i="2"/>
  <c r="G1751" i="2"/>
  <c r="G1763" i="2"/>
  <c r="G1775" i="2"/>
  <c r="G1787" i="2"/>
  <c r="G1799" i="2"/>
  <c r="G1811" i="2"/>
  <c r="G1823" i="2"/>
  <c r="G1835" i="2"/>
  <c r="G1847" i="2"/>
  <c r="G1859" i="2"/>
  <c r="G1871" i="2"/>
  <c r="G1883" i="2"/>
  <c r="G1895" i="2"/>
  <c r="G1907" i="2"/>
  <c r="G1919" i="2"/>
  <c r="G1931" i="2"/>
  <c r="G1943" i="2"/>
  <c r="G1955" i="2"/>
  <c r="G1967" i="2"/>
  <c r="G1979" i="2"/>
  <c r="G1991" i="2"/>
  <c r="G2003" i="2"/>
  <c r="C2203" i="2" a="1"/>
  <c r="C2203" i="2" s="1"/>
  <c r="C2237" i="2" a="1"/>
  <c r="C2237" i="2" s="1"/>
  <c r="C2259" i="2" a="1"/>
  <c r="C2259" i="2" s="1"/>
  <c r="C2275" i="2" a="1"/>
  <c r="C2275" i="2" s="1"/>
  <c r="C2290" i="2" a="1"/>
  <c r="C2290" i="2" s="1"/>
  <c r="C2303" i="2" a="1"/>
  <c r="C2303" i="2" s="1"/>
  <c r="C2316" i="2" a="1"/>
  <c r="C2316" i="2" s="1"/>
  <c r="C2210" i="2" a="1"/>
  <c r="C2210" i="2" s="1"/>
  <c r="C2238" i="2" a="1"/>
  <c r="C2238" i="2" s="1"/>
  <c r="C2262" i="2" a="1"/>
  <c r="C2262" i="2" s="1"/>
  <c r="C2276" i="2" a="1"/>
  <c r="C2276" i="2" s="1"/>
  <c r="C2211" i="2" a="1"/>
  <c r="C2211" i="2" s="1"/>
  <c r="C2214" i="2" a="1"/>
  <c r="C2214" i="2" s="1"/>
  <c r="C2245" i="2" a="1"/>
  <c r="C2245" i="2" s="1"/>
  <c r="C2264" i="2" a="1"/>
  <c r="C2264" i="2" s="1"/>
  <c r="C2279" i="2" a="1"/>
  <c r="C2279" i="2" s="1"/>
  <c r="C2293" i="2" a="1"/>
  <c r="C2293" i="2" s="1"/>
  <c r="C2306" i="2" a="1"/>
  <c r="C2306" i="2" s="1"/>
  <c r="C2319" i="2" a="1"/>
  <c r="C2319" i="2" s="1"/>
  <c r="C2305" i="2" a="1"/>
  <c r="C2305" i="2" s="1"/>
  <c r="H12" i="2"/>
  <c r="H27" i="2"/>
  <c r="H43" i="2"/>
  <c r="H60" i="2"/>
  <c r="H75" i="2"/>
  <c r="H91" i="2"/>
  <c r="H106" i="2"/>
  <c r="H121" i="2"/>
  <c r="H139" i="2"/>
  <c r="H154" i="2"/>
  <c r="H169" i="2"/>
  <c r="H185" i="2"/>
  <c r="H200" i="2"/>
  <c r="H217" i="2"/>
  <c r="H233" i="2"/>
  <c r="H248" i="2"/>
  <c r="H263" i="2"/>
  <c r="H278" i="2"/>
  <c r="H296" i="2"/>
  <c r="H311" i="2"/>
  <c r="H326" i="2"/>
  <c r="H342" i="2"/>
  <c r="H357" i="2"/>
  <c r="H374" i="2"/>
  <c r="H390" i="2"/>
  <c r="H405" i="2"/>
  <c r="H420" i="2"/>
  <c r="H435" i="2"/>
  <c r="H453" i="2"/>
  <c r="H468" i="2"/>
  <c r="H483" i="2"/>
  <c r="H499" i="2"/>
  <c r="H514" i="2"/>
  <c r="H531" i="2"/>
  <c r="H547" i="2"/>
  <c r="H562" i="2"/>
  <c r="H577" i="2"/>
  <c r="H593" i="2"/>
  <c r="H610" i="2"/>
  <c r="H625" i="2"/>
  <c r="H641" i="2"/>
  <c r="H656" i="2"/>
  <c r="H671" i="2"/>
  <c r="H689" i="2"/>
  <c r="H704" i="2"/>
  <c r="H719" i="2"/>
  <c r="H734" i="2"/>
  <c r="H750" i="2"/>
  <c r="H767" i="2"/>
  <c r="H782" i="2"/>
  <c r="H798" i="2"/>
  <c r="H813" i="2"/>
  <c r="H828" i="2"/>
  <c r="H846" i="2"/>
  <c r="H861" i="2"/>
  <c r="H876" i="2"/>
  <c r="H891" i="2"/>
  <c r="H907" i="2"/>
  <c r="H924" i="2"/>
  <c r="H939" i="2"/>
  <c r="H955" i="2"/>
  <c r="H970" i="2"/>
  <c r="H985" i="2"/>
  <c r="H1003" i="2"/>
  <c r="H1018" i="2"/>
  <c r="H1033" i="2"/>
  <c r="H1049" i="2"/>
  <c r="H1064" i="2"/>
  <c r="H1081" i="2"/>
  <c r="H1097" i="2"/>
  <c r="H1112" i="2"/>
  <c r="H1127" i="2"/>
  <c r="H1142" i="2"/>
  <c r="H1160" i="2"/>
  <c r="H1175" i="2"/>
  <c r="H1190" i="2"/>
  <c r="H1206" i="2"/>
  <c r="H1221" i="2"/>
  <c r="H1238" i="2"/>
  <c r="H1254" i="2"/>
  <c r="H1269" i="2"/>
  <c r="H1284" i="2"/>
  <c r="H1299" i="2"/>
  <c r="H1317" i="2"/>
  <c r="H1332" i="2"/>
  <c r="H1347" i="2"/>
  <c r="H1363" i="2"/>
  <c r="H1378" i="2"/>
  <c r="H1395" i="2"/>
  <c r="H1411" i="2"/>
  <c r="H1426" i="2"/>
  <c r="H1441" i="2"/>
  <c r="H1457" i="2"/>
  <c r="H1474" i="2"/>
  <c r="H1489" i="2"/>
  <c r="H1505" i="2"/>
  <c r="H1520" i="2"/>
  <c r="H1535" i="2"/>
  <c r="H1553" i="2"/>
  <c r="H1568" i="2"/>
  <c r="H1583" i="2"/>
  <c r="H1598" i="2"/>
  <c r="H1614" i="2"/>
  <c r="H1631" i="2"/>
  <c r="H1646" i="2"/>
  <c r="H1662" i="2"/>
  <c r="H1677" i="2"/>
  <c r="H1692" i="2"/>
  <c r="H1710" i="2"/>
  <c r="H1725" i="2"/>
  <c r="H1740" i="2"/>
  <c r="H1755" i="2"/>
  <c r="H1771" i="2"/>
  <c r="H1788" i="2"/>
  <c r="H1803" i="2"/>
  <c r="H1819" i="2"/>
  <c r="H1834" i="2"/>
  <c r="H1849" i="2"/>
  <c r="H1867" i="2"/>
  <c r="H1882" i="2"/>
  <c r="H1897" i="2"/>
  <c r="H1913" i="2"/>
  <c r="H1928" i="2"/>
  <c r="H1945" i="2"/>
  <c r="H1961" i="2"/>
  <c r="H1976" i="2"/>
  <c r="H1991" i="2"/>
  <c r="H2006" i="2"/>
  <c r="H2024" i="2"/>
  <c r="H2039" i="2"/>
  <c r="H2054" i="2"/>
  <c r="H2070" i="2"/>
  <c r="H2085" i="2"/>
  <c r="H2102" i="2"/>
  <c r="H2118" i="2"/>
  <c r="H2133" i="2"/>
  <c r="H2148" i="2"/>
  <c r="H2163" i="2"/>
  <c r="H2181" i="2"/>
  <c r="H2196" i="2"/>
  <c r="H2211" i="2"/>
  <c r="H2227" i="2"/>
  <c r="H2242" i="2"/>
  <c r="H2259" i="2"/>
  <c r="H2275" i="2"/>
  <c r="H2290" i="2"/>
  <c r="H2305" i="2"/>
  <c r="G4" i="2"/>
  <c r="G21" i="2"/>
  <c r="G36" i="2"/>
  <c r="G52" i="2"/>
  <c r="G67" i="2"/>
  <c r="G82" i="2"/>
  <c r="G100" i="2"/>
  <c r="G115" i="2"/>
  <c r="G130" i="2"/>
  <c r="G145" i="2"/>
  <c r="G161" i="2"/>
  <c r="G178" i="2"/>
  <c r="G193" i="2"/>
  <c r="G209" i="2"/>
  <c r="G224" i="2"/>
  <c r="G239" i="2"/>
  <c r="G257" i="2"/>
  <c r="G272" i="2"/>
  <c r="G287" i="2"/>
  <c r="G302" i="2"/>
  <c r="G318" i="2"/>
  <c r="G335" i="2"/>
  <c r="C2228" i="2" a="1"/>
  <c r="C2228" i="2" s="1"/>
  <c r="C2307" i="2" a="1"/>
  <c r="C2307" i="2" s="1"/>
  <c r="C2242" i="2" a="1"/>
  <c r="C2242" i="2" s="1"/>
  <c r="C2311" i="2" a="1"/>
  <c r="C2311" i="2" s="1"/>
  <c r="C2255" i="2" a="1"/>
  <c r="C2255" i="2" s="1"/>
  <c r="C2317" i="2" a="1"/>
  <c r="C2317" i="2" s="1"/>
  <c r="C2263" i="2" a="1"/>
  <c r="C2263" i="2" s="1"/>
  <c r="C2318" i="2" a="1"/>
  <c r="C2318" i="2" s="1"/>
  <c r="C2270" i="2" a="1"/>
  <c r="C2270" i="2" s="1"/>
  <c r="C4" i="2" a="1"/>
  <c r="C4" i="2" s="1"/>
  <c r="C2278" i="2" a="1"/>
  <c r="C2278" i="2" s="1"/>
  <c r="H3" i="2"/>
  <c r="H21" i="2"/>
  <c r="H36" i="2"/>
  <c r="H51" i="2"/>
  <c r="H67" i="2"/>
  <c r="H82" i="2"/>
  <c r="H99" i="2"/>
  <c r="H115" i="2"/>
  <c r="H130" i="2"/>
  <c r="H145" i="2"/>
  <c r="H161" i="2"/>
  <c r="H178" i="2"/>
  <c r="H193" i="2"/>
  <c r="H209" i="2"/>
  <c r="H224" i="2"/>
  <c r="H239" i="2"/>
  <c r="H257" i="2"/>
  <c r="H272" i="2"/>
  <c r="H287" i="2"/>
  <c r="H302" i="2"/>
  <c r="H318" i="2"/>
  <c r="H335" i="2"/>
  <c r="H350" i="2"/>
  <c r="H366" i="2"/>
  <c r="H381" i="2"/>
  <c r="H396" i="2"/>
  <c r="H414" i="2"/>
  <c r="H429" i="2"/>
  <c r="H444" i="2"/>
  <c r="H459" i="2"/>
  <c r="H475" i="2"/>
  <c r="H492" i="2"/>
  <c r="H507" i="2"/>
  <c r="H523" i="2"/>
  <c r="H538" i="2"/>
  <c r="H553" i="2"/>
  <c r="H571" i="2"/>
  <c r="H586" i="2"/>
  <c r="H601" i="2"/>
  <c r="H617" i="2"/>
  <c r="H632" i="2"/>
  <c r="H649" i="2"/>
  <c r="H665" i="2"/>
  <c r="H680" i="2"/>
  <c r="H695" i="2"/>
  <c r="H710" i="2"/>
  <c r="H728" i="2"/>
  <c r="H743" i="2"/>
  <c r="H758" i="2"/>
  <c r="H774" i="2"/>
  <c r="H789" i="2"/>
  <c r="H806" i="2"/>
  <c r="H822" i="2"/>
  <c r="H837" i="2"/>
  <c r="H852" i="2"/>
  <c r="H867" i="2"/>
  <c r="H885" i="2"/>
  <c r="H900" i="2"/>
  <c r="H915" i="2"/>
  <c r="H931" i="2"/>
  <c r="H946" i="2"/>
  <c r="H963" i="2"/>
  <c r="H979" i="2"/>
  <c r="H994" i="2"/>
  <c r="H1009" i="2"/>
  <c r="H1025" i="2"/>
  <c r="H1042" i="2"/>
  <c r="H1057" i="2"/>
  <c r="H1073" i="2"/>
  <c r="H1088" i="2"/>
  <c r="H1103" i="2"/>
  <c r="H1121" i="2"/>
  <c r="H1136" i="2"/>
  <c r="H1151" i="2"/>
  <c r="H1166" i="2"/>
  <c r="H1182" i="2"/>
  <c r="H1199" i="2"/>
  <c r="H1214" i="2"/>
  <c r="H1230" i="2"/>
  <c r="H1245" i="2"/>
  <c r="H1260" i="2"/>
  <c r="H1278" i="2"/>
  <c r="H1293" i="2"/>
  <c r="H1308" i="2"/>
  <c r="H1323" i="2"/>
  <c r="H1339" i="2"/>
  <c r="H1356" i="2"/>
  <c r="H1371" i="2"/>
  <c r="H1387" i="2"/>
  <c r="H1402" i="2"/>
  <c r="H1417" i="2"/>
  <c r="H1435" i="2"/>
  <c r="H1450" i="2"/>
  <c r="H1465" i="2"/>
  <c r="H1481" i="2"/>
  <c r="H1496" i="2"/>
  <c r="H1513" i="2"/>
  <c r="H1529" i="2"/>
  <c r="H1544" i="2"/>
  <c r="H1559" i="2"/>
  <c r="H1574" i="2"/>
  <c r="H1592" i="2"/>
  <c r="H1607" i="2"/>
  <c r="H1622" i="2"/>
  <c r="H1638" i="2"/>
  <c r="H1653" i="2"/>
  <c r="H1670" i="2"/>
  <c r="H1686" i="2"/>
  <c r="H1701" i="2"/>
  <c r="H1716" i="2"/>
  <c r="H1731" i="2"/>
  <c r="H1749" i="2"/>
  <c r="H1764" i="2"/>
  <c r="H1779" i="2"/>
  <c r="H1795" i="2"/>
  <c r="H1810" i="2"/>
  <c r="H1827" i="2"/>
  <c r="H1843" i="2"/>
  <c r="H1858" i="2"/>
  <c r="H1873" i="2"/>
  <c r="H1889" i="2"/>
  <c r="H1906" i="2"/>
  <c r="H1921" i="2"/>
  <c r="H1937" i="2"/>
  <c r="H1952" i="2"/>
  <c r="H1967" i="2"/>
  <c r="H1985" i="2"/>
  <c r="H2000" i="2"/>
  <c r="H2015" i="2"/>
  <c r="H2030" i="2"/>
  <c r="H2046" i="2"/>
  <c r="H2063" i="2"/>
  <c r="H2078" i="2"/>
  <c r="H2094" i="2"/>
  <c r="H2109" i="2"/>
  <c r="H2124" i="2"/>
  <c r="H2142" i="2"/>
  <c r="H2157" i="2"/>
  <c r="H2172" i="2"/>
  <c r="H2187" i="2"/>
  <c r="H2203" i="2"/>
  <c r="H2220" i="2"/>
  <c r="H2235" i="2"/>
  <c r="H2251" i="2"/>
  <c r="H2266" i="2"/>
  <c r="H2281" i="2"/>
  <c r="H2299" i="2"/>
  <c r="H2314" i="2"/>
  <c r="G12" i="2"/>
  <c r="G28" i="2"/>
  <c r="G43" i="2"/>
  <c r="G60" i="2"/>
  <c r="G76" i="2"/>
  <c r="G91" i="2"/>
  <c r="G106" i="2"/>
  <c r="G121" i="2"/>
  <c r="G139" i="2"/>
  <c r="G154" i="2"/>
  <c r="G169" i="2"/>
  <c r="G185" i="2"/>
  <c r="G200" i="2"/>
  <c r="G217" i="2"/>
  <c r="G233" i="2"/>
  <c r="G248" i="2"/>
  <c r="G263" i="2"/>
  <c r="G278" i="2"/>
  <c r="G296" i="2"/>
  <c r="G311" i="2"/>
  <c r="G326" i="2"/>
  <c r="G342" i="2"/>
  <c r="G357" i="2"/>
  <c r="G374" i="2"/>
  <c r="G390" i="2"/>
  <c r="G405" i="2"/>
  <c r="G420" i="2"/>
  <c r="G436" i="2"/>
  <c r="G453" i="2"/>
  <c r="G468" i="2"/>
  <c r="G484" i="2"/>
  <c r="G499" i="2"/>
  <c r="G514" i="2"/>
  <c r="G532" i="2"/>
  <c r="C2285" i="2" a="1"/>
  <c r="C2285" i="2" s="1"/>
  <c r="H5" i="2"/>
  <c r="H22" i="2"/>
  <c r="H37" i="2"/>
  <c r="H53" i="2"/>
  <c r="H68" i="2"/>
  <c r="H83" i="2"/>
  <c r="H101" i="2"/>
  <c r="H116" i="2"/>
  <c r="H131" i="2"/>
  <c r="H146" i="2"/>
  <c r="H162" i="2"/>
  <c r="H179" i="2"/>
  <c r="H194" i="2"/>
  <c r="H210" i="2"/>
  <c r="H225" i="2"/>
  <c r="H240" i="2"/>
  <c r="H258" i="2"/>
  <c r="H273" i="2"/>
  <c r="H288" i="2"/>
  <c r="H303" i="2"/>
  <c r="H319" i="2"/>
  <c r="H336" i="2"/>
  <c r="H351" i="2"/>
  <c r="H367" i="2"/>
  <c r="H382" i="2"/>
  <c r="H397" i="2"/>
  <c r="H415" i="2"/>
  <c r="H430" i="2"/>
  <c r="H445" i="2"/>
  <c r="H461" i="2"/>
  <c r="H476" i="2"/>
  <c r="H493" i="2"/>
  <c r="H509" i="2"/>
  <c r="H524" i="2"/>
  <c r="H539" i="2"/>
  <c r="H554" i="2"/>
  <c r="H572" i="2"/>
  <c r="H587" i="2"/>
  <c r="H602" i="2"/>
  <c r="H618" i="2"/>
  <c r="H633" i="2"/>
  <c r="H650" i="2"/>
  <c r="H666" i="2"/>
  <c r="H681" i="2"/>
  <c r="H696" i="2"/>
  <c r="H711" i="2"/>
  <c r="H729" i="2"/>
  <c r="H744" i="2"/>
  <c r="H759" i="2"/>
  <c r="H775" i="2"/>
  <c r="H790" i="2"/>
  <c r="H807" i="2"/>
  <c r="H823" i="2"/>
  <c r="H838" i="2"/>
  <c r="H853" i="2"/>
  <c r="H869" i="2"/>
  <c r="H886" i="2"/>
  <c r="H901" i="2"/>
  <c r="H917" i="2"/>
  <c r="H932" i="2"/>
  <c r="H947" i="2"/>
  <c r="H965" i="2"/>
  <c r="H980" i="2"/>
  <c r="H995" i="2"/>
  <c r="H1010" i="2"/>
  <c r="H1026" i="2"/>
  <c r="H1043" i="2"/>
  <c r="H1058" i="2"/>
  <c r="H1074" i="2"/>
  <c r="H1089" i="2"/>
  <c r="H1104" i="2"/>
  <c r="H1122" i="2"/>
  <c r="H1137" i="2"/>
  <c r="H1152" i="2"/>
  <c r="H1167" i="2"/>
  <c r="H1183" i="2"/>
  <c r="H1200" i="2"/>
  <c r="H1215" i="2"/>
  <c r="H1231" i="2"/>
  <c r="H1246" i="2"/>
  <c r="H1261" i="2"/>
  <c r="H1279" i="2"/>
  <c r="H1294" i="2"/>
  <c r="H1309" i="2"/>
  <c r="H1325" i="2"/>
  <c r="H1340" i="2"/>
  <c r="H1357" i="2"/>
  <c r="H1373" i="2"/>
  <c r="H1388" i="2"/>
  <c r="H1403" i="2"/>
  <c r="H1418" i="2"/>
  <c r="H1436" i="2"/>
  <c r="H1451" i="2"/>
  <c r="H1466" i="2"/>
  <c r="H1482" i="2"/>
  <c r="H1497" i="2"/>
  <c r="H1514" i="2"/>
  <c r="H1530" i="2"/>
  <c r="H1545" i="2"/>
  <c r="H1560" i="2"/>
  <c r="H1575" i="2"/>
  <c r="H1593" i="2"/>
  <c r="H1608" i="2"/>
  <c r="H1623" i="2"/>
  <c r="H1639" i="2"/>
  <c r="H1654" i="2"/>
  <c r="H1671" i="2"/>
  <c r="H1687" i="2"/>
  <c r="H1702" i="2"/>
  <c r="H1717" i="2"/>
  <c r="H1733" i="2"/>
  <c r="H1750" i="2"/>
  <c r="H1765" i="2"/>
  <c r="H1781" i="2"/>
  <c r="H1796" i="2"/>
  <c r="H1811" i="2"/>
  <c r="H1829" i="2"/>
  <c r="H1844" i="2"/>
  <c r="H1859" i="2"/>
  <c r="H1874" i="2"/>
  <c r="H1890" i="2"/>
  <c r="H1907" i="2"/>
  <c r="H1922" i="2"/>
  <c r="H1938" i="2"/>
  <c r="H1953" i="2"/>
  <c r="H1968" i="2"/>
  <c r="H1986" i="2"/>
  <c r="H2001" i="2"/>
  <c r="H2016" i="2"/>
  <c r="H2031" i="2"/>
  <c r="H2047" i="2"/>
  <c r="H2064" i="2"/>
  <c r="H2079" i="2"/>
  <c r="H2095" i="2"/>
  <c r="H2110" i="2"/>
  <c r="H2125" i="2"/>
  <c r="H2143" i="2"/>
  <c r="H2158" i="2"/>
  <c r="H2173" i="2"/>
  <c r="H2189" i="2"/>
  <c r="H2204" i="2"/>
  <c r="H2221" i="2"/>
  <c r="H2237" i="2"/>
  <c r="H2252" i="2"/>
  <c r="H2267" i="2"/>
  <c r="H2282" i="2"/>
  <c r="H2300" i="2"/>
  <c r="H2315" i="2"/>
  <c r="G13" i="2"/>
  <c r="G29" i="2"/>
  <c r="G44" i="2"/>
  <c r="G61" i="2"/>
  <c r="G77" i="2"/>
  <c r="G92" i="2"/>
  <c r="G107" i="2"/>
  <c r="G122" i="2"/>
  <c r="G140" i="2"/>
  <c r="G155" i="2"/>
  <c r="G170" i="2"/>
  <c r="G186" i="2"/>
  <c r="G201" i="2"/>
  <c r="G218" i="2"/>
  <c r="G234" i="2"/>
  <c r="G249" i="2"/>
  <c r="G264" i="2"/>
  <c r="G280" i="2"/>
  <c r="G297" i="2"/>
  <c r="G312" i="2"/>
  <c r="G328" i="2"/>
  <c r="G343" i="2"/>
  <c r="G358" i="2"/>
  <c r="G376" i="2"/>
  <c r="G391" i="2"/>
  <c r="G406" i="2"/>
  <c r="G421" i="2"/>
  <c r="G437" i="2"/>
  <c r="G454" i="2"/>
  <c r="G469" i="2"/>
  <c r="G485" i="2"/>
  <c r="G500" i="2"/>
  <c r="G515" i="2"/>
  <c r="G533" i="2"/>
  <c r="G548" i="2"/>
  <c r="G563" i="2"/>
  <c r="G578" i="2"/>
  <c r="G594" i="2"/>
  <c r="G611" i="2"/>
  <c r="G626" i="2"/>
  <c r="G642" i="2"/>
  <c r="C2291" i="2" a="1"/>
  <c r="C2291" i="2" s="1"/>
  <c r="H8" i="2"/>
  <c r="H23" i="2"/>
  <c r="H38" i="2"/>
  <c r="H54" i="2"/>
  <c r="H69" i="2"/>
  <c r="H86" i="2"/>
  <c r="H102" i="2"/>
  <c r="H117" i="2"/>
  <c r="H132" i="2"/>
  <c r="H147" i="2"/>
  <c r="H165" i="2"/>
  <c r="H180" i="2"/>
  <c r="H195" i="2"/>
  <c r="H211" i="2"/>
  <c r="H226" i="2"/>
  <c r="H243" i="2"/>
  <c r="H259" i="2"/>
  <c r="H274" i="2"/>
  <c r="H289" i="2"/>
  <c r="H305" i="2"/>
  <c r="H322" i="2"/>
  <c r="H337" i="2"/>
  <c r="H353" i="2"/>
  <c r="H368" i="2"/>
  <c r="H383" i="2"/>
  <c r="H401" i="2"/>
  <c r="H416" i="2"/>
  <c r="H431" i="2"/>
  <c r="H446" i="2"/>
  <c r="H462" i="2"/>
  <c r="H479" i="2"/>
  <c r="H494" i="2"/>
  <c r="H510" i="2"/>
  <c r="H525" i="2"/>
  <c r="H540" i="2"/>
  <c r="H558" i="2"/>
  <c r="H573" i="2"/>
  <c r="H588" i="2"/>
  <c r="H603" i="2"/>
  <c r="H619" i="2"/>
  <c r="H636" i="2"/>
  <c r="H651" i="2"/>
  <c r="H667" i="2"/>
  <c r="H682" i="2"/>
  <c r="H697" i="2"/>
  <c r="H715" i="2"/>
  <c r="H730" i="2"/>
  <c r="H745" i="2"/>
  <c r="H761" i="2"/>
  <c r="H776" i="2"/>
  <c r="H793" i="2"/>
  <c r="H809" i="2"/>
  <c r="H824" i="2"/>
  <c r="H839" i="2"/>
  <c r="H854" i="2"/>
  <c r="H872" i="2"/>
  <c r="H887" i="2"/>
  <c r="H902" i="2"/>
  <c r="H918" i="2"/>
  <c r="H933" i="2"/>
  <c r="H950" i="2"/>
  <c r="H966" i="2"/>
  <c r="H981" i="2"/>
  <c r="H996" i="2"/>
  <c r="H1011" i="2"/>
  <c r="H1029" i="2"/>
  <c r="H1044" i="2"/>
  <c r="H1059" i="2"/>
  <c r="H1075" i="2"/>
  <c r="H1090" i="2"/>
  <c r="H1107" i="2"/>
  <c r="H1123" i="2"/>
  <c r="H1138" i="2"/>
  <c r="H1153" i="2"/>
  <c r="H1169" i="2"/>
  <c r="H1186" i="2"/>
  <c r="H1201" i="2"/>
  <c r="H1217" i="2"/>
  <c r="H1232" i="2"/>
  <c r="H1247" i="2"/>
  <c r="H1265" i="2"/>
  <c r="H1280" i="2"/>
  <c r="H1295" i="2"/>
  <c r="H1310" i="2"/>
  <c r="H1326" i="2"/>
  <c r="H1343" i="2"/>
  <c r="H1358" i="2"/>
  <c r="H1374" i="2"/>
  <c r="H1389" i="2"/>
  <c r="H1404" i="2"/>
  <c r="H1422" i="2"/>
  <c r="H1437" i="2"/>
  <c r="H1452" i="2"/>
  <c r="H1467" i="2"/>
  <c r="H1483" i="2"/>
  <c r="H1500" i="2"/>
  <c r="H1515" i="2"/>
  <c r="H1531" i="2"/>
  <c r="H1546" i="2"/>
  <c r="H1561" i="2"/>
  <c r="H1579" i="2"/>
  <c r="H1594" i="2"/>
  <c r="H1609" i="2"/>
  <c r="H1625" i="2"/>
  <c r="H1640" i="2"/>
  <c r="H1657" i="2"/>
  <c r="H1673" i="2"/>
  <c r="H1688" i="2"/>
  <c r="H1703" i="2"/>
  <c r="H1718" i="2"/>
  <c r="H1736" i="2"/>
  <c r="H1751" i="2"/>
  <c r="H1766" i="2"/>
  <c r="H1782" i="2"/>
  <c r="H1797" i="2"/>
  <c r="H1814" i="2"/>
  <c r="H1830" i="2"/>
  <c r="H1845" i="2"/>
  <c r="H1860" i="2"/>
  <c r="H1875" i="2"/>
  <c r="H1893" i="2"/>
  <c r="H1908" i="2"/>
  <c r="H1923" i="2"/>
  <c r="H1939" i="2"/>
  <c r="H1954" i="2"/>
  <c r="H1971" i="2"/>
  <c r="H1987" i="2"/>
  <c r="H2002" i="2"/>
  <c r="H2017" i="2"/>
  <c r="H2033" i="2"/>
  <c r="H2050" i="2"/>
  <c r="H2065" i="2"/>
  <c r="H2081" i="2"/>
  <c r="H2096" i="2"/>
  <c r="H2111" i="2"/>
  <c r="H2129" i="2"/>
  <c r="H2144" i="2"/>
  <c r="H2159" i="2"/>
  <c r="H2174" i="2"/>
  <c r="H2190" i="2"/>
  <c r="H2207" i="2"/>
  <c r="H2222" i="2"/>
  <c r="H2238" i="2"/>
  <c r="H2253" i="2"/>
  <c r="H2268" i="2"/>
  <c r="H2286" i="2"/>
  <c r="H2301" i="2"/>
  <c r="H2316" i="2"/>
  <c r="G14" i="2"/>
  <c r="G30" i="2"/>
  <c r="G47" i="2"/>
  <c r="G62" i="2"/>
  <c r="G78" i="2"/>
  <c r="G93" i="2"/>
  <c r="G108" i="2"/>
  <c r="G126" i="2"/>
  <c r="G141" i="2"/>
  <c r="G156" i="2"/>
  <c r="G172" i="2"/>
  <c r="G187" i="2"/>
  <c r="G204" i="2"/>
  <c r="G220" i="2"/>
  <c r="G235" i="2"/>
  <c r="G250" i="2"/>
  <c r="G265" i="2"/>
  <c r="G283" i="2"/>
  <c r="G298" i="2"/>
  <c r="G313" i="2"/>
  <c r="G329" i="2"/>
  <c r="G344" i="2"/>
  <c r="G361" i="2"/>
  <c r="G377" i="2"/>
  <c r="G392" i="2"/>
  <c r="G407" i="2"/>
  <c r="G422" i="2"/>
  <c r="G440" i="2"/>
  <c r="G455" i="2"/>
  <c r="G470" i="2"/>
  <c r="G486" i="2"/>
  <c r="G501" i="2"/>
  <c r="G518" i="2"/>
  <c r="G534" i="2"/>
  <c r="G549" i="2"/>
  <c r="G564" i="2"/>
  <c r="G580" i="2"/>
  <c r="G597" i="2"/>
  <c r="G612" i="2"/>
  <c r="G628" i="2"/>
  <c r="G643" i="2"/>
  <c r="C2292" i="2" a="1"/>
  <c r="C2292" i="2" s="1"/>
  <c r="C2298" i="2" a="1"/>
  <c r="C2298" i="2" s="1"/>
  <c r="C2304" i="2" a="1"/>
  <c r="C2304" i="2" s="1"/>
  <c r="H11" i="2"/>
  <c r="H26" i="2"/>
  <c r="H42" i="2"/>
  <c r="H57" i="2"/>
  <c r="H74" i="2"/>
  <c r="H90" i="2"/>
  <c r="H105" i="2"/>
  <c r="H120" i="2"/>
  <c r="H135" i="2"/>
  <c r="H153" i="2"/>
  <c r="H168" i="2"/>
  <c r="H183" i="2"/>
  <c r="H199" i="2"/>
  <c r="H214" i="2"/>
  <c r="H231" i="2"/>
  <c r="H247" i="2"/>
  <c r="H262" i="2"/>
  <c r="H277" i="2"/>
  <c r="H293" i="2"/>
  <c r="H310" i="2"/>
  <c r="H325" i="2"/>
  <c r="H341" i="2"/>
  <c r="H356" i="2"/>
  <c r="H371" i="2"/>
  <c r="H389" i="2"/>
  <c r="H404" i="2"/>
  <c r="H419" i="2"/>
  <c r="H434" i="2"/>
  <c r="H450" i="2"/>
  <c r="H467" i="2"/>
  <c r="H482" i="2"/>
  <c r="H498" i="2"/>
  <c r="H513" i="2"/>
  <c r="H528" i="2"/>
  <c r="H546" i="2"/>
  <c r="H561" i="2"/>
  <c r="H576" i="2"/>
  <c r="H591" i="2"/>
  <c r="H607" i="2"/>
  <c r="H624" i="2"/>
  <c r="H639" i="2"/>
  <c r="H655" i="2"/>
  <c r="H670" i="2"/>
  <c r="H685" i="2"/>
  <c r="H703" i="2"/>
  <c r="H718" i="2"/>
  <c r="H733" i="2"/>
  <c r="H749" i="2"/>
  <c r="H764" i="2"/>
  <c r="H781" i="2"/>
  <c r="H797" i="2"/>
  <c r="H812" i="2"/>
  <c r="H827" i="2"/>
  <c r="H842" i="2"/>
  <c r="H860" i="2"/>
  <c r="H875" i="2"/>
  <c r="H890" i="2"/>
  <c r="H906" i="2"/>
  <c r="H921" i="2"/>
  <c r="H938" i="2"/>
  <c r="H954" i="2"/>
  <c r="H969" i="2"/>
  <c r="H984" i="2"/>
  <c r="H999" i="2"/>
  <c r="H1017" i="2"/>
  <c r="H1032" i="2"/>
  <c r="H1047" i="2"/>
  <c r="H1063" i="2"/>
  <c r="H1078" i="2"/>
  <c r="H1095" i="2"/>
  <c r="H1111" i="2"/>
  <c r="H1126" i="2"/>
  <c r="H1141" i="2"/>
  <c r="H1157" i="2"/>
  <c r="H1174" i="2"/>
  <c r="H1189" i="2"/>
  <c r="H1205" i="2"/>
  <c r="H1220" i="2"/>
  <c r="H1235" i="2"/>
  <c r="H1253" i="2"/>
  <c r="H1268" i="2"/>
  <c r="H1283" i="2"/>
  <c r="H1298" i="2"/>
  <c r="H1314" i="2"/>
  <c r="H1331" i="2"/>
  <c r="H1346" i="2"/>
  <c r="H1362" i="2"/>
  <c r="H1377" i="2"/>
  <c r="H1392" i="2"/>
  <c r="H1410" i="2"/>
  <c r="H1425" i="2"/>
  <c r="H1440" i="2"/>
  <c r="H1455" i="2"/>
  <c r="H1471" i="2"/>
  <c r="H1488" i="2"/>
  <c r="H1503" i="2"/>
  <c r="H1519" i="2"/>
  <c r="H1534" i="2"/>
  <c r="H1549" i="2"/>
  <c r="H1567" i="2"/>
  <c r="H1582" i="2"/>
  <c r="H1597" i="2"/>
  <c r="H1613" i="2"/>
  <c r="H1628" i="2"/>
  <c r="H1645" i="2"/>
  <c r="H1661" i="2"/>
  <c r="H1676" i="2"/>
  <c r="H1691" i="2"/>
  <c r="H1706" i="2"/>
  <c r="H1724" i="2"/>
  <c r="H1739" i="2"/>
  <c r="H1754" i="2"/>
  <c r="H1770" i="2"/>
  <c r="H1785" i="2"/>
  <c r="H1802" i="2"/>
  <c r="H1818" i="2"/>
  <c r="H1833" i="2"/>
  <c r="H1848" i="2"/>
  <c r="H1863" i="2"/>
  <c r="H1881" i="2"/>
  <c r="H1896" i="2"/>
  <c r="H1911" i="2"/>
  <c r="H1927" i="2"/>
  <c r="H1942" i="2"/>
  <c r="H1959" i="2"/>
  <c r="H1975" i="2"/>
  <c r="H1990" i="2"/>
  <c r="H2005" i="2"/>
  <c r="H2021" i="2"/>
  <c r="H2038" i="2"/>
  <c r="H2053" i="2"/>
  <c r="H2069" i="2"/>
  <c r="H2084" i="2"/>
  <c r="H2099" i="2"/>
  <c r="H2117" i="2"/>
  <c r="H2132" i="2"/>
  <c r="H2147" i="2"/>
  <c r="H2162" i="2"/>
  <c r="H2178" i="2"/>
  <c r="H2195" i="2"/>
  <c r="H2210" i="2"/>
  <c r="H2226" i="2"/>
  <c r="H2241" i="2"/>
  <c r="H2256" i="2"/>
  <c r="H2274" i="2"/>
  <c r="H2289" i="2"/>
  <c r="H2304" i="2"/>
  <c r="H2319" i="2"/>
  <c r="G18" i="2"/>
  <c r="G35" i="2"/>
  <c r="G50" i="2"/>
  <c r="G66" i="2"/>
  <c r="G81" i="2"/>
  <c r="G96" i="2"/>
  <c r="G114" i="2"/>
  <c r="G129" i="2"/>
  <c r="G144" i="2"/>
  <c r="G160" i="2"/>
  <c r="G175" i="2"/>
  <c r="G192" i="2"/>
  <c r="G208" i="2"/>
  <c r="G223" i="2"/>
  <c r="G238" i="2"/>
  <c r="G253" i="2"/>
  <c r="G271" i="2"/>
  <c r="G286" i="2"/>
  <c r="G301" i="2"/>
  <c r="G317" i="2"/>
  <c r="G332" i="2"/>
  <c r="G349" i="2"/>
  <c r="G365" i="2"/>
  <c r="G380" i="2"/>
  <c r="G395" i="2"/>
  <c r="G410" i="2"/>
  <c r="G428" i="2"/>
  <c r="G443" i="2"/>
  <c r="G458" i="2"/>
  <c r="G474" i="2"/>
  <c r="G489" i="2"/>
  <c r="G506" i="2"/>
  <c r="G522" i="2"/>
  <c r="G537" i="2"/>
  <c r="G552" i="2"/>
  <c r="G568" i="2"/>
  <c r="G585" i="2"/>
  <c r="G600" i="2"/>
  <c r="G616" i="2"/>
  <c r="G631" i="2"/>
  <c r="G646" i="2"/>
  <c r="H31" i="2"/>
  <c r="H61" i="2"/>
  <c r="H87" i="2"/>
  <c r="H113" i="2"/>
  <c r="H141" i="2"/>
  <c r="H167" i="2"/>
  <c r="H192" i="2"/>
  <c r="H221" i="2"/>
  <c r="H249" i="2"/>
  <c r="H275" i="2"/>
  <c r="H300" i="2"/>
  <c r="H329" i="2"/>
  <c r="H355" i="2"/>
  <c r="H380" i="2"/>
  <c r="H408" i="2"/>
  <c r="H437" i="2"/>
  <c r="H463" i="2"/>
  <c r="H488" i="2"/>
  <c r="H518" i="2"/>
  <c r="H545" i="2"/>
  <c r="H567" i="2"/>
  <c r="H598" i="2"/>
  <c r="H626" i="2"/>
  <c r="H653" i="2"/>
  <c r="H678" i="2"/>
  <c r="H706" i="2"/>
  <c r="H732" i="2"/>
  <c r="H757" i="2"/>
  <c r="H786" i="2"/>
  <c r="H814" i="2"/>
  <c r="H840" i="2"/>
  <c r="H865" i="2"/>
  <c r="H894" i="2"/>
  <c r="H920" i="2"/>
  <c r="H945" i="2"/>
  <c r="H973" i="2"/>
  <c r="H1004" i="2"/>
  <c r="H1030" i="2"/>
  <c r="H1055" i="2"/>
  <c r="H1083" i="2"/>
  <c r="H1110" i="2"/>
  <c r="H1135" i="2"/>
  <c r="H1163" i="2"/>
  <c r="H1191" i="2"/>
  <c r="H1218" i="2"/>
  <c r="H1243" i="2"/>
  <c r="H1271" i="2"/>
  <c r="H1297" i="2"/>
  <c r="H1322" i="2"/>
  <c r="H1351" i="2"/>
  <c r="H1379" i="2"/>
  <c r="H1405" i="2"/>
  <c r="H1430" i="2"/>
  <c r="H1461" i="2"/>
  <c r="H1487" i="2"/>
  <c r="H1510" i="2"/>
  <c r="H1541" i="2"/>
  <c r="H1569" i="2"/>
  <c r="H1595" i="2"/>
  <c r="H1620" i="2"/>
  <c r="H1649" i="2"/>
  <c r="H1675" i="2"/>
  <c r="H1700" i="2"/>
  <c r="H1728" i="2"/>
  <c r="H1757" i="2"/>
  <c r="H1783" i="2"/>
  <c r="H1808" i="2"/>
  <c r="H1836" i="2"/>
  <c r="H1862" i="2"/>
  <c r="H1887" i="2"/>
  <c r="H1916" i="2"/>
  <c r="H1946" i="2"/>
  <c r="H1973" i="2"/>
  <c r="H1998" i="2"/>
  <c r="H2026" i="2"/>
  <c r="H2052" i="2"/>
  <c r="H2077" i="2"/>
  <c r="H2106" i="2"/>
  <c r="H2134" i="2"/>
  <c r="H2160" i="2"/>
  <c r="H2185" i="2"/>
  <c r="H2214" i="2"/>
  <c r="H2240" i="2"/>
  <c r="H2265" i="2"/>
  <c r="H2293" i="2"/>
  <c r="G5" i="2"/>
  <c r="G31" i="2"/>
  <c r="G56" i="2"/>
  <c r="G86" i="2"/>
  <c r="G113" i="2"/>
  <c r="G136" i="2"/>
  <c r="G166" i="2"/>
  <c r="G194" i="2"/>
  <c r="G221" i="2"/>
  <c r="G246" i="2"/>
  <c r="G274" i="2"/>
  <c r="G300" i="2"/>
  <c r="G325" i="2"/>
  <c r="G353" i="2"/>
  <c r="G378" i="2"/>
  <c r="G401" i="2"/>
  <c r="G424" i="2"/>
  <c r="G446" i="2"/>
  <c r="G472" i="2"/>
  <c r="G494" i="2"/>
  <c r="G520" i="2"/>
  <c r="G540" i="2"/>
  <c r="G561" i="2"/>
  <c r="G584" i="2"/>
  <c r="G604" i="2"/>
  <c r="G624" i="2"/>
  <c r="G645" i="2"/>
  <c r="G664" i="2"/>
  <c r="G679" i="2"/>
  <c r="G694" i="2"/>
  <c r="G709" i="2"/>
  <c r="G725" i="2"/>
  <c r="G742" i="2"/>
  <c r="G757" i="2"/>
  <c r="G773" i="2"/>
  <c r="G788" i="2"/>
  <c r="G803" i="2"/>
  <c r="G821" i="2"/>
  <c r="G836" i="2"/>
  <c r="G851" i="2"/>
  <c r="G866" i="2"/>
  <c r="G882" i="2"/>
  <c r="G899" i="2"/>
  <c r="G914" i="2"/>
  <c r="G930" i="2"/>
  <c r="G945" i="2"/>
  <c r="G960" i="2"/>
  <c r="G978" i="2"/>
  <c r="G993" i="2"/>
  <c r="G1008" i="2"/>
  <c r="G1024" i="2"/>
  <c r="G1039" i="2"/>
  <c r="G1056" i="2"/>
  <c r="G1072" i="2"/>
  <c r="G1087" i="2"/>
  <c r="G1102" i="2"/>
  <c r="G1117" i="2"/>
  <c r="G1135" i="2"/>
  <c r="G1150" i="2"/>
  <c r="G1165" i="2"/>
  <c r="G1181" i="2"/>
  <c r="G1196" i="2"/>
  <c r="G1213" i="2"/>
  <c r="G1229" i="2"/>
  <c r="G1244" i="2"/>
  <c r="G1259" i="2"/>
  <c r="G1274" i="2"/>
  <c r="G1292" i="2"/>
  <c r="G1307" i="2"/>
  <c r="G1322" i="2"/>
  <c r="G1338" i="2"/>
  <c r="G1353" i="2"/>
  <c r="G1369" i="2"/>
  <c r="G1383" i="2"/>
  <c r="G1397" i="2"/>
  <c r="G1411" i="2"/>
  <c r="G1425" i="2"/>
  <c r="G1441" i="2"/>
  <c r="G1455" i="2"/>
  <c r="G1469" i="2"/>
  <c r="G1483" i="2"/>
  <c r="G1497" i="2"/>
  <c r="G1513" i="2"/>
  <c r="G1527" i="2"/>
  <c r="G1541" i="2"/>
  <c r="G1555" i="2"/>
  <c r="G1569" i="2"/>
  <c r="G1585" i="2"/>
  <c r="G1599" i="2"/>
  <c r="G1613" i="2"/>
  <c r="G1627" i="2"/>
  <c r="G1641" i="2"/>
  <c r="G1657" i="2"/>
  <c r="G1671" i="2"/>
  <c r="G1685" i="2"/>
  <c r="G1699" i="2"/>
  <c r="G1713" i="2"/>
  <c r="G1729" i="2"/>
  <c r="G1743" i="2"/>
  <c r="G1757" i="2"/>
  <c r="G1771" i="2"/>
  <c r="G1785" i="2"/>
  <c r="G1801" i="2"/>
  <c r="G1815" i="2"/>
  <c r="G1829" i="2"/>
  <c r="G1843" i="2"/>
  <c r="G1857" i="2"/>
  <c r="G1873" i="2"/>
  <c r="G1887" i="2"/>
  <c r="G1901" i="2"/>
  <c r="G1915" i="2"/>
  <c r="G1929" i="2"/>
  <c r="G1945" i="2"/>
  <c r="G1959" i="2"/>
  <c r="G1973" i="2"/>
  <c r="G1987" i="2"/>
  <c r="G2001" i="2"/>
  <c r="G2014" i="2"/>
  <c r="G2026" i="2"/>
  <c r="G2038" i="2"/>
  <c r="G2050" i="2"/>
  <c r="G2062" i="2"/>
  <c r="G2074" i="2"/>
  <c r="G2086" i="2"/>
  <c r="G2098" i="2"/>
  <c r="G2110" i="2"/>
  <c r="G2122" i="2"/>
  <c r="G2134" i="2"/>
  <c r="G2146" i="2"/>
  <c r="G2158" i="2"/>
  <c r="G2170" i="2"/>
  <c r="G2182" i="2"/>
  <c r="G2194" i="2"/>
  <c r="G2206" i="2"/>
  <c r="G2218" i="2"/>
  <c r="G2230" i="2"/>
  <c r="G2242" i="2"/>
  <c r="G2254" i="2"/>
  <c r="G2266" i="2"/>
  <c r="G2278" i="2"/>
  <c r="G2290" i="2"/>
  <c r="G2302" i="2"/>
  <c r="G2314" i="2"/>
  <c r="E9" i="2"/>
  <c r="F9" i="2" s="1"/>
  <c r="E21" i="2"/>
  <c r="F21" i="2" s="1"/>
  <c r="E33" i="2"/>
  <c r="E45" i="2"/>
  <c r="E57" i="2"/>
  <c r="F57" i="2" s="1"/>
  <c r="E69" i="2"/>
  <c r="F69" i="2" s="1"/>
  <c r="E81" i="2"/>
  <c r="F81" i="2" s="1"/>
  <c r="E93" i="2"/>
  <c r="E105" i="2"/>
  <c r="E117" i="2"/>
  <c r="E129" i="2"/>
  <c r="E141" i="2"/>
  <c r="F141" i="2" s="1"/>
  <c r="E153" i="2"/>
  <c r="F153" i="2" s="1"/>
  <c r="E165" i="2"/>
  <c r="F165" i="2" s="1"/>
  <c r="E177" i="2"/>
  <c r="E189" i="2"/>
  <c r="E201" i="2"/>
  <c r="F201" i="2" s="1"/>
  <c r="E213" i="2"/>
  <c r="F213" i="2" s="1"/>
  <c r="H9" i="2"/>
  <c r="H34" i="2"/>
  <c r="H62" i="2"/>
  <c r="H89" i="2"/>
  <c r="H114" i="2"/>
  <c r="H142" i="2"/>
  <c r="H170" i="2"/>
  <c r="H197" i="2"/>
  <c r="H222" i="2"/>
  <c r="H250" i="2"/>
  <c r="H276" i="2"/>
  <c r="H301" i="2"/>
  <c r="H330" i="2"/>
  <c r="H358" i="2"/>
  <c r="H384" i="2"/>
  <c r="H409" i="2"/>
  <c r="H440" i="2"/>
  <c r="H466" i="2"/>
  <c r="H489" i="2"/>
  <c r="H519" i="2"/>
  <c r="H548" i="2"/>
  <c r="H574" i="2"/>
  <c r="H599" i="2"/>
  <c r="H627" i="2"/>
  <c r="H654" i="2"/>
  <c r="H679" i="2"/>
  <c r="H707" i="2"/>
  <c r="H735" i="2"/>
  <c r="H762" i="2"/>
  <c r="H787" i="2"/>
  <c r="H815" i="2"/>
  <c r="H841" i="2"/>
  <c r="H866" i="2"/>
  <c r="H895" i="2"/>
  <c r="H925" i="2"/>
  <c r="H951" i="2"/>
  <c r="H977" i="2"/>
  <c r="H1005" i="2"/>
  <c r="H1031" i="2"/>
  <c r="H1056" i="2"/>
  <c r="H1085" i="2"/>
  <c r="H1113" i="2"/>
  <c r="H1139" i="2"/>
  <c r="H1164" i="2"/>
  <c r="H1193" i="2"/>
  <c r="H1219" i="2"/>
  <c r="H1244" i="2"/>
  <c r="H1272" i="2"/>
  <c r="H1301" i="2"/>
  <c r="H1327" i="2"/>
  <c r="H1352" i="2"/>
  <c r="H1382" i="2"/>
  <c r="H1409" i="2"/>
  <c r="H1431" i="2"/>
  <c r="H1462" i="2"/>
  <c r="H1490" i="2"/>
  <c r="H1517" i="2"/>
  <c r="H1542" i="2"/>
  <c r="H1570" i="2"/>
  <c r="H1596" i="2"/>
  <c r="H1621" i="2"/>
  <c r="H1650" i="2"/>
  <c r="H1678" i="2"/>
  <c r="H1704" i="2"/>
  <c r="H1729" i="2"/>
  <c r="H1758" i="2"/>
  <c r="H1784" i="2"/>
  <c r="H1809" i="2"/>
  <c r="H1837" i="2"/>
  <c r="H1868" i="2"/>
  <c r="H1894" i="2"/>
  <c r="H1919" i="2"/>
  <c r="H1947" i="2"/>
  <c r="H1974" i="2"/>
  <c r="H1999" i="2"/>
  <c r="H2027" i="2"/>
  <c r="H2055" i="2"/>
  <c r="H2082" i="2"/>
  <c r="H2107" i="2"/>
  <c r="H2135" i="2"/>
  <c r="H2161" i="2"/>
  <c r="H2186" i="2"/>
  <c r="H2215" i="2"/>
  <c r="H2243" i="2"/>
  <c r="H2269" i="2"/>
  <c r="H2294" i="2"/>
  <c r="G8" i="2"/>
  <c r="G34" i="2"/>
  <c r="G57" i="2"/>
  <c r="G88" i="2"/>
  <c r="G116" i="2"/>
  <c r="G142" i="2"/>
  <c r="G167" i="2"/>
  <c r="G196" i="2"/>
  <c r="G222" i="2"/>
  <c r="G247" i="2"/>
  <c r="G275" i="2"/>
  <c r="G304" i="2"/>
  <c r="G330" i="2"/>
  <c r="G354" i="2"/>
  <c r="G379" i="2"/>
  <c r="G402" i="2"/>
  <c r="G427" i="2"/>
  <c r="G448" i="2"/>
  <c r="G473" i="2"/>
  <c r="G496" i="2"/>
  <c r="G521" i="2"/>
  <c r="G541" i="2"/>
  <c r="G562" i="2"/>
  <c r="G586" i="2"/>
  <c r="G605" i="2"/>
  <c r="G625" i="2"/>
  <c r="G649" i="2"/>
  <c r="G665" i="2"/>
  <c r="G680" i="2"/>
  <c r="G695" i="2"/>
  <c r="G710" i="2"/>
  <c r="G728" i="2"/>
  <c r="G743" i="2"/>
  <c r="G758" i="2"/>
  <c r="G774" i="2"/>
  <c r="G789" i="2"/>
  <c r="G806" i="2"/>
  <c r="G822" i="2"/>
  <c r="G837" i="2"/>
  <c r="G852" i="2"/>
  <c r="G868" i="2"/>
  <c r="G885" i="2"/>
  <c r="G900" i="2"/>
  <c r="G916" i="2"/>
  <c r="G931" i="2"/>
  <c r="G946" i="2"/>
  <c r="G964" i="2"/>
  <c r="G979" i="2"/>
  <c r="G994" i="2"/>
  <c r="G1009" i="2"/>
  <c r="G1025" i="2"/>
  <c r="G1042" i="2"/>
  <c r="G1057" i="2"/>
  <c r="G1073" i="2"/>
  <c r="G1088" i="2"/>
  <c r="G1103" i="2"/>
  <c r="G1121" i="2"/>
  <c r="G1136" i="2"/>
  <c r="G1151" i="2"/>
  <c r="G1166" i="2"/>
  <c r="G1182" i="2"/>
  <c r="G1199" i="2"/>
  <c r="G1214" i="2"/>
  <c r="G1230" i="2"/>
  <c r="G1245" i="2"/>
  <c r="G1260" i="2"/>
  <c r="G1278" i="2"/>
  <c r="G1293" i="2"/>
  <c r="G1308" i="2"/>
  <c r="G1324" i="2"/>
  <c r="G1339" i="2"/>
  <c r="G1356" i="2"/>
  <c r="G1370" i="2"/>
  <c r="G1384" i="2"/>
  <c r="G1398" i="2"/>
  <c r="G1412" i="2"/>
  <c r="G1428" i="2"/>
  <c r="G1442" i="2"/>
  <c r="G1456" i="2"/>
  <c r="G1470" i="2"/>
  <c r="G1484" i="2"/>
  <c r="G1500" i="2"/>
  <c r="G1514" i="2"/>
  <c r="G1528" i="2"/>
  <c r="G1542" i="2"/>
  <c r="G1556" i="2"/>
  <c r="G1572" i="2"/>
  <c r="G1586" i="2"/>
  <c r="G1600" i="2"/>
  <c r="G1614" i="2"/>
  <c r="G1628" i="2"/>
  <c r="G1644" i="2"/>
  <c r="G1658" i="2"/>
  <c r="G1672" i="2"/>
  <c r="G1686" i="2"/>
  <c r="G1700" i="2"/>
  <c r="G1716" i="2"/>
  <c r="G1730" i="2"/>
  <c r="G1744" i="2"/>
  <c r="G1758" i="2"/>
  <c r="G1772" i="2"/>
  <c r="G1788" i="2"/>
  <c r="G1802" i="2"/>
  <c r="G1816" i="2"/>
  <c r="G1830" i="2"/>
  <c r="G1844" i="2"/>
  <c r="G1860" i="2"/>
  <c r="G1874" i="2"/>
  <c r="G1888" i="2"/>
  <c r="G1902" i="2"/>
  <c r="G1916" i="2"/>
  <c r="G1932" i="2"/>
  <c r="G1946" i="2"/>
  <c r="G1960" i="2"/>
  <c r="G1974" i="2"/>
  <c r="G1988" i="2"/>
  <c r="G2002" i="2"/>
  <c r="G2015" i="2"/>
  <c r="G2027" i="2"/>
  <c r="G2039" i="2"/>
  <c r="G2051" i="2"/>
  <c r="G2063" i="2"/>
  <c r="G2075" i="2"/>
  <c r="G2087" i="2"/>
  <c r="G2099" i="2"/>
  <c r="G2111" i="2"/>
  <c r="G2123" i="2"/>
  <c r="G2135" i="2"/>
  <c r="G2147" i="2"/>
  <c r="G2159" i="2"/>
  <c r="G2171" i="2"/>
  <c r="G2183" i="2"/>
  <c r="G2195" i="2"/>
  <c r="G2207" i="2"/>
  <c r="G2219" i="2"/>
  <c r="G2231" i="2"/>
  <c r="G2243" i="2"/>
  <c r="G2255" i="2"/>
  <c r="G2267" i="2"/>
  <c r="G2279" i="2"/>
  <c r="G2291" i="2"/>
  <c r="G2303" i="2"/>
  <c r="G2315" i="2"/>
  <c r="E10" i="2"/>
  <c r="F10" i="2" s="1"/>
  <c r="E22" i="2"/>
  <c r="E34" i="2"/>
  <c r="E46" i="2"/>
  <c r="F46" i="2" s="1"/>
  <c r="E58" i="2"/>
  <c r="F58" i="2" s="1"/>
  <c r="E70" i="2"/>
  <c r="F70" i="2" s="1"/>
  <c r="E82" i="2"/>
  <c r="E94" i="2"/>
  <c r="E106" i="2"/>
  <c r="E118" i="2"/>
  <c r="E130" i="2"/>
  <c r="F130" i="2" s="1"/>
  <c r="E142" i="2"/>
  <c r="F142" i="2" s="1"/>
  <c r="E154" i="2"/>
  <c r="F154" i="2" s="1"/>
  <c r="E166" i="2"/>
  <c r="E178" i="2"/>
  <c r="E190" i="2"/>
  <c r="F190" i="2" s="1"/>
  <c r="E202" i="2"/>
  <c r="F202" i="2" s="1"/>
  <c r="E214" i="2"/>
  <c r="F214" i="2" s="1"/>
  <c r="H10" i="2"/>
  <c r="H35" i="2"/>
  <c r="H63" i="2"/>
  <c r="H92" i="2"/>
  <c r="H118" i="2"/>
  <c r="H143" i="2"/>
  <c r="H171" i="2"/>
  <c r="H198" i="2"/>
  <c r="H223" i="2"/>
  <c r="H251" i="2"/>
  <c r="H279" i="2"/>
  <c r="H306" i="2"/>
  <c r="H331" i="2"/>
  <c r="H361" i="2"/>
  <c r="H387" i="2"/>
  <c r="H410" i="2"/>
  <c r="H441" i="2"/>
  <c r="H469" i="2"/>
  <c r="H495" i="2"/>
  <c r="H521" i="2"/>
  <c r="H549" i="2"/>
  <c r="H575" i="2"/>
  <c r="H600" i="2"/>
  <c r="H629" i="2"/>
  <c r="H657" i="2"/>
  <c r="H683" i="2"/>
  <c r="H708" i="2"/>
  <c r="H737" i="2"/>
  <c r="H763" i="2"/>
  <c r="H788" i="2"/>
  <c r="H816" i="2"/>
  <c r="H847" i="2"/>
  <c r="H873" i="2"/>
  <c r="H898" i="2"/>
  <c r="H926" i="2"/>
  <c r="H953" i="2"/>
  <c r="H978" i="2"/>
  <c r="H1006" i="2"/>
  <c r="H1034" i="2"/>
  <c r="H1061" i="2"/>
  <c r="H1086" i="2"/>
  <c r="H1114" i="2"/>
  <c r="H1140" i="2"/>
  <c r="H1165" i="2"/>
  <c r="H1194" i="2"/>
  <c r="H1222" i="2"/>
  <c r="H1248" i="2"/>
  <c r="H1273" i="2"/>
  <c r="H1304" i="2"/>
  <c r="H1330" i="2"/>
  <c r="H1353" i="2"/>
  <c r="H1383" i="2"/>
  <c r="H1412" i="2"/>
  <c r="H1438" i="2"/>
  <c r="H1463" i="2"/>
  <c r="H1491" i="2"/>
  <c r="H1518" i="2"/>
  <c r="H1543" i="2"/>
  <c r="H1571" i="2"/>
  <c r="H1599" i="2"/>
  <c r="H1626" i="2"/>
  <c r="H1651" i="2"/>
  <c r="H1679" i="2"/>
  <c r="H1705" i="2"/>
  <c r="H1730" i="2"/>
  <c r="H1759" i="2"/>
  <c r="H1789" i="2"/>
  <c r="H1815" i="2"/>
  <c r="H1841" i="2"/>
  <c r="H1869" i="2"/>
  <c r="H1895" i="2"/>
  <c r="H1920" i="2"/>
  <c r="H1949" i="2"/>
  <c r="H1977" i="2"/>
  <c r="H2003" i="2"/>
  <c r="H2028" i="2"/>
  <c r="H2057" i="2"/>
  <c r="H2083" i="2"/>
  <c r="H2108" i="2"/>
  <c r="H2136" i="2"/>
  <c r="H2165" i="2"/>
  <c r="H2191" i="2"/>
  <c r="H2216" i="2"/>
  <c r="H2246" i="2"/>
  <c r="H2273" i="2"/>
  <c r="H2295" i="2"/>
  <c r="G9" i="2"/>
  <c r="G37" i="2"/>
  <c r="G64" i="2"/>
  <c r="G89" i="2"/>
  <c r="G117" i="2"/>
  <c r="G143" i="2"/>
  <c r="G168" i="2"/>
  <c r="G197" i="2"/>
  <c r="G225" i="2"/>
  <c r="G251" i="2"/>
  <c r="G276" i="2"/>
  <c r="G305" i="2"/>
  <c r="G331" i="2"/>
  <c r="G355" i="2"/>
  <c r="G381" i="2"/>
  <c r="G403" i="2"/>
  <c r="G429" i="2"/>
  <c r="G449" i="2"/>
  <c r="G475" i="2"/>
  <c r="G497" i="2"/>
  <c r="G523" i="2"/>
  <c r="G545" i="2"/>
  <c r="G565" i="2"/>
  <c r="G587" i="2"/>
  <c r="G606" i="2"/>
  <c r="G629" i="2"/>
  <c r="G650" i="2"/>
  <c r="G666" i="2"/>
  <c r="G681" i="2"/>
  <c r="G696" i="2"/>
  <c r="G712" i="2"/>
  <c r="G729" i="2"/>
  <c r="G744" i="2"/>
  <c r="G760" i="2"/>
  <c r="G775" i="2"/>
  <c r="G790" i="2"/>
  <c r="G808" i="2"/>
  <c r="G823" i="2"/>
  <c r="G838" i="2"/>
  <c r="G853" i="2"/>
  <c r="G869" i="2"/>
  <c r="G886" i="2"/>
  <c r="G901" i="2"/>
  <c r="G917" i="2"/>
  <c r="G932" i="2"/>
  <c r="G947" i="2"/>
  <c r="G965" i="2"/>
  <c r="G980" i="2"/>
  <c r="G995" i="2"/>
  <c r="G1010" i="2"/>
  <c r="G1026" i="2"/>
  <c r="G1043" i="2"/>
  <c r="G1058" i="2"/>
  <c r="G1074" i="2"/>
  <c r="G1089" i="2"/>
  <c r="G1104" i="2"/>
  <c r="G1122" i="2"/>
  <c r="G1137" i="2"/>
  <c r="G1152" i="2"/>
  <c r="G1168" i="2"/>
  <c r="G1183" i="2"/>
  <c r="G1200" i="2"/>
  <c r="G1216" i="2"/>
  <c r="G1231" i="2"/>
  <c r="G1246" i="2"/>
  <c r="G1261" i="2"/>
  <c r="G1279" i="2"/>
  <c r="G1294" i="2"/>
  <c r="G1309" i="2"/>
  <c r="G1325" i="2"/>
  <c r="G1340" i="2"/>
  <c r="G1357" i="2"/>
  <c r="G1371" i="2"/>
  <c r="G1385" i="2"/>
  <c r="G1399" i="2"/>
  <c r="G1413" i="2"/>
  <c r="G1429" i="2"/>
  <c r="G1443" i="2"/>
  <c r="G1457" i="2"/>
  <c r="G1471" i="2"/>
  <c r="G1485" i="2"/>
  <c r="G1501" i="2"/>
  <c r="G1515" i="2"/>
  <c r="G1529" i="2"/>
  <c r="G1543" i="2"/>
  <c r="G1557" i="2"/>
  <c r="G1573" i="2"/>
  <c r="G1587" i="2"/>
  <c r="G1601" i="2"/>
  <c r="G1615" i="2"/>
  <c r="G1629" i="2"/>
  <c r="G1645" i="2"/>
  <c r="G1659" i="2"/>
  <c r="G1673" i="2"/>
  <c r="G1687" i="2"/>
  <c r="G1701" i="2"/>
  <c r="G1717" i="2"/>
  <c r="G1731" i="2"/>
  <c r="G1745" i="2"/>
  <c r="G1759" i="2"/>
  <c r="G1773" i="2"/>
  <c r="G1789" i="2"/>
  <c r="G1803" i="2"/>
  <c r="G1817" i="2"/>
  <c r="G1831" i="2"/>
  <c r="G1845" i="2"/>
  <c r="G1861" i="2"/>
  <c r="G1875" i="2"/>
  <c r="G1889" i="2"/>
  <c r="G1903" i="2"/>
  <c r="G1917" i="2"/>
  <c r="G1933" i="2"/>
  <c r="G1947" i="2"/>
  <c r="G1961" i="2"/>
  <c r="G1975" i="2"/>
  <c r="G1989" i="2"/>
  <c r="G2004" i="2"/>
  <c r="G2016" i="2"/>
  <c r="G2028" i="2"/>
  <c r="G2040" i="2"/>
  <c r="G2052" i="2"/>
  <c r="G2064" i="2"/>
  <c r="G2076" i="2"/>
  <c r="G2088" i="2"/>
  <c r="G2100" i="2"/>
  <c r="G2112" i="2"/>
  <c r="G2124" i="2"/>
  <c r="G2136" i="2"/>
  <c r="G2148" i="2"/>
  <c r="G2160" i="2"/>
  <c r="G2172" i="2"/>
  <c r="G2184" i="2"/>
  <c r="G2196" i="2"/>
  <c r="G2208" i="2"/>
  <c r="G2220" i="2"/>
  <c r="G2232" i="2"/>
  <c r="G2244" i="2"/>
  <c r="G2256" i="2"/>
  <c r="G2268" i="2"/>
  <c r="G2280" i="2"/>
  <c r="G2292" i="2"/>
  <c r="G2304" i="2"/>
  <c r="G2316" i="2"/>
  <c r="E11" i="2"/>
  <c r="E23" i="2"/>
  <c r="E35" i="2"/>
  <c r="F35" i="2" s="1"/>
  <c r="E47" i="2"/>
  <c r="F47" i="2" s="1"/>
  <c r="E59" i="2"/>
  <c r="F59" i="2" s="1"/>
  <c r="E71" i="2"/>
  <c r="E83" i="2"/>
  <c r="E95" i="2"/>
  <c r="E107" i="2"/>
  <c r="E119" i="2"/>
  <c r="F119" i="2" s="1"/>
  <c r="E131" i="2"/>
  <c r="F131" i="2" s="1"/>
  <c r="E143" i="2"/>
  <c r="F143" i="2" s="1"/>
  <c r="E155" i="2"/>
  <c r="E167" i="2"/>
  <c r="E179" i="2"/>
  <c r="F179" i="2" s="1"/>
  <c r="E191" i="2"/>
  <c r="F191" i="2" s="1"/>
  <c r="E203" i="2"/>
  <c r="F203" i="2" s="1"/>
  <c r="E215" i="2"/>
  <c r="H13" i="2"/>
  <c r="H39" i="2"/>
  <c r="H65" i="2"/>
  <c r="H93" i="2"/>
  <c r="H119" i="2"/>
  <c r="H144" i="2"/>
  <c r="H173" i="2"/>
  <c r="H201" i="2"/>
  <c r="H227" i="2"/>
  <c r="H252" i="2"/>
  <c r="H283" i="2"/>
  <c r="H309" i="2"/>
  <c r="H332" i="2"/>
  <c r="H362" i="2"/>
  <c r="H391" i="2"/>
  <c r="H417" i="2"/>
  <c r="H442" i="2"/>
  <c r="H470" i="2"/>
  <c r="H497" i="2"/>
  <c r="H522" i="2"/>
  <c r="H550" i="2"/>
  <c r="H578" i="2"/>
  <c r="H605" i="2"/>
  <c r="H630" i="2"/>
  <c r="H658" i="2"/>
  <c r="H684" i="2"/>
  <c r="H709" i="2"/>
  <c r="H738" i="2"/>
  <c r="H768" i="2"/>
  <c r="H794" i="2"/>
  <c r="H819" i="2"/>
  <c r="H848" i="2"/>
  <c r="H874" i="2"/>
  <c r="H899" i="2"/>
  <c r="H927" i="2"/>
  <c r="H956" i="2"/>
  <c r="H982" i="2"/>
  <c r="H1007" i="2"/>
  <c r="H1035" i="2"/>
  <c r="H1062" i="2"/>
  <c r="H1087" i="2"/>
  <c r="H1115" i="2"/>
  <c r="H1143" i="2"/>
  <c r="H1170" i="2"/>
  <c r="H1195" i="2"/>
  <c r="H1225" i="2"/>
  <c r="H1251" i="2"/>
  <c r="H1274" i="2"/>
  <c r="H1305" i="2"/>
  <c r="H1333" i="2"/>
  <c r="H1359" i="2"/>
  <c r="H1385" i="2"/>
  <c r="H1413" i="2"/>
  <c r="H1439" i="2"/>
  <c r="H1464" i="2"/>
  <c r="H1493" i="2"/>
  <c r="H1521" i="2"/>
  <c r="H1547" i="2"/>
  <c r="H1572" i="2"/>
  <c r="H1601" i="2"/>
  <c r="H1627" i="2"/>
  <c r="H1652" i="2"/>
  <c r="H1680" i="2"/>
  <c r="H1711" i="2"/>
  <c r="H1737" i="2"/>
  <c r="H1762" i="2"/>
  <c r="H1790" i="2"/>
  <c r="H1817" i="2"/>
  <c r="H1842" i="2"/>
  <c r="H1870" i="2"/>
  <c r="H1898" i="2"/>
  <c r="H1925" i="2"/>
  <c r="H1950" i="2"/>
  <c r="H1978" i="2"/>
  <c r="H2004" i="2"/>
  <c r="H2029" i="2"/>
  <c r="H2058" i="2"/>
  <c r="H2086" i="2"/>
  <c r="H2112" i="2"/>
  <c r="H2137" i="2"/>
  <c r="H2168" i="2"/>
  <c r="H2194" i="2"/>
  <c r="H2217" i="2"/>
  <c r="H2247" i="2"/>
  <c r="H2276" i="2"/>
  <c r="H2302" i="2"/>
  <c r="G10" i="2"/>
  <c r="G38" i="2"/>
  <c r="G65" i="2"/>
  <c r="G90" i="2"/>
  <c r="G118" i="2"/>
  <c r="G146" i="2"/>
  <c r="G173" i="2"/>
  <c r="G198" i="2"/>
  <c r="G226" i="2"/>
  <c r="G252" i="2"/>
  <c r="G277" i="2"/>
  <c r="G306" i="2"/>
  <c r="G336" i="2"/>
  <c r="G356" i="2"/>
  <c r="G382" i="2"/>
  <c r="G404" i="2"/>
  <c r="G430" i="2"/>
  <c r="G450" i="2"/>
  <c r="G476" i="2"/>
  <c r="G498" i="2"/>
  <c r="G524" i="2"/>
  <c r="G546" i="2"/>
  <c r="G566" i="2"/>
  <c r="G588" i="2"/>
  <c r="G607" i="2"/>
  <c r="G630" i="2"/>
  <c r="G652" i="2"/>
  <c r="G667" i="2"/>
  <c r="G682" i="2"/>
  <c r="G697" i="2"/>
  <c r="G715" i="2"/>
  <c r="G730" i="2"/>
  <c r="G745" i="2"/>
  <c r="G761" i="2"/>
  <c r="G776" i="2"/>
  <c r="G793" i="2"/>
  <c r="G809" i="2"/>
  <c r="G824" i="2"/>
  <c r="G839" i="2"/>
  <c r="G854" i="2"/>
  <c r="G872" i="2"/>
  <c r="G887" i="2"/>
  <c r="G902" i="2"/>
  <c r="G918" i="2"/>
  <c r="G933" i="2"/>
  <c r="G950" i="2"/>
  <c r="G966" i="2"/>
  <c r="G981" i="2"/>
  <c r="G996" i="2"/>
  <c r="G1012" i="2"/>
  <c r="G1029" i="2"/>
  <c r="G1044" i="2"/>
  <c r="G1060" i="2"/>
  <c r="G1075" i="2"/>
  <c r="G1090" i="2"/>
  <c r="G1108" i="2"/>
  <c r="G1123" i="2"/>
  <c r="G1138" i="2"/>
  <c r="G1153" i="2"/>
  <c r="G1169" i="2"/>
  <c r="G1186" i="2"/>
  <c r="G1201" i="2"/>
  <c r="G1217" i="2"/>
  <c r="G1232" i="2"/>
  <c r="G1247" i="2"/>
  <c r="G1265" i="2"/>
  <c r="G1280" i="2"/>
  <c r="G1295" i="2"/>
  <c r="G1310" i="2"/>
  <c r="G1326" i="2"/>
  <c r="G1343" i="2"/>
  <c r="G1358" i="2"/>
  <c r="G1372" i="2"/>
  <c r="G1386" i="2"/>
  <c r="G1400" i="2"/>
  <c r="G1416" i="2"/>
  <c r="G1430" i="2"/>
  <c r="G1444" i="2"/>
  <c r="G1458" i="2"/>
  <c r="G1472" i="2"/>
  <c r="G1488" i="2"/>
  <c r="G1502" i="2"/>
  <c r="G1516" i="2"/>
  <c r="G1530" i="2"/>
  <c r="G1544" i="2"/>
  <c r="G1560" i="2"/>
  <c r="G1574" i="2"/>
  <c r="G1588" i="2"/>
  <c r="G1602" i="2"/>
  <c r="G1616" i="2"/>
  <c r="G1632" i="2"/>
  <c r="G1646" i="2"/>
  <c r="G1660" i="2"/>
  <c r="G1674" i="2"/>
  <c r="G1688" i="2"/>
  <c r="G1704" i="2"/>
  <c r="G1718" i="2"/>
  <c r="G1732" i="2"/>
  <c r="G1746" i="2"/>
  <c r="G1760" i="2"/>
  <c r="G1776" i="2"/>
  <c r="G1790" i="2"/>
  <c r="G1804" i="2"/>
  <c r="G1818" i="2"/>
  <c r="G1832" i="2"/>
  <c r="G1848" i="2"/>
  <c r="G1862" i="2"/>
  <c r="G1876" i="2"/>
  <c r="G1890" i="2"/>
  <c r="G1904" i="2"/>
  <c r="G1920" i="2"/>
  <c r="G1934" i="2"/>
  <c r="G1948" i="2"/>
  <c r="G1962" i="2"/>
  <c r="G1976" i="2"/>
  <c r="G1992" i="2"/>
  <c r="G2005" i="2"/>
  <c r="G2017" i="2"/>
  <c r="G2029" i="2"/>
  <c r="G2041" i="2"/>
  <c r="G2053" i="2"/>
  <c r="G2065" i="2"/>
  <c r="G2077" i="2"/>
  <c r="G2089" i="2"/>
  <c r="G2101" i="2"/>
  <c r="G2113" i="2"/>
  <c r="G2125" i="2"/>
  <c r="G2137" i="2"/>
  <c r="G2149" i="2"/>
  <c r="G2161" i="2"/>
  <c r="G2173" i="2"/>
  <c r="G2185" i="2"/>
  <c r="G2197" i="2"/>
  <c r="G2209" i="2"/>
  <c r="G2221" i="2"/>
  <c r="G2233" i="2"/>
  <c r="G2245" i="2"/>
  <c r="G2257" i="2"/>
  <c r="G2269" i="2"/>
  <c r="G2281" i="2"/>
  <c r="G2293" i="2"/>
  <c r="G2305" i="2"/>
  <c r="G2317" i="2"/>
  <c r="E12" i="2"/>
  <c r="E24" i="2"/>
  <c r="F24" i="2" s="1"/>
  <c r="E36" i="2"/>
  <c r="F36" i="2" s="1"/>
  <c r="E48" i="2"/>
  <c r="F48" i="2" s="1"/>
  <c r="E60" i="2"/>
  <c r="E72" i="2"/>
  <c r="E84" i="2"/>
  <c r="E96" i="2"/>
  <c r="E108" i="2"/>
  <c r="F108" i="2" s="1"/>
  <c r="E120" i="2"/>
  <c r="F120" i="2" s="1"/>
  <c r="E132" i="2"/>
  <c r="F132" i="2" s="1"/>
  <c r="E144" i="2"/>
  <c r="E156" i="2"/>
  <c r="E168" i="2"/>
  <c r="F168" i="2" s="1"/>
  <c r="E180" i="2"/>
  <c r="F180" i="2" s="1"/>
  <c r="E192" i="2"/>
  <c r="F192" i="2" s="1"/>
  <c r="E204" i="2"/>
  <c r="E216" i="2"/>
  <c r="H14" i="2"/>
  <c r="H41" i="2"/>
  <c r="H66" i="2"/>
  <c r="H94" i="2"/>
  <c r="H122" i="2"/>
  <c r="H149" i="2"/>
  <c r="H174" i="2"/>
  <c r="H204" i="2"/>
  <c r="H230" i="2"/>
  <c r="H253" i="2"/>
  <c r="H284" i="2"/>
  <c r="H312" i="2"/>
  <c r="H338" i="2"/>
  <c r="H363" i="2"/>
  <c r="H392" i="2"/>
  <c r="H418" i="2"/>
  <c r="H443" i="2"/>
  <c r="H471" i="2"/>
  <c r="H500" i="2"/>
  <c r="H526" i="2"/>
  <c r="H551" i="2"/>
  <c r="H579" i="2"/>
  <c r="H606" i="2"/>
  <c r="H631" i="2"/>
  <c r="H659" i="2"/>
  <c r="H690" i="2"/>
  <c r="H716" i="2"/>
  <c r="H741" i="2"/>
  <c r="H769" i="2"/>
  <c r="H795" i="2"/>
  <c r="H821" i="2"/>
  <c r="H849" i="2"/>
  <c r="H877" i="2"/>
  <c r="H903" i="2"/>
  <c r="H929" i="2"/>
  <c r="H957" i="2"/>
  <c r="H983" i="2"/>
  <c r="H1008" i="2"/>
  <c r="H1037" i="2"/>
  <c r="H1065" i="2"/>
  <c r="H1091" i="2"/>
  <c r="H1116" i="2"/>
  <c r="H1147" i="2"/>
  <c r="H1173" i="2"/>
  <c r="H1196" i="2"/>
  <c r="H1226" i="2"/>
  <c r="H1255" i="2"/>
  <c r="H1281" i="2"/>
  <c r="H1306" i="2"/>
  <c r="H1334" i="2"/>
  <c r="H1361" i="2"/>
  <c r="H1386" i="2"/>
  <c r="H1414" i="2"/>
  <c r="H1442" i="2"/>
  <c r="H1469" i="2"/>
  <c r="H1494" i="2"/>
  <c r="H1522" i="2"/>
  <c r="H1548" i="2"/>
  <c r="H1573" i="2"/>
  <c r="H1602" i="2"/>
  <c r="H1632" i="2"/>
  <c r="H1658" i="2"/>
  <c r="H1683" i="2"/>
  <c r="H1712" i="2"/>
  <c r="H1738" i="2"/>
  <c r="H1763" i="2"/>
  <c r="H1791" i="2"/>
  <c r="H1820" i="2"/>
  <c r="H1846" i="2"/>
  <c r="H1871" i="2"/>
  <c r="H1899" i="2"/>
  <c r="H1926" i="2"/>
  <c r="H1951" i="2"/>
  <c r="H1979" i="2"/>
  <c r="H2007" i="2"/>
  <c r="H2034" i="2"/>
  <c r="H2059" i="2"/>
  <c r="H2089" i="2"/>
  <c r="H2115" i="2"/>
  <c r="H2138" i="2"/>
  <c r="H2169" i="2"/>
  <c r="H2197" i="2"/>
  <c r="H2223" i="2"/>
  <c r="H2249" i="2"/>
  <c r="H2277" i="2"/>
  <c r="H2303" i="2"/>
  <c r="G11" i="2"/>
  <c r="G40" i="2"/>
  <c r="G68" i="2"/>
  <c r="G94" i="2"/>
  <c r="G119" i="2"/>
  <c r="G148" i="2"/>
  <c r="G174" i="2"/>
  <c r="G199" i="2"/>
  <c r="G227" i="2"/>
  <c r="G258" i="2"/>
  <c r="G284" i="2"/>
  <c r="G309" i="2"/>
  <c r="G337" i="2"/>
  <c r="G362" i="2"/>
  <c r="G383" i="2"/>
  <c r="G408" i="2"/>
  <c r="G431" i="2"/>
  <c r="G456" i="2"/>
  <c r="G479" i="2"/>
  <c r="G502" i="2"/>
  <c r="G525" i="2"/>
  <c r="G547" i="2"/>
  <c r="G571" i="2"/>
  <c r="G589" i="2"/>
  <c r="G610" i="2"/>
  <c r="G632" i="2"/>
  <c r="G653" i="2"/>
  <c r="G668" i="2"/>
  <c r="G683" i="2"/>
  <c r="G698" i="2"/>
  <c r="G716" i="2"/>
  <c r="G731" i="2"/>
  <c r="G746" i="2"/>
  <c r="G762" i="2"/>
  <c r="G777" i="2"/>
  <c r="G794" i="2"/>
  <c r="G810" i="2"/>
  <c r="G825" i="2"/>
  <c r="G840" i="2"/>
  <c r="G856" i="2"/>
  <c r="G873" i="2"/>
  <c r="G888" i="2"/>
  <c r="G904" i="2"/>
  <c r="G919" i="2"/>
  <c r="G934" i="2"/>
  <c r="G952" i="2"/>
  <c r="G967" i="2"/>
  <c r="G982" i="2"/>
  <c r="G997" i="2"/>
  <c r="G1013" i="2"/>
  <c r="G1030" i="2"/>
  <c r="G1045" i="2"/>
  <c r="G1061" i="2"/>
  <c r="G1076" i="2"/>
  <c r="G1091" i="2"/>
  <c r="G1109" i="2"/>
  <c r="G1124" i="2"/>
  <c r="G1139" i="2"/>
  <c r="G1154" i="2"/>
  <c r="G1170" i="2"/>
  <c r="G1187" i="2"/>
  <c r="G1202" i="2"/>
  <c r="G1218" i="2"/>
  <c r="G1233" i="2"/>
  <c r="G1248" i="2"/>
  <c r="G1266" i="2"/>
  <c r="G1281" i="2"/>
  <c r="G1296" i="2"/>
  <c r="G1312" i="2"/>
  <c r="G1327" i="2"/>
  <c r="G1344" i="2"/>
  <c r="G1359" i="2"/>
  <c r="G1373" i="2"/>
  <c r="G1387" i="2"/>
  <c r="G1401" i="2"/>
  <c r="G1417" i="2"/>
  <c r="G1431" i="2"/>
  <c r="G1445" i="2"/>
  <c r="G1459" i="2"/>
  <c r="G1473" i="2"/>
  <c r="G1489" i="2"/>
  <c r="G1503" i="2"/>
  <c r="G1517" i="2"/>
  <c r="G1531" i="2"/>
  <c r="G1545" i="2"/>
  <c r="G1561" i="2"/>
  <c r="G1575" i="2"/>
  <c r="G1589" i="2"/>
  <c r="G1603" i="2"/>
  <c r="G1617" i="2"/>
  <c r="G1633" i="2"/>
  <c r="G1647" i="2"/>
  <c r="G1661" i="2"/>
  <c r="G1675" i="2"/>
  <c r="G1689" i="2"/>
  <c r="G1705" i="2"/>
  <c r="G1719" i="2"/>
  <c r="G1733" i="2"/>
  <c r="G1747" i="2"/>
  <c r="G1761" i="2"/>
  <c r="G1777" i="2"/>
  <c r="G1791" i="2"/>
  <c r="G1805" i="2"/>
  <c r="G1819" i="2"/>
  <c r="G1833" i="2"/>
  <c r="G1849" i="2"/>
  <c r="G1863" i="2"/>
  <c r="G1877" i="2"/>
  <c r="G1891" i="2"/>
  <c r="G1905" i="2"/>
  <c r="G1921" i="2"/>
  <c r="G1935" i="2"/>
  <c r="G1949" i="2"/>
  <c r="G1963" i="2"/>
  <c r="G1977" i="2"/>
  <c r="G1993" i="2"/>
  <c r="G2006" i="2"/>
  <c r="G2018" i="2"/>
  <c r="G2030" i="2"/>
  <c r="G2042" i="2"/>
  <c r="G2054" i="2"/>
  <c r="G2066" i="2"/>
  <c r="G2078" i="2"/>
  <c r="G2090" i="2"/>
  <c r="G2102" i="2"/>
  <c r="G2114" i="2"/>
  <c r="G2126" i="2"/>
  <c r="G2138" i="2"/>
  <c r="G2150" i="2"/>
  <c r="G2162" i="2"/>
  <c r="G2174" i="2"/>
  <c r="G2186" i="2"/>
  <c r="G2198" i="2"/>
  <c r="G2210" i="2"/>
  <c r="G2222" i="2"/>
  <c r="G2234" i="2"/>
  <c r="G2246" i="2"/>
  <c r="G2258" i="2"/>
  <c r="G2270" i="2"/>
  <c r="G2282" i="2"/>
  <c r="G2294" i="2"/>
  <c r="G2306" i="2"/>
  <c r="G2318" i="2"/>
  <c r="E13" i="2"/>
  <c r="F13" i="2" s="1"/>
  <c r="E25" i="2"/>
  <c r="F25" i="2" s="1"/>
  <c r="E37" i="2"/>
  <c r="F37" i="2" s="1"/>
  <c r="E49" i="2"/>
  <c r="E61" i="2"/>
  <c r="E73" i="2"/>
  <c r="E85" i="2"/>
  <c r="E97" i="2"/>
  <c r="F97" i="2" s="1"/>
  <c r="E109" i="2"/>
  <c r="F109" i="2" s="1"/>
  <c r="E121" i="2"/>
  <c r="F121" i="2" s="1"/>
  <c r="E133" i="2"/>
  <c r="E145" i="2"/>
  <c r="E157" i="2"/>
  <c r="F157" i="2" s="1"/>
  <c r="E169" i="2"/>
  <c r="F169" i="2" s="1"/>
  <c r="E181" i="2"/>
  <c r="F181" i="2" s="1"/>
  <c r="E193" i="2"/>
  <c r="E205" i="2"/>
  <c r="E217" i="2"/>
  <c r="H15" i="2"/>
  <c r="H44" i="2"/>
  <c r="H70" i="2"/>
  <c r="H95" i="2"/>
  <c r="H126" i="2"/>
  <c r="H152" i="2"/>
  <c r="H175" i="2"/>
  <c r="H205" i="2"/>
  <c r="H234" i="2"/>
  <c r="H260" i="2"/>
  <c r="H285" i="2"/>
  <c r="H313" i="2"/>
  <c r="H339" i="2"/>
  <c r="H365" i="2"/>
  <c r="H393" i="2"/>
  <c r="H421" i="2"/>
  <c r="H447" i="2"/>
  <c r="H473" i="2"/>
  <c r="H501" i="2"/>
  <c r="H527" i="2"/>
  <c r="H552" i="2"/>
  <c r="H581" i="2"/>
  <c r="H611" i="2"/>
  <c r="H637" i="2"/>
  <c r="H662" i="2"/>
  <c r="H691" i="2"/>
  <c r="H717" i="2"/>
  <c r="H742" i="2"/>
  <c r="H770" i="2"/>
  <c r="H799" i="2"/>
  <c r="H825" i="2"/>
  <c r="H850" i="2"/>
  <c r="H878" i="2"/>
  <c r="H905" i="2"/>
  <c r="H930" i="2"/>
  <c r="H958" i="2"/>
  <c r="H986" i="2"/>
  <c r="H1013" i="2"/>
  <c r="H1038" i="2"/>
  <c r="H1068" i="2"/>
  <c r="H1094" i="2"/>
  <c r="H1117" i="2"/>
  <c r="H1148" i="2"/>
  <c r="H1176" i="2"/>
  <c r="H1202" i="2"/>
  <c r="H1227" i="2"/>
  <c r="H1256" i="2"/>
  <c r="H1282" i="2"/>
  <c r="H1307" i="2"/>
  <c r="H1335" i="2"/>
  <c r="H1364" i="2"/>
  <c r="H1390" i="2"/>
  <c r="H1415" i="2"/>
  <c r="H1443" i="2"/>
  <c r="H1470" i="2"/>
  <c r="H1495" i="2"/>
  <c r="H1523" i="2"/>
  <c r="H1554" i="2"/>
  <c r="H1580" i="2"/>
  <c r="H1605" i="2"/>
  <c r="H1633" i="2"/>
  <c r="H1659" i="2"/>
  <c r="H1685" i="2"/>
  <c r="H1713" i="2"/>
  <c r="H1741" i="2"/>
  <c r="H1767" i="2"/>
  <c r="H1793" i="2"/>
  <c r="H1821" i="2"/>
  <c r="H1847" i="2"/>
  <c r="H1872" i="2"/>
  <c r="H1901" i="2"/>
  <c r="H1929" i="2"/>
  <c r="H1955" i="2"/>
  <c r="H1980" i="2"/>
  <c r="H2011" i="2"/>
  <c r="H2037" i="2"/>
  <c r="H2060" i="2"/>
  <c r="H2090" i="2"/>
  <c r="H2119" i="2"/>
  <c r="H2145" i="2"/>
  <c r="H2170" i="2"/>
  <c r="H2198" i="2"/>
  <c r="H2225" i="2"/>
  <c r="H2250" i="2"/>
  <c r="H2278" i="2"/>
  <c r="H2306" i="2"/>
  <c r="G16" i="2"/>
  <c r="G41" i="2"/>
  <c r="G69" i="2"/>
  <c r="G95" i="2"/>
  <c r="G120" i="2"/>
  <c r="G149" i="2"/>
  <c r="G179" i="2"/>
  <c r="G205" i="2"/>
  <c r="G230" i="2"/>
  <c r="G259" i="2"/>
  <c r="G285" i="2"/>
  <c r="G310" i="2"/>
  <c r="G338" i="2"/>
  <c r="G364" i="2"/>
  <c r="G384" i="2"/>
  <c r="G409" i="2"/>
  <c r="G432" i="2"/>
  <c r="G457" i="2"/>
  <c r="G480" i="2"/>
  <c r="G505" i="2"/>
  <c r="G526" i="2"/>
  <c r="G550" i="2"/>
  <c r="G572" i="2"/>
  <c r="G590" i="2"/>
  <c r="G613" i="2"/>
  <c r="G633" i="2"/>
  <c r="G654" i="2"/>
  <c r="G669" i="2"/>
  <c r="G684" i="2"/>
  <c r="G702" i="2"/>
  <c r="G717" i="2"/>
  <c r="G732" i="2"/>
  <c r="G748" i="2"/>
  <c r="G763" i="2"/>
  <c r="G780" i="2"/>
  <c r="G796" i="2"/>
  <c r="G811" i="2"/>
  <c r="G826" i="2"/>
  <c r="G841" i="2"/>
  <c r="G859" i="2"/>
  <c r="G874" i="2"/>
  <c r="G889" i="2"/>
  <c r="G905" i="2"/>
  <c r="G920" i="2"/>
  <c r="G937" i="2"/>
  <c r="G953" i="2"/>
  <c r="G968" i="2"/>
  <c r="G983" i="2"/>
  <c r="G998" i="2"/>
  <c r="G1016" i="2"/>
  <c r="G1031" i="2"/>
  <c r="G1046" i="2"/>
  <c r="G1062" i="2"/>
  <c r="G1077" i="2"/>
  <c r="G1094" i="2"/>
  <c r="G1110" i="2"/>
  <c r="G1125" i="2"/>
  <c r="G1140" i="2"/>
  <c r="G1156" i="2"/>
  <c r="G1173" i="2"/>
  <c r="G1188" i="2"/>
  <c r="G1204" i="2"/>
  <c r="G1219" i="2"/>
  <c r="G1234" i="2"/>
  <c r="G1252" i="2"/>
  <c r="G1267" i="2"/>
  <c r="G1282" i="2"/>
  <c r="G1297" i="2"/>
  <c r="G1313" i="2"/>
  <c r="G1330" i="2"/>
  <c r="G1345" i="2"/>
  <c r="G1360" i="2"/>
  <c r="G1374" i="2"/>
  <c r="G1388" i="2"/>
  <c r="G1404" i="2"/>
  <c r="G1418" i="2"/>
  <c r="G1432" i="2"/>
  <c r="G1446" i="2"/>
  <c r="G1460" i="2"/>
  <c r="G1476" i="2"/>
  <c r="G1490" i="2"/>
  <c r="G1504" i="2"/>
  <c r="G1518" i="2"/>
  <c r="G1532" i="2"/>
  <c r="G1548" i="2"/>
  <c r="G1562" i="2"/>
  <c r="G1576" i="2"/>
  <c r="G1590" i="2"/>
  <c r="G1604" i="2"/>
  <c r="G1620" i="2"/>
  <c r="G1634" i="2"/>
  <c r="G1648" i="2"/>
  <c r="G1662" i="2"/>
  <c r="G1676" i="2"/>
  <c r="G1692" i="2"/>
  <c r="G1706" i="2"/>
  <c r="G1720" i="2"/>
  <c r="G1734" i="2"/>
  <c r="G1748" i="2"/>
  <c r="G1764" i="2"/>
  <c r="G1778" i="2"/>
  <c r="G1792" i="2"/>
  <c r="G1806" i="2"/>
  <c r="G1820" i="2"/>
  <c r="G1836" i="2"/>
  <c r="G1850" i="2"/>
  <c r="G1864" i="2"/>
  <c r="G1878" i="2"/>
  <c r="G1892" i="2"/>
  <c r="G1908" i="2"/>
  <c r="G1922" i="2"/>
  <c r="G1936" i="2"/>
  <c r="G1950" i="2"/>
  <c r="G1964" i="2"/>
  <c r="G1980" i="2"/>
  <c r="G1994" i="2"/>
  <c r="G2007" i="2"/>
  <c r="G2019" i="2"/>
  <c r="G2031" i="2"/>
  <c r="G2043" i="2"/>
  <c r="G2055" i="2"/>
  <c r="G2067" i="2"/>
  <c r="G2079" i="2"/>
  <c r="G2091" i="2"/>
  <c r="G2103" i="2"/>
  <c r="G2115" i="2"/>
  <c r="G2127" i="2"/>
  <c r="G2139" i="2"/>
  <c r="G2151" i="2"/>
  <c r="G2163" i="2"/>
  <c r="G2175" i="2"/>
  <c r="G2187" i="2"/>
  <c r="G2199" i="2"/>
  <c r="G2211" i="2"/>
  <c r="G2223" i="2"/>
  <c r="G2235" i="2"/>
  <c r="G2247" i="2"/>
  <c r="G2259" i="2"/>
  <c r="G2271" i="2"/>
  <c r="G2283" i="2"/>
  <c r="G2295" i="2"/>
  <c r="G2307" i="2"/>
  <c r="G2319" i="2"/>
  <c r="E14" i="2"/>
  <c r="F14" i="2" s="1"/>
  <c r="E26" i="2"/>
  <c r="F26" i="2" s="1"/>
  <c r="E38" i="2"/>
  <c r="E50" i="2"/>
  <c r="E62" i="2"/>
  <c r="E74" i="2"/>
  <c r="E86" i="2"/>
  <c r="F86" i="2" s="1"/>
  <c r="E98" i="2"/>
  <c r="F98" i="2" s="1"/>
  <c r="E110" i="2"/>
  <c r="F110" i="2" s="1"/>
  <c r="E122" i="2"/>
  <c r="E134" i="2"/>
  <c r="E146" i="2"/>
  <c r="F146" i="2" s="1"/>
  <c r="E158" i="2"/>
  <c r="F158" i="2" s="1"/>
  <c r="E170" i="2"/>
  <c r="F170" i="2" s="1"/>
  <c r="E182" i="2"/>
  <c r="E194" i="2"/>
  <c r="E206" i="2"/>
  <c r="E218" i="2"/>
  <c r="H17" i="2"/>
  <c r="H47" i="2"/>
  <c r="H73" i="2"/>
  <c r="H96" i="2"/>
  <c r="H127" i="2"/>
  <c r="H155" i="2"/>
  <c r="H181" i="2"/>
  <c r="H206" i="2"/>
  <c r="H235" i="2"/>
  <c r="H261" i="2"/>
  <c r="H286" i="2"/>
  <c r="H314" i="2"/>
  <c r="H343" i="2"/>
  <c r="H369" i="2"/>
  <c r="H394" i="2"/>
  <c r="H422" i="2"/>
  <c r="H449" i="2"/>
  <c r="H474" i="2"/>
  <c r="H502" i="2"/>
  <c r="H533" i="2"/>
  <c r="H559" i="2"/>
  <c r="H584" i="2"/>
  <c r="H612" i="2"/>
  <c r="H638" i="2"/>
  <c r="H663" i="2"/>
  <c r="H692" i="2"/>
  <c r="H720" i="2"/>
  <c r="H746" i="2"/>
  <c r="H771" i="2"/>
  <c r="H800" i="2"/>
  <c r="H826" i="2"/>
  <c r="H851" i="2"/>
  <c r="H879" i="2"/>
  <c r="H908" i="2"/>
  <c r="H934" i="2"/>
  <c r="H959" i="2"/>
  <c r="H990" i="2"/>
  <c r="H1016" i="2"/>
  <c r="H1039" i="2"/>
  <c r="H1069" i="2"/>
  <c r="H1098" i="2"/>
  <c r="H1124" i="2"/>
  <c r="H1149" i="2"/>
  <c r="H1177" i="2"/>
  <c r="H1203" i="2"/>
  <c r="H1229" i="2"/>
  <c r="H1257" i="2"/>
  <c r="H1285" i="2"/>
  <c r="H1311" i="2"/>
  <c r="H1337" i="2"/>
  <c r="H1365" i="2"/>
  <c r="H1391" i="2"/>
  <c r="H1416" i="2"/>
  <c r="H1445" i="2"/>
  <c r="H1475" i="2"/>
  <c r="H1501" i="2"/>
  <c r="H1526" i="2"/>
  <c r="H1555" i="2"/>
  <c r="H1581" i="2"/>
  <c r="H1606" i="2"/>
  <c r="H1634" i="2"/>
  <c r="H1663" i="2"/>
  <c r="H1689" i="2"/>
  <c r="H1714" i="2"/>
  <c r="H1742" i="2"/>
  <c r="H1769" i="2"/>
  <c r="H1794" i="2"/>
  <c r="H1822" i="2"/>
  <c r="H1850" i="2"/>
  <c r="H1877" i="2"/>
  <c r="H1902" i="2"/>
  <c r="H1932" i="2"/>
  <c r="H1958" i="2"/>
  <c r="H1981" i="2"/>
  <c r="H2012" i="2"/>
  <c r="H2040" i="2"/>
  <c r="H2066" i="2"/>
  <c r="H2091" i="2"/>
  <c r="H2120" i="2"/>
  <c r="H2146" i="2"/>
  <c r="H2171" i="2"/>
  <c r="H2199" i="2"/>
  <c r="H2228" i="2"/>
  <c r="H2254" i="2"/>
  <c r="H2279" i="2"/>
  <c r="H2307" i="2"/>
  <c r="G17" i="2"/>
  <c r="G42" i="2"/>
  <c r="G70" i="2"/>
  <c r="G101" i="2"/>
  <c r="G127" i="2"/>
  <c r="G152" i="2"/>
  <c r="G180" i="2"/>
  <c r="G206" i="2"/>
  <c r="G232" i="2"/>
  <c r="G260" i="2"/>
  <c r="G288" i="2"/>
  <c r="G314" i="2"/>
  <c r="G340" i="2"/>
  <c r="G366" i="2"/>
  <c r="G388" i="2"/>
  <c r="G414" i="2"/>
  <c r="G433" i="2"/>
  <c r="G460" i="2"/>
  <c r="G481" i="2"/>
  <c r="G508" i="2"/>
  <c r="G527" i="2"/>
  <c r="G551" i="2"/>
  <c r="G573" i="2"/>
  <c r="G592" i="2"/>
  <c r="G614" i="2"/>
  <c r="G636" i="2"/>
  <c r="G655" i="2"/>
  <c r="G670" i="2"/>
  <c r="G685" i="2"/>
  <c r="G703" i="2"/>
  <c r="G718" i="2"/>
  <c r="G733" i="2"/>
  <c r="G749" i="2"/>
  <c r="G764" i="2"/>
  <c r="G781" i="2"/>
  <c r="G797" i="2"/>
  <c r="G812" i="2"/>
  <c r="G827" i="2"/>
  <c r="G842" i="2"/>
  <c r="G860" i="2"/>
  <c r="G875" i="2"/>
  <c r="G890" i="2"/>
  <c r="G906" i="2"/>
  <c r="G921" i="2"/>
  <c r="G938" i="2"/>
  <c r="G954" i="2"/>
  <c r="G969" i="2"/>
  <c r="G984" i="2"/>
  <c r="G1000" i="2"/>
  <c r="G1017" i="2"/>
  <c r="G1032" i="2"/>
  <c r="G1048" i="2"/>
  <c r="G1063" i="2"/>
  <c r="G1078" i="2"/>
  <c r="G1096" i="2"/>
  <c r="G1111" i="2"/>
  <c r="G1126" i="2"/>
  <c r="G1141" i="2"/>
  <c r="G1157" i="2"/>
  <c r="G1174" i="2"/>
  <c r="G1189" i="2"/>
  <c r="G1205" i="2"/>
  <c r="G1220" i="2"/>
  <c r="G1235" i="2"/>
  <c r="G1253" i="2"/>
  <c r="G1268" i="2"/>
  <c r="G1283" i="2"/>
  <c r="G1298" i="2"/>
  <c r="G1314" i="2"/>
  <c r="G1331" i="2"/>
  <c r="G1346" i="2"/>
  <c r="G1361" i="2"/>
  <c r="G1375" i="2"/>
  <c r="G1389" i="2"/>
  <c r="G1405" i="2"/>
  <c r="G1419" i="2"/>
  <c r="G1433" i="2"/>
  <c r="G1447" i="2"/>
  <c r="G1461" i="2"/>
  <c r="G1477" i="2"/>
  <c r="G1491" i="2"/>
  <c r="G1505" i="2"/>
  <c r="G1519" i="2"/>
  <c r="G1533" i="2"/>
  <c r="G1549" i="2"/>
  <c r="G1563" i="2"/>
  <c r="G1577" i="2"/>
  <c r="G1591" i="2"/>
  <c r="G1605" i="2"/>
  <c r="G1621" i="2"/>
  <c r="G1635" i="2"/>
  <c r="G1649" i="2"/>
  <c r="G1663" i="2"/>
  <c r="G1677" i="2"/>
  <c r="G1693" i="2"/>
  <c r="G1707" i="2"/>
  <c r="G1721" i="2"/>
  <c r="G1735" i="2"/>
  <c r="G1749" i="2"/>
  <c r="G1765" i="2"/>
  <c r="G1779" i="2"/>
  <c r="G1793" i="2"/>
  <c r="G1807" i="2"/>
  <c r="G1821" i="2"/>
  <c r="G1837" i="2"/>
  <c r="G1851" i="2"/>
  <c r="G1865" i="2"/>
  <c r="G1879" i="2"/>
  <c r="G1893" i="2"/>
  <c r="G1909" i="2"/>
  <c r="G1923" i="2"/>
  <c r="G1937" i="2"/>
  <c r="G1951" i="2"/>
  <c r="G1965" i="2"/>
  <c r="G1981" i="2"/>
  <c r="G1995" i="2"/>
  <c r="G2008" i="2"/>
  <c r="G2020" i="2"/>
  <c r="G2032" i="2"/>
  <c r="G2044" i="2"/>
  <c r="G2056" i="2"/>
  <c r="G2068" i="2"/>
  <c r="G2080" i="2"/>
  <c r="G2092" i="2"/>
  <c r="G2104" i="2"/>
  <c r="G2116" i="2"/>
  <c r="G2128" i="2"/>
  <c r="G2140" i="2"/>
  <c r="G2152" i="2"/>
  <c r="G2164" i="2"/>
  <c r="G2176" i="2"/>
  <c r="G2188" i="2"/>
  <c r="G2200" i="2"/>
  <c r="G2212" i="2"/>
  <c r="G2224" i="2"/>
  <c r="G2236" i="2"/>
  <c r="G2248" i="2"/>
  <c r="G2260" i="2"/>
  <c r="G2272" i="2"/>
  <c r="G2284" i="2"/>
  <c r="G2296" i="2"/>
  <c r="G2308" i="2"/>
  <c r="E3" i="2"/>
  <c r="F3" i="2" s="1"/>
  <c r="E15" i="2"/>
  <c r="F15" i="2" s="1"/>
  <c r="E27" i="2"/>
  <c r="E39" i="2"/>
  <c r="E51" i="2"/>
  <c r="E63" i="2"/>
  <c r="E75" i="2"/>
  <c r="F75" i="2" s="1"/>
  <c r="E87" i="2"/>
  <c r="F87" i="2" s="1"/>
  <c r="E99" i="2"/>
  <c r="F99" i="2" s="1"/>
  <c r="E111" i="2"/>
  <c r="E123" i="2"/>
  <c r="E135" i="2"/>
  <c r="F135" i="2" s="1"/>
  <c r="E147" i="2"/>
  <c r="F147" i="2" s="1"/>
  <c r="E159" i="2"/>
  <c r="F159" i="2" s="1"/>
  <c r="E171" i="2"/>
  <c r="E183" i="2"/>
  <c r="E195" i="2"/>
  <c r="E207" i="2"/>
  <c r="E219" i="2"/>
  <c r="F219" i="2" s="1"/>
  <c r="H18" i="2"/>
  <c r="H48" i="2"/>
  <c r="H77" i="2"/>
  <c r="H103" i="2"/>
  <c r="H128" i="2"/>
  <c r="H156" i="2"/>
  <c r="H182" i="2"/>
  <c r="H207" i="2"/>
  <c r="H236" i="2"/>
  <c r="H264" i="2"/>
  <c r="H290" i="2"/>
  <c r="H315" i="2"/>
  <c r="H344" i="2"/>
  <c r="H370" i="2"/>
  <c r="H395" i="2"/>
  <c r="H423" i="2"/>
  <c r="H454" i="2"/>
  <c r="H480" i="2"/>
  <c r="H505" i="2"/>
  <c r="H534" i="2"/>
  <c r="H560" i="2"/>
  <c r="H585" i="2"/>
  <c r="H613" i="2"/>
  <c r="H642" i="2"/>
  <c r="H668" i="2"/>
  <c r="H693" i="2"/>
  <c r="H721" i="2"/>
  <c r="H747" i="2"/>
  <c r="H773" i="2"/>
  <c r="H801" i="2"/>
  <c r="H829" i="2"/>
  <c r="H855" i="2"/>
  <c r="H881" i="2"/>
  <c r="H911" i="2"/>
  <c r="H937" i="2"/>
  <c r="H960" i="2"/>
  <c r="H991" i="2"/>
  <c r="H1019" i="2"/>
  <c r="H1045" i="2"/>
  <c r="H1070" i="2"/>
  <c r="H1099" i="2"/>
  <c r="H1125" i="2"/>
  <c r="H1150" i="2"/>
  <c r="H1178" i="2"/>
  <c r="H1207" i="2"/>
  <c r="H1233" i="2"/>
  <c r="H1258" i="2"/>
  <c r="H1286" i="2"/>
  <c r="H1313" i="2"/>
  <c r="H1338" i="2"/>
  <c r="H1366" i="2"/>
  <c r="H1397" i="2"/>
  <c r="H1423" i="2"/>
  <c r="H1448" i="2"/>
  <c r="H1476" i="2"/>
  <c r="H1502" i="2"/>
  <c r="H1527" i="2"/>
  <c r="H1556" i="2"/>
  <c r="H1584" i="2"/>
  <c r="H1610" i="2"/>
  <c r="H1635" i="2"/>
  <c r="H1664" i="2"/>
  <c r="H1690" i="2"/>
  <c r="H1715" i="2"/>
  <c r="H1743" i="2"/>
  <c r="H1772" i="2"/>
  <c r="H1798" i="2"/>
  <c r="H1823" i="2"/>
  <c r="H1854" i="2"/>
  <c r="H1880" i="2"/>
  <c r="H1903" i="2"/>
  <c r="H1933" i="2"/>
  <c r="H1962" i="2"/>
  <c r="H1988" i="2"/>
  <c r="H2013" i="2"/>
  <c r="H2041" i="2"/>
  <c r="H2067" i="2"/>
  <c r="H2093" i="2"/>
  <c r="H2121" i="2"/>
  <c r="H2149" i="2"/>
  <c r="H2175" i="2"/>
  <c r="H2201" i="2"/>
  <c r="H2229" i="2"/>
  <c r="H2255" i="2"/>
  <c r="H2280" i="2"/>
  <c r="H2309" i="2"/>
  <c r="G22" i="2"/>
  <c r="G48" i="2"/>
  <c r="G73" i="2"/>
  <c r="G102" i="2"/>
  <c r="G128" i="2"/>
  <c r="G153" i="2"/>
  <c r="G181" i="2"/>
  <c r="G210" i="2"/>
  <c r="G236" i="2"/>
  <c r="G261" i="2"/>
  <c r="G289" i="2"/>
  <c r="G316" i="2"/>
  <c r="G341" i="2"/>
  <c r="G367" i="2"/>
  <c r="G389" i="2"/>
  <c r="G415" i="2"/>
  <c r="G434" i="2"/>
  <c r="G461" i="2"/>
  <c r="G482" i="2"/>
  <c r="G509" i="2"/>
  <c r="G528" i="2"/>
  <c r="G553" i="2"/>
  <c r="G574" i="2"/>
  <c r="G593" i="2"/>
  <c r="G617" i="2"/>
  <c r="G637" i="2"/>
  <c r="G656" i="2"/>
  <c r="G671" i="2"/>
  <c r="G689" i="2"/>
  <c r="G704" i="2"/>
  <c r="G719" i="2"/>
  <c r="G734" i="2"/>
  <c r="G750" i="2"/>
  <c r="G767" i="2"/>
  <c r="G782" i="2"/>
  <c r="G798" i="2"/>
  <c r="G813" i="2"/>
  <c r="G828" i="2"/>
  <c r="G846" i="2"/>
  <c r="G861" i="2"/>
  <c r="G876" i="2"/>
  <c r="G892" i="2"/>
  <c r="G907" i="2"/>
  <c r="G924" i="2"/>
  <c r="G940" i="2"/>
  <c r="G955" i="2"/>
  <c r="G970" i="2"/>
  <c r="G985" i="2"/>
  <c r="G1003" i="2"/>
  <c r="G1018" i="2"/>
  <c r="G1033" i="2"/>
  <c r="G1049" i="2"/>
  <c r="G1064" i="2"/>
  <c r="G1081" i="2"/>
  <c r="G1097" i="2"/>
  <c r="G1112" i="2"/>
  <c r="G1127" i="2"/>
  <c r="G1142" i="2"/>
  <c r="G1160" i="2"/>
  <c r="G1175" i="2"/>
  <c r="G1190" i="2"/>
  <c r="G1206" i="2"/>
  <c r="G1221" i="2"/>
  <c r="G1238" i="2"/>
  <c r="G1254" i="2"/>
  <c r="G1269" i="2"/>
  <c r="G1284" i="2"/>
  <c r="G1300" i="2"/>
  <c r="G1317" i="2"/>
  <c r="G1332" i="2"/>
  <c r="G1348" i="2"/>
  <c r="G1362" i="2"/>
  <c r="G1376" i="2"/>
  <c r="G1392" i="2"/>
  <c r="G1406" i="2"/>
  <c r="G1420" i="2"/>
  <c r="G1434" i="2"/>
  <c r="G1448" i="2"/>
  <c r="G1464" i="2"/>
  <c r="G1478" i="2"/>
  <c r="G1492" i="2"/>
  <c r="G1506" i="2"/>
  <c r="G1520" i="2"/>
  <c r="G1536" i="2"/>
  <c r="G1550" i="2"/>
  <c r="G1564" i="2"/>
  <c r="G1578" i="2"/>
  <c r="G1592" i="2"/>
  <c r="G1608" i="2"/>
  <c r="G1622" i="2"/>
  <c r="G1636" i="2"/>
  <c r="G1650" i="2"/>
  <c r="G1664" i="2"/>
  <c r="G1680" i="2"/>
  <c r="G1694" i="2"/>
  <c r="G1708" i="2"/>
  <c r="G1722" i="2"/>
  <c r="G1736" i="2"/>
  <c r="G1752" i="2"/>
  <c r="G1766" i="2"/>
  <c r="G1780" i="2"/>
  <c r="G1794" i="2"/>
  <c r="G1808" i="2"/>
  <c r="G1824" i="2"/>
  <c r="G1838" i="2"/>
  <c r="G1852" i="2"/>
  <c r="G1866" i="2"/>
  <c r="G1880" i="2"/>
  <c r="G1896" i="2"/>
  <c r="G1910" i="2"/>
  <c r="G1924" i="2"/>
  <c r="G1938" i="2"/>
  <c r="G1952" i="2"/>
  <c r="G1968" i="2"/>
  <c r="G1982" i="2"/>
  <c r="G1996" i="2"/>
  <c r="G2009" i="2"/>
  <c r="G2021" i="2"/>
  <c r="G2033" i="2"/>
  <c r="G2045" i="2"/>
  <c r="G2057" i="2"/>
  <c r="G2069" i="2"/>
  <c r="G2081" i="2"/>
  <c r="G2093" i="2"/>
  <c r="G2105" i="2"/>
  <c r="G2117" i="2"/>
  <c r="G2129" i="2"/>
  <c r="G2141" i="2"/>
  <c r="G2153" i="2"/>
  <c r="G2165" i="2"/>
  <c r="G2177" i="2"/>
  <c r="G2189" i="2"/>
  <c r="G2201" i="2"/>
  <c r="G2213" i="2"/>
  <c r="G2225" i="2"/>
  <c r="G2237" i="2"/>
  <c r="G2249" i="2"/>
  <c r="G2261" i="2"/>
  <c r="G2273" i="2"/>
  <c r="G2285" i="2"/>
  <c r="G2297" i="2"/>
  <c r="G2309" i="2"/>
  <c r="E4" i="2"/>
  <c r="F4" i="2" s="1"/>
  <c r="E16" i="2"/>
  <c r="E28" i="2"/>
  <c r="E40" i="2"/>
  <c r="E52" i="2"/>
  <c r="E64" i="2"/>
  <c r="F64" i="2" s="1"/>
  <c r="E76" i="2"/>
  <c r="F76" i="2" s="1"/>
  <c r="E88" i="2"/>
  <c r="F88" i="2" s="1"/>
  <c r="E100" i="2"/>
  <c r="E112" i="2"/>
  <c r="E124" i="2"/>
  <c r="F124" i="2" s="1"/>
  <c r="E136" i="2"/>
  <c r="F136" i="2" s="1"/>
  <c r="E148" i="2"/>
  <c r="F148" i="2" s="1"/>
  <c r="E160" i="2"/>
  <c r="E172" i="2"/>
  <c r="E184" i="2"/>
  <c r="E196" i="2"/>
  <c r="E208" i="2"/>
  <c r="F208" i="2" s="1"/>
  <c r="E220" i="2"/>
  <c r="F220" i="2" s="1"/>
  <c r="H24" i="2"/>
  <c r="H49" i="2"/>
  <c r="H78" i="2"/>
  <c r="H104" i="2"/>
  <c r="H129" i="2"/>
  <c r="H157" i="2"/>
  <c r="H186" i="2"/>
  <c r="H212" i="2"/>
  <c r="H237" i="2"/>
  <c r="H265" i="2"/>
  <c r="H291" i="2"/>
  <c r="H317" i="2"/>
  <c r="H345" i="2"/>
  <c r="H375" i="2"/>
  <c r="H402" i="2"/>
  <c r="H427" i="2"/>
  <c r="H455" i="2"/>
  <c r="H481" i="2"/>
  <c r="H506" i="2"/>
  <c r="H535" i="2"/>
  <c r="H563" i="2"/>
  <c r="H589" i="2"/>
  <c r="H614" i="2"/>
  <c r="H643" i="2"/>
  <c r="H669" i="2"/>
  <c r="H694" i="2"/>
  <c r="H722" i="2"/>
  <c r="H751" i="2"/>
  <c r="H777" i="2"/>
  <c r="H802" i="2"/>
  <c r="H833" i="2"/>
  <c r="H859" i="2"/>
  <c r="H882" i="2"/>
  <c r="H912" i="2"/>
  <c r="H941" i="2"/>
  <c r="H967" i="2"/>
  <c r="H992" i="2"/>
  <c r="H1020" i="2"/>
  <c r="H1046" i="2"/>
  <c r="H1071" i="2"/>
  <c r="H1100" i="2"/>
  <c r="H1128" i="2"/>
  <c r="H1154" i="2"/>
  <c r="H1179" i="2"/>
  <c r="H1208" i="2"/>
  <c r="H1234" i="2"/>
  <c r="H1259" i="2"/>
  <c r="H1287" i="2"/>
  <c r="H1318" i="2"/>
  <c r="H1344" i="2"/>
  <c r="H1369" i="2"/>
  <c r="H1398" i="2"/>
  <c r="H1424" i="2"/>
  <c r="H1449" i="2"/>
  <c r="H1477" i="2"/>
  <c r="H1506" i="2"/>
  <c r="H1532" i="2"/>
  <c r="H1557" i="2"/>
  <c r="H1585" i="2"/>
  <c r="H1611" i="2"/>
  <c r="H1637" i="2"/>
  <c r="H1665" i="2"/>
  <c r="H1693" i="2"/>
  <c r="H1719" i="2"/>
  <c r="H1745" i="2"/>
  <c r="H1775" i="2"/>
  <c r="H1801" i="2"/>
  <c r="H1824" i="2"/>
  <c r="H1855" i="2"/>
  <c r="H1883" i="2"/>
  <c r="H1909" i="2"/>
  <c r="H1934" i="2"/>
  <c r="H1963" i="2"/>
  <c r="H1989" i="2"/>
  <c r="H2014" i="2"/>
  <c r="H2042" i="2"/>
  <c r="H2071" i="2"/>
  <c r="H2097" i="2"/>
  <c r="H2122" i="2"/>
  <c r="H2150" i="2"/>
  <c r="H2177" i="2"/>
  <c r="H2202" i="2"/>
  <c r="H2230" i="2"/>
  <c r="H2261" i="2"/>
  <c r="H2287" i="2"/>
  <c r="H2312" i="2"/>
  <c r="G23" i="2"/>
  <c r="G49" i="2"/>
  <c r="G74" i="2"/>
  <c r="G103" i="2"/>
  <c r="G131" i="2"/>
  <c r="G157" i="2"/>
  <c r="G182" i="2"/>
  <c r="G211" i="2"/>
  <c r="G237" i="2"/>
  <c r="G262" i="2"/>
  <c r="G290" i="2"/>
  <c r="G319" i="2"/>
  <c r="G345" i="2"/>
  <c r="G368" i="2"/>
  <c r="G393" i="2"/>
  <c r="G416" i="2"/>
  <c r="G441" i="2"/>
  <c r="G462" i="2"/>
  <c r="G487" i="2"/>
  <c r="G510" i="2"/>
  <c r="G535" i="2"/>
  <c r="G554" i="2"/>
  <c r="G575" i="2"/>
  <c r="G598" i="2"/>
  <c r="G618" i="2"/>
  <c r="G638" i="2"/>
  <c r="G657" i="2"/>
  <c r="G672" i="2"/>
  <c r="G690" i="2"/>
  <c r="G705" i="2"/>
  <c r="G720" i="2"/>
  <c r="G736" i="2"/>
  <c r="G751" i="2"/>
  <c r="G768" i="2"/>
  <c r="G784" i="2"/>
  <c r="G799" i="2"/>
  <c r="G814" i="2"/>
  <c r="G829" i="2"/>
  <c r="G847" i="2"/>
  <c r="G862" i="2"/>
  <c r="G877" i="2"/>
  <c r="G893" i="2"/>
  <c r="G908" i="2"/>
  <c r="G925" i="2"/>
  <c r="G941" i="2"/>
  <c r="G956" i="2"/>
  <c r="G971" i="2"/>
  <c r="G986" i="2"/>
  <c r="G1004" i="2"/>
  <c r="G1019" i="2"/>
  <c r="G1034" i="2"/>
  <c r="G1050" i="2"/>
  <c r="G1065" i="2"/>
  <c r="G1082" i="2"/>
  <c r="G1098" i="2"/>
  <c r="G1113" i="2"/>
  <c r="G1128" i="2"/>
  <c r="G1144" i="2"/>
  <c r="G1161" i="2"/>
  <c r="G1176" i="2"/>
  <c r="G1192" i="2"/>
  <c r="G1207" i="2"/>
  <c r="G1222" i="2"/>
  <c r="G1240" i="2"/>
  <c r="G1255" i="2"/>
  <c r="G1270" i="2"/>
  <c r="G1285" i="2"/>
  <c r="G1301" i="2"/>
  <c r="G1318" i="2"/>
  <c r="G1333" i="2"/>
  <c r="G1349" i="2"/>
  <c r="G1363" i="2"/>
  <c r="G1377" i="2"/>
  <c r="G1393" i="2"/>
  <c r="G1407" i="2"/>
  <c r="G1421" i="2"/>
  <c r="G1435" i="2"/>
  <c r="G1449" i="2"/>
  <c r="G1465" i="2"/>
  <c r="G1479" i="2"/>
  <c r="G1493" i="2"/>
  <c r="G1507" i="2"/>
  <c r="G1521" i="2"/>
  <c r="G1537" i="2"/>
  <c r="G1551" i="2"/>
  <c r="G1565" i="2"/>
  <c r="G1579" i="2"/>
  <c r="G1593" i="2"/>
  <c r="G1609" i="2"/>
  <c r="G1623" i="2"/>
  <c r="G1637" i="2"/>
  <c r="G1651" i="2"/>
  <c r="G1665" i="2"/>
  <c r="G1681" i="2"/>
  <c r="G1695" i="2"/>
  <c r="G1709" i="2"/>
  <c r="G1723" i="2"/>
  <c r="G1737" i="2"/>
  <c r="G1753" i="2"/>
  <c r="G1767" i="2"/>
  <c r="G1781" i="2"/>
  <c r="G1795" i="2"/>
  <c r="G1809" i="2"/>
  <c r="G1825" i="2"/>
  <c r="G1839" i="2"/>
  <c r="G1853" i="2"/>
  <c r="G1867" i="2"/>
  <c r="G1881" i="2"/>
  <c r="G1897" i="2"/>
  <c r="G1911" i="2"/>
  <c r="G1925" i="2"/>
  <c r="G1939" i="2"/>
  <c r="G1953" i="2"/>
  <c r="G1969" i="2"/>
  <c r="G1983" i="2"/>
  <c r="G1997" i="2"/>
  <c r="G2010" i="2"/>
  <c r="G2022" i="2"/>
  <c r="G2034" i="2"/>
  <c r="G2046" i="2"/>
  <c r="G2058" i="2"/>
  <c r="G2070" i="2"/>
  <c r="G2082" i="2"/>
  <c r="G2094" i="2"/>
  <c r="G2106" i="2"/>
  <c r="G2118" i="2"/>
  <c r="G2130" i="2"/>
  <c r="G2142" i="2"/>
  <c r="G2154" i="2"/>
  <c r="G2166" i="2"/>
  <c r="G2178" i="2"/>
  <c r="G2190" i="2"/>
  <c r="G2202" i="2"/>
  <c r="G2214" i="2"/>
  <c r="G2226" i="2"/>
  <c r="G2238" i="2"/>
  <c r="G2250" i="2"/>
  <c r="G2262" i="2"/>
  <c r="G2274" i="2"/>
  <c r="G2286" i="2"/>
  <c r="G2298" i="2"/>
  <c r="G2310" i="2"/>
  <c r="E5" i="2"/>
  <c r="E17" i="2"/>
  <c r="E29" i="2"/>
  <c r="E41" i="2"/>
  <c r="E53" i="2"/>
  <c r="F53" i="2" s="1"/>
  <c r="E65" i="2"/>
  <c r="F65" i="2" s="1"/>
  <c r="E77" i="2"/>
  <c r="F77" i="2" s="1"/>
  <c r="E89" i="2"/>
  <c r="E101" i="2"/>
  <c r="E113" i="2"/>
  <c r="F113" i="2" s="1"/>
  <c r="E125" i="2"/>
  <c r="F125" i="2" s="1"/>
  <c r="E137" i="2"/>
  <c r="F137" i="2" s="1"/>
  <c r="E149" i="2"/>
  <c r="E161" i="2"/>
  <c r="E173" i="2"/>
  <c r="E185" i="2"/>
  <c r="E197" i="2"/>
  <c r="F197" i="2" s="1"/>
  <c r="E209" i="2"/>
  <c r="F209" i="2" s="1"/>
  <c r="H25" i="2"/>
  <c r="H50" i="2"/>
  <c r="H79" i="2"/>
  <c r="H107" i="2"/>
  <c r="H133" i="2"/>
  <c r="H158" i="2"/>
  <c r="H187" i="2"/>
  <c r="H213" i="2"/>
  <c r="H238" i="2"/>
  <c r="H266" i="2"/>
  <c r="H297" i="2"/>
  <c r="H323" i="2"/>
  <c r="H348" i="2"/>
  <c r="H377" i="2"/>
  <c r="H403" i="2"/>
  <c r="H428" i="2"/>
  <c r="H456" i="2"/>
  <c r="H485" i="2"/>
  <c r="H511" i="2"/>
  <c r="H536" i="2"/>
  <c r="H564" i="2"/>
  <c r="H590" i="2"/>
  <c r="H615" i="2"/>
  <c r="H644" i="2"/>
  <c r="H672" i="2"/>
  <c r="H698" i="2"/>
  <c r="H723" i="2"/>
  <c r="H754" i="2"/>
  <c r="H780" i="2"/>
  <c r="H803" i="2"/>
  <c r="H834" i="2"/>
  <c r="H862" i="2"/>
  <c r="H888" i="2"/>
  <c r="H913" i="2"/>
  <c r="H942" i="2"/>
  <c r="H968" i="2"/>
  <c r="H993" i="2"/>
  <c r="H1021" i="2"/>
  <c r="H1050" i="2"/>
  <c r="H1076" i="2"/>
  <c r="H1101" i="2"/>
  <c r="H1129" i="2"/>
  <c r="H1155" i="2"/>
  <c r="H1181" i="2"/>
  <c r="H1209" i="2"/>
  <c r="H1239" i="2"/>
  <c r="H1266" i="2"/>
  <c r="H1291" i="2"/>
  <c r="H1319" i="2"/>
  <c r="H1345" i="2"/>
  <c r="H1370" i="2"/>
  <c r="H1399" i="2"/>
  <c r="H1427" i="2"/>
  <c r="H1453" i="2"/>
  <c r="H1478" i="2"/>
  <c r="H1507" i="2"/>
  <c r="H1533" i="2"/>
  <c r="H1558" i="2"/>
  <c r="H1586" i="2"/>
  <c r="H1615" i="2"/>
  <c r="H1641" i="2"/>
  <c r="H1666" i="2"/>
  <c r="H1697" i="2"/>
  <c r="H1723" i="2"/>
  <c r="H1746" i="2"/>
  <c r="H1776" i="2"/>
  <c r="H1805" i="2"/>
  <c r="H1831" i="2"/>
  <c r="H1856" i="2"/>
  <c r="H1884" i="2"/>
  <c r="H1910" i="2"/>
  <c r="H1935" i="2"/>
  <c r="H1964" i="2"/>
  <c r="H1992" i="2"/>
  <c r="H2018" i="2"/>
  <c r="H2043" i="2"/>
  <c r="H2072" i="2"/>
  <c r="H2098" i="2"/>
  <c r="H2123" i="2"/>
  <c r="H2151" i="2"/>
  <c r="H2182" i="2"/>
  <c r="H2208" i="2"/>
  <c r="H2233" i="2"/>
  <c r="H2262" i="2"/>
  <c r="H2288" i="2"/>
  <c r="H2313" i="2"/>
  <c r="G24" i="2"/>
  <c r="G53" i="2"/>
  <c r="G79" i="2"/>
  <c r="G104" i="2"/>
  <c r="G132" i="2"/>
  <c r="G158" i="2"/>
  <c r="G184" i="2"/>
  <c r="G212" i="2"/>
  <c r="G240" i="2"/>
  <c r="G266" i="2"/>
  <c r="G292" i="2"/>
  <c r="G322" i="2"/>
  <c r="G348" i="2"/>
  <c r="G369" i="2"/>
  <c r="G394" i="2"/>
  <c r="G417" i="2"/>
  <c r="G442" i="2"/>
  <c r="G463" i="2"/>
  <c r="G488" i="2"/>
  <c r="G511" i="2"/>
  <c r="G536" i="2"/>
  <c r="G558" i="2"/>
  <c r="G576" i="2"/>
  <c r="G599" i="2"/>
  <c r="G619" i="2"/>
  <c r="G640" i="2"/>
  <c r="G658" i="2"/>
  <c r="G676" i="2"/>
  <c r="G691" i="2"/>
  <c r="G706" i="2"/>
  <c r="G721" i="2"/>
  <c r="G737" i="2"/>
  <c r="G754" i="2"/>
  <c r="G769" i="2"/>
  <c r="G785" i="2"/>
  <c r="G800" i="2"/>
  <c r="G815" i="2"/>
  <c r="G833" i="2"/>
  <c r="G848" i="2"/>
  <c r="G863" i="2"/>
  <c r="G878" i="2"/>
  <c r="G894" i="2"/>
  <c r="G911" i="2"/>
  <c r="G926" i="2"/>
  <c r="G942" i="2"/>
  <c r="G957" i="2"/>
  <c r="G972" i="2"/>
  <c r="G990" i="2"/>
  <c r="G1005" i="2"/>
  <c r="G1020" i="2"/>
  <c r="G1036" i="2"/>
  <c r="G1051" i="2"/>
  <c r="G1068" i="2"/>
  <c r="G1084" i="2"/>
  <c r="G1099" i="2"/>
  <c r="G1114" i="2"/>
  <c r="G1129" i="2"/>
  <c r="G1147" i="2"/>
  <c r="G1162" i="2"/>
  <c r="G1177" i="2"/>
  <c r="G1193" i="2"/>
  <c r="G1208" i="2"/>
  <c r="G1225" i="2"/>
  <c r="G1241" i="2"/>
  <c r="G1256" i="2"/>
  <c r="G1271" i="2"/>
  <c r="G1286" i="2"/>
  <c r="G1304" i="2"/>
  <c r="G1319" i="2"/>
  <c r="G1334" i="2"/>
  <c r="G1350" i="2"/>
  <c r="G1364" i="2"/>
  <c r="G1380" i="2"/>
  <c r="G1394" i="2"/>
  <c r="G1408" i="2"/>
  <c r="G1422" i="2"/>
  <c r="G1436" i="2"/>
  <c r="G1452" i="2"/>
  <c r="G1466" i="2"/>
  <c r="G1480" i="2"/>
  <c r="G1494" i="2"/>
  <c r="G1508" i="2"/>
  <c r="G1524" i="2"/>
  <c r="G1538" i="2"/>
  <c r="G1552" i="2"/>
  <c r="G1566" i="2"/>
  <c r="G1580" i="2"/>
  <c r="G1596" i="2"/>
  <c r="G1610" i="2"/>
  <c r="G1624" i="2"/>
  <c r="G1638" i="2"/>
  <c r="G1652" i="2"/>
  <c r="G1668" i="2"/>
  <c r="G1682" i="2"/>
  <c r="G1696" i="2"/>
  <c r="G1710" i="2"/>
  <c r="G1724" i="2"/>
  <c r="G1740" i="2"/>
  <c r="G1754" i="2"/>
  <c r="G1768" i="2"/>
  <c r="G1782" i="2"/>
  <c r="G1796" i="2"/>
  <c r="G1812" i="2"/>
  <c r="G1826" i="2"/>
  <c r="G1840" i="2"/>
  <c r="G1854" i="2"/>
  <c r="G1868" i="2"/>
  <c r="G1884" i="2"/>
  <c r="G1898" i="2"/>
  <c r="G1912" i="2"/>
  <c r="G1926" i="2"/>
  <c r="G1940" i="2"/>
  <c r="G1956" i="2"/>
  <c r="G1970" i="2"/>
  <c r="G1984" i="2"/>
  <c r="G1998" i="2"/>
  <c r="G2011" i="2"/>
  <c r="G2023" i="2"/>
  <c r="G2035" i="2"/>
  <c r="G2047" i="2"/>
  <c r="G2059" i="2"/>
  <c r="G2071" i="2"/>
  <c r="G2083" i="2"/>
  <c r="G2095" i="2"/>
  <c r="G2107" i="2"/>
  <c r="G2119" i="2"/>
  <c r="G2131" i="2"/>
  <c r="G2143" i="2"/>
  <c r="G2155" i="2"/>
  <c r="G2167" i="2"/>
  <c r="G2179" i="2"/>
  <c r="G2191" i="2"/>
  <c r="G2203" i="2"/>
  <c r="G2215" i="2"/>
  <c r="G2227" i="2"/>
  <c r="G2239" i="2"/>
  <c r="G2251" i="2"/>
  <c r="G2263" i="2"/>
  <c r="G2275" i="2"/>
  <c r="G2287" i="2"/>
  <c r="G2299" i="2"/>
  <c r="G2311" i="2"/>
  <c r="E6" i="2"/>
  <c r="E18" i="2"/>
  <c r="E30" i="2"/>
  <c r="E42" i="2"/>
  <c r="F42" i="2" s="1"/>
  <c r="E54" i="2"/>
  <c r="F54" i="2" s="1"/>
  <c r="E66" i="2"/>
  <c r="F66" i="2" s="1"/>
  <c r="E78" i="2"/>
  <c r="E90" i="2"/>
  <c r="F90" i="2" s="1"/>
  <c r="E102" i="2"/>
  <c r="F102" i="2" s="1"/>
  <c r="E114" i="2"/>
  <c r="F114" i="2" s="1"/>
  <c r="E126" i="2"/>
  <c r="E138" i="2"/>
  <c r="F138" i="2" s="1"/>
  <c r="E150" i="2"/>
  <c r="E162" i="2"/>
  <c r="E174" i="2"/>
  <c r="E186" i="2"/>
  <c r="F186" i="2" s="1"/>
  <c r="E198" i="2"/>
  <c r="F198" i="2" s="1"/>
  <c r="E210" i="2"/>
  <c r="F210" i="2" s="1"/>
  <c r="H29" i="2"/>
  <c r="H55" i="2"/>
  <c r="H80" i="2"/>
  <c r="H108" i="2"/>
  <c r="H134" i="2"/>
  <c r="H159" i="2"/>
  <c r="H188" i="2"/>
  <c r="H218" i="2"/>
  <c r="H245" i="2"/>
  <c r="H270" i="2"/>
  <c r="H298" i="2"/>
  <c r="H324" i="2"/>
  <c r="H349" i="2"/>
  <c r="H378" i="2"/>
  <c r="H406" i="2"/>
  <c r="H432" i="2"/>
  <c r="H457" i="2"/>
  <c r="H486" i="2"/>
  <c r="H512" i="2"/>
  <c r="H537" i="2"/>
  <c r="H565" i="2"/>
  <c r="H594" i="2"/>
  <c r="H620" i="2"/>
  <c r="H645" i="2"/>
  <c r="H675" i="2"/>
  <c r="H702" i="2"/>
  <c r="H725" i="2"/>
  <c r="H755" i="2"/>
  <c r="H783" i="2"/>
  <c r="H810" i="2"/>
  <c r="H835" i="2"/>
  <c r="H863" i="2"/>
  <c r="H889" i="2"/>
  <c r="H914" i="2"/>
  <c r="H943" i="2"/>
  <c r="H971" i="2"/>
  <c r="H997" i="2"/>
  <c r="H1022" i="2"/>
  <c r="H1051" i="2"/>
  <c r="H1077" i="2"/>
  <c r="H1102" i="2"/>
  <c r="H1130" i="2"/>
  <c r="H1161" i="2"/>
  <c r="H1187" i="2"/>
  <c r="H1212" i="2"/>
  <c r="H1241" i="2"/>
  <c r="H1267" i="2"/>
  <c r="H1292" i="2"/>
  <c r="H1320" i="2"/>
  <c r="H1349" i="2"/>
  <c r="H1375" i="2"/>
  <c r="H1400" i="2"/>
  <c r="H1428" i="2"/>
  <c r="H1454" i="2"/>
  <c r="H1479" i="2"/>
  <c r="H1508" i="2"/>
  <c r="H1536" i="2"/>
  <c r="H1562" i="2"/>
  <c r="H1587" i="2"/>
  <c r="H1618" i="2"/>
  <c r="H1644" i="2"/>
  <c r="H1667" i="2"/>
  <c r="H1698" i="2"/>
  <c r="H1726" i="2"/>
  <c r="H1752" i="2"/>
  <c r="H1777" i="2"/>
  <c r="H1806" i="2"/>
  <c r="H1832" i="2"/>
  <c r="H1857" i="2"/>
  <c r="H1885" i="2"/>
  <c r="H1914" i="2"/>
  <c r="H1940" i="2"/>
  <c r="H1965" i="2"/>
  <c r="H1993" i="2"/>
  <c r="H2019" i="2"/>
  <c r="H2045" i="2"/>
  <c r="H2073" i="2"/>
  <c r="H2103" i="2"/>
  <c r="H2130" i="2"/>
  <c r="H2155" i="2"/>
  <c r="H2183" i="2"/>
  <c r="H2209" i="2"/>
  <c r="H2234" i="2"/>
  <c r="H2263" i="2"/>
  <c r="H2291" i="2"/>
  <c r="H2317" i="2"/>
  <c r="G25" i="2"/>
  <c r="G54" i="2"/>
  <c r="G80" i="2"/>
  <c r="G105" i="2"/>
  <c r="G133" i="2"/>
  <c r="G162" i="2"/>
  <c r="G188" i="2"/>
  <c r="G213" i="2"/>
  <c r="G244" i="2"/>
  <c r="G270" i="2"/>
  <c r="G293" i="2"/>
  <c r="G323" i="2"/>
  <c r="G350" i="2"/>
  <c r="G370" i="2"/>
  <c r="G396" i="2"/>
  <c r="G418" i="2"/>
  <c r="G444" i="2"/>
  <c r="G466" i="2"/>
  <c r="G492" i="2"/>
  <c r="G512" i="2"/>
  <c r="G538" i="2"/>
  <c r="G559" i="2"/>
  <c r="G577" i="2"/>
  <c r="G601" i="2"/>
  <c r="G620" i="2"/>
  <c r="G641" i="2"/>
  <c r="G659" i="2"/>
  <c r="G677" i="2"/>
  <c r="G692" i="2"/>
  <c r="G707" i="2"/>
  <c r="G722" i="2"/>
  <c r="G738" i="2"/>
  <c r="G755" i="2"/>
  <c r="G770" i="2"/>
  <c r="G786" i="2"/>
  <c r="G801" i="2"/>
  <c r="G816" i="2"/>
  <c r="G834" i="2"/>
  <c r="G849" i="2"/>
  <c r="G864" i="2"/>
  <c r="G880" i="2"/>
  <c r="G895" i="2"/>
  <c r="G912" i="2"/>
  <c r="G928" i="2"/>
  <c r="G943" i="2"/>
  <c r="G958" i="2"/>
  <c r="G973" i="2"/>
  <c r="G991" i="2"/>
  <c r="G1006" i="2"/>
  <c r="G1021" i="2"/>
  <c r="G1037" i="2"/>
  <c r="G1052" i="2"/>
  <c r="G1069" i="2"/>
  <c r="G1085" i="2"/>
  <c r="G1100" i="2"/>
  <c r="G1115" i="2"/>
  <c r="G1130" i="2"/>
  <c r="G1148" i="2"/>
  <c r="G1163" i="2"/>
  <c r="G1178" i="2"/>
  <c r="G1194" i="2"/>
  <c r="G1209" i="2"/>
  <c r="G1226" i="2"/>
  <c r="G1242" i="2"/>
  <c r="G1257" i="2"/>
  <c r="G1272" i="2"/>
  <c r="G1288" i="2"/>
  <c r="G1305" i="2"/>
  <c r="G1320" i="2"/>
  <c r="G1336" i="2"/>
  <c r="G1351" i="2"/>
  <c r="G1365" i="2"/>
  <c r="G1381" i="2"/>
  <c r="G1395" i="2"/>
  <c r="G1409" i="2"/>
  <c r="G1423" i="2"/>
  <c r="G1437" i="2"/>
  <c r="G1453" i="2"/>
  <c r="G1467" i="2"/>
  <c r="G1481" i="2"/>
  <c r="G1495" i="2"/>
  <c r="G1509" i="2"/>
  <c r="G1525" i="2"/>
  <c r="G1539" i="2"/>
  <c r="G1553" i="2"/>
  <c r="G1567" i="2"/>
  <c r="G1581" i="2"/>
  <c r="G1597" i="2"/>
  <c r="G1611" i="2"/>
  <c r="G1625" i="2"/>
  <c r="G1639" i="2"/>
  <c r="G1653" i="2"/>
  <c r="G1669" i="2"/>
  <c r="G1683" i="2"/>
  <c r="G1697" i="2"/>
  <c r="G1711" i="2"/>
  <c r="G1725" i="2"/>
  <c r="G1741" i="2"/>
  <c r="G1755" i="2"/>
  <c r="G1769" i="2"/>
  <c r="G1783" i="2"/>
  <c r="G1797" i="2"/>
  <c r="G1813" i="2"/>
  <c r="G1827" i="2"/>
  <c r="G1841" i="2"/>
  <c r="G1855" i="2"/>
  <c r="G1869" i="2"/>
  <c r="G1885" i="2"/>
  <c r="G1899" i="2"/>
  <c r="G1913" i="2"/>
  <c r="G1927" i="2"/>
  <c r="G1941" i="2"/>
  <c r="G1957" i="2"/>
  <c r="G1971" i="2"/>
  <c r="G1985" i="2"/>
  <c r="G1999" i="2"/>
  <c r="G2012" i="2"/>
  <c r="G2024" i="2"/>
  <c r="G2036" i="2"/>
  <c r="G2048" i="2"/>
  <c r="G2060" i="2"/>
  <c r="G2072" i="2"/>
  <c r="G2084" i="2"/>
  <c r="G2096" i="2"/>
  <c r="G2108" i="2"/>
  <c r="G2120" i="2"/>
  <c r="G2132" i="2"/>
  <c r="G2144" i="2"/>
  <c r="G2156" i="2"/>
  <c r="G2168" i="2"/>
  <c r="G2180" i="2"/>
  <c r="G2192" i="2"/>
  <c r="G2204" i="2"/>
  <c r="G2216" i="2"/>
  <c r="G2228" i="2"/>
  <c r="G2240" i="2"/>
  <c r="G2252" i="2"/>
  <c r="G2264" i="2"/>
  <c r="G2276" i="2"/>
  <c r="G2288" i="2"/>
  <c r="G2300" i="2"/>
  <c r="G2312" i="2"/>
  <c r="E7" i="2"/>
  <c r="F7" i="2" s="1"/>
  <c r="E19" i="2"/>
  <c r="F19" i="2" s="1"/>
  <c r="E31" i="2"/>
  <c r="F31" i="2" s="1"/>
  <c r="E43" i="2"/>
  <c r="F43" i="2" s="1"/>
  <c r="E55" i="2"/>
  <c r="F55" i="2" s="1"/>
  <c r="E67" i="2"/>
  <c r="E79" i="2"/>
  <c r="F79" i="2" s="1"/>
  <c r="E91" i="2"/>
  <c r="F91" i="2" s="1"/>
  <c r="E103" i="2"/>
  <c r="F103" i="2" s="1"/>
  <c r="E115" i="2"/>
  <c r="F115" i="2" s="1"/>
  <c r="E127" i="2"/>
  <c r="E139" i="2"/>
  <c r="E151" i="2"/>
  <c r="F151" i="2" s="1"/>
  <c r="E163" i="2"/>
  <c r="F163" i="2" s="1"/>
  <c r="E175" i="2"/>
  <c r="F175" i="2" s="1"/>
  <c r="E187" i="2"/>
  <c r="F187" i="2" s="1"/>
  <c r="E199" i="2"/>
  <c r="F199" i="2" s="1"/>
  <c r="E211" i="2"/>
  <c r="H30" i="2"/>
  <c r="H56" i="2"/>
  <c r="H81" i="2"/>
  <c r="H109" i="2"/>
  <c r="H140" i="2"/>
  <c r="H166" i="2"/>
  <c r="H191" i="2"/>
  <c r="H219" i="2"/>
  <c r="H246" i="2"/>
  <c r="H271" i="2"/>
  <c r="H299" i="2"/>
  <c r="H327" i="2"/>
  <c r="H354" i="2"/>
  <c r="H379" i="2"/>
  <c r="H407" i="2"/>
  <c r="H433" i="2"/>
  <c r="H458" i="2"/>
  <c r="H487" i="2"/>
  <c r="H515" i="2"/>
  <c r="H541" i="2"/>
  <c r="H566" i="2"/>
  <c r="H597" i="2"/>
  <c r="H623" i="2"/>
  <c r="H646" i="2"/>
  <c r="H677" i="2"/>
  <c r="H705" i="2"/>
  <c r="H731" i="2"/>
  <c r="H756" i="2"/>
  <c r="H785" i="2"/>
  <c r="H811" i="2"/>
  <c r="H836" i="2"/>
  <c r="H864" i="2"/>
  <c r="H893" i="2"/>
  <c r="H919" i="2"/>
  <c r="H944" i="2"/>
  <c r="H972" i="2"/>
  <c r="H998" i="2"/>
  <c r="H1023" i="2"/>
  <c r="H1052" i="2"/>
  <c r="H1082" i="2"/>
  <c r="H1109" i="2"/>
  <c r="H1134" i="2"/>
  <c r="H1162" i="2"/>
  <c r="H1188" i="2"/>
  <c r="H1213" i="2"/>
  <c r="H1242" i="2"/>
  <c r="H1270" i="2"/>
  <c r="H1296" i="2"/>
  <c r="H1321" i="2"/>
  <c r="H1350" i="2"/>
  <c r="H1376" i="2"/>
  <c r="H1401" i="2"/>
  <c r="H1429" i="2"/>
  <c r="H1458" i="2"/>
  <c r="H1484" i="2"/>
  <c r="H1509" i="2"/>
  <c r="H1539" i="2"/>
  <c r="H1566" i="2"/>
  <c r="H1589" i="2"/>
  <c r="H1619" i="2"/>
  <c r="H1647" i="2"/>
  <c r="H1674" i="2"/>
  <c r="H1699" i="2"/>
  <c r="H1727" i="2"/>
  <c r="H1753" i="2"/>
  <c r="H1778" i="2"/>
  <c r="H1807" i="2"/>
  <c r="H1835" i="2"/>
  <c r="H1861" i="2"/>
  <c r="H1886" i="2"/>
  <c r="H1915" i="2"/>
  <c r="H1941" i="2"/>
  <c r="H1966" i="2"/>
  <c r="H1994" i="2"/>
  <c r="H2025" i="2"/>
  <c r="H2051" i="2"/>
  <c r="H2076" i="2"/>
  <c r="H2105" i="2"/>
  <c r="H2131" i="2"/>
  <c r="H2156" i="2"/>
  <c r="H2184" i="2"/>
  <c r="H2213" i="2"/>
  <c r="H2239" i="2"/>
  <c r="H2264" i="2"/>
  <c r="H2292" i="2"/>
  <c r="H2318" i="2"/>
  <c r="G26" i="2"/>
  <c r="G55" i="2"/>
  <c r="G83" i="2"/>
  <c r="G109" i="2"/>
  <c r="G134" i="2"/>
  <c r="G165" i="2"/>
  <c r="G191" i="2"/>
  <c r="G214" i="2"/>
  <c r="G245" i="2"/>
  <c r="G273" i="2"/>
  <c r="G299" i="2"/>
  <c r="G324" i="2"/>
  <c r="G352" i="2"/>
  <c r="G371" i="2"/>
  <c r="G397" i="2"/>
  <c r="G419" i="2"/>
  <c r="G445" i="2"/>
  <c r="G467" i="2"/>
  <c r="G493" i="2"/>
  <c r="G513" i="2"/>
  <c r="G539" i="2"/>
  <c r="G560" i="2"/>
  <c r="G581" i="2"/>
  <c r="G602" i="2"/>
  <c r="G623" i="2"/>
  <c r="G644" i="2"/>
  <c r="G662" i="2"/>
  <c r="G678" i="2"/>
  <c r="G693" i="2"/>
  <c r="G708" i="2"/>
  <c r="G724" i="2"/>
  <c r="G741" i="2"/>
  <c r="G756" i="2"/>
  <c r="G772" i="2"/>
  <c r="G787" i="2"/>
  <c r="G802" i="2"/>
  <c r="G820" i="2"/>
  <c r="G835" i="2"/>
  <c r="G850" i="2"/>
  <c r="G865" i="2"/>
  <c r="G881" i="2"/>
  <c r="G898" i="2"/>
  <c r="G913" i="2"/>
  <c r="G929" i="2"/>
  <c r="G944" i="2"/>
  <c r="G959" i="2"/>
  <c r="G977" i="2"/>
  <c r="G992" i="2"/>
  <c r="G1007" i="2"/>
  <c r="G1022" i="2"/>
  <c r="G1038" i="2"/>
  <c r="G1055" i="2"/>
  <c r="G1070" i="2"/>
  <c r="G1086" i="2"/>
  <c r="G1101" i="2"/>
  <c r="G1116" i="2"/>
  <c r="G1134" i="2"/>
  <c r="G1149" i="2"/>
  <c r="G1164" i="2"/>
  <c r="G1180" i="2"/>
  <c r="G1195" i="2"/>
  <c r="G1212" i="2"/>
  <c r="G1228" i="2"/>
  <c r="G1243" i="2"/>
  <c r="G1258" i="2"/>
  <c r="G1273" i="2"/>
  <c r="G1291" i="2"/>
  <c r="G1306" i="2"/>
  <c r="G1321" i="2"/>
  <c r="G1337" i="2"/>
  <c r="G1352" i="2"/>
  <c r="G1368" i="2"/>
  <c r="G1382" i="2"/>
  <c r="G1396" i="2"/>
  <c r="G1410" i="2"/>
  <c r="G1424" i="2"/>
  <c r="G1440" i="2"/>
  <c r="G1454" i="2"/>
  <c r="G1468" i="2"/>
  <c r="G1482" i="2"/>
  <c r="G1496" i="2"/>
  <c r="G1512" i="2"/>
  <c r="G1526" i="2"/>
  <c r="G1540" i="2"/>
  <c r="G1554" i="2"/>
  <c r="G1568" i="2"/>
  <c r="G1584" i="2"/>
  <c r="G1598" i="2"/>
  <c r="G1612" i="2"/>
  <c r="G1626" i="2"/>
  <c r="G1640" i="2"/>
  <c r="G1656" i="2"/>
  <c r="G1670" i="2"/>
  <c r="G1684" i="2"/>
  <c r="G1698" i="2"/>
  <c r="G1712" i="2"/>
  <c r="G1728" i="2"/>
  <c r="G1742" i="2"/>
  <c r="G1756" i="2"/>
  <c r="G1770" i="2"/>
  <c r="G1784" i="2"/>
  <c r="G1800" i="2"/>
  <c r="G1814" i="2"/>
  <c r="G1828" i="2"/>
  <c r="G1842" i="2"/>
  <c r="G1856" i="2"/>
  <c r="G1872" i="2"/>
  <c r="G1886" i="2"/>
  <c r="G1900" i="2"/>
  <c r="G1914" i="2"/>
  <c r="G1928" i="2"/>
  <c r="G1944" i="2"/>
  <c r="G1958" i="2"/>
  <c r="G1972" i="2"/>
  <c r="G1986" i="2"/>
  <c r="G2000" i="2"/>
  <c r="G2013" i="2"/>
  <c r="G2025" i="2"/>
  <c r="G2037" i="2"/>
  <c r="G2049" i="2"/>
  <c r="G2061" i="2"/>
  <c r="G2073" i="2"/>
  <c r="G2085" i="2"/>
  <c r="G2097" i="2"/>
  <c r="G2109" i="2"/>
  <c r="G2121" i="2"/>
  <c r="G2133" i="2"/>
  <c r="G2145" i="2"/>
  <c r="G2157" i="2"/>
  <c r="G2169" i="2"/>
  <c r="G2181" i="2"/>
  <c r="G2193" i="2"/>
  <c r="G2205" i="2"/>
  <c r="G2217" i="2"/>
  <c r="G2229" i="2"/>
  <c r="G2241" i="2"/>
  <c r="G2253" i="2"/>
  <c r="G2265" i="2"/>
  <c r="G2277" i="2"/>
  <c r="G2289" i="2"/>
  <c r="G2301" i="2"/>
  <c r="G2313" i="2"/>
  <c r="E8" i="2"/>
  <c r="F8" i="2" s="1"/>
  <c r="E20" i="2"/>
  <c r="F20" i="2" s="1"/>
  <c r="E32" i="2"/>
  <c r="F32" i="2" s="1"/>
  <c r="E44" i="2"/>
  <c r="F44" i="2" s="1"/>
  <c r="E56" i="2"/>
  <c r="F56" i="2" s="1"/>
  <c r="E68" i="2"/>
  <c r="E80" i="2"/>
  <c r="E92" i="2"/>
  <c r="F92" i="2" s="1"/>
  <c r="E104" i="2"/>
  <c r="F104" i="2" s="1"/>
  <c r="E116" i="2"/>
  <c r="E128" i="2"/>
  <c r="E140" i="2"/>
  <c r="E152" i="2"/>
  <c r="F152" i="2" s="1"/>
  <c r="E164" i="2"/>
  <c r="F164" i="2" s="1"/>
  <c r="E176" i="2"/>
  <c r="F176" i="2" s="1"/>
  <c r="E188" i="2"/>
  <c r="F188" i="2" s="1"/>
  <c r="E200" i="2"/>
  <c r="F200" i="2" s="1"/>
  <c r="E212" i="2"/>
  <c r="F2038" i="2" l="1"/>
  <c r="F443" i="2"/>
  <c r="F1408" i="2"/>
  <c r="F437" i="2"/>
  <c r="F1613" i="2"/>
  <c r="F1517" i="2"/>
  <c r="F1371" i="2"/>
  <c r="F613" i="2"/>
  <c r="F773" i="2"/>
  <c r="F1534" i="2"/>
  <c r="F889" i="2"/>
  <c r="F559" i="2"/>
  <c r="F1903" i="2"/>
  <c r="F1577" i="2"/>
  <c r="F943" i="2"/>
  <c r="F888" i="2"/>
  <c r="F1942" i="2"/>
  <c r="F1079" i="2"/>
  <c r="F1850" i="2"/>
  <c r="F2095" i="2"/>
  <c r="F1217" i="2"/>
  <c r="F378" i="2"/>
  <c r="F791" i="2"/>
  <c r="F389" i="2"/>
  <c r="F447" i="2"/>
  <c r="F744" i="2"/>
  <c r="F865" i="2"/>
  <c r="F1193" i="2"/>
  <c r="F1943" i="2"/>
  <c r="F850" i="2"/>
  <c r="F2282" i="2"/>
  <c r="F1921" i="2"/>
  <c r="F1783" i="2"/>
  <c r="F909" i="2"/>
  <c r="F2275" i="2"/>
  <c r="F1508" i="2"/>
  <c r="F335" i="2"/>
  <c r="F748" i="2"/>
  <c r="F1460" i="2"/>
  <c r="F2133" i="2"/>
  <c r="F1280" i="2"/>
  <c r="F730" i="2"/>
  <c r="F1099" i="2"/>
  <c r="F495" i="2"/>
  <c r="F935" i="2"/>
  <c r="F522" i="2"/>
  <c r="F471" i="2"/>
  <c r="F1918" i="2"/>
  <c r="F555" i="2"/>
  <c r="F2233" i="2"/>
  <c r="F2287" i="2"/>
  <c r="F954" i="2"/>
  <c r="F674" i="2"/>
  <c r="F1310" i="2"/>
  <c r="F762" i="2"/>
  <c r="F421" i="2"/>
  <c r="F2231" i="2"/>
  <c r="F2040" i="2"/>
  <c r="F852" i="2"/>
  <c r="F541" i="2"/>
  <c r="F792" i="2"/>
  <c r="F1068" i="2"/>
  <c r="F734" i="2"/>
  <c r="F1643" i="2"/>
  <c r="F1499" i="2"/>
  <c r="F1355" i="2"/>
  <c r="F1211" i="2"/>
  <c r="F1056" i="2"/>
  <c r="F899" i="2"/>
  <c r="F1994" i="2"/>
  <c r="F1464" i="2"/>
  <c r="F397" i="2"/>
  <c r="F2076" i="2"/>
  <c r="F1562" i="2"/>
  <c r="F414" i="2"/>
  <c r="F1385" i="2"/>
  <c r="F1799" i="2"/>
  <c r="F1186" i="2"/>
  <c r="F2209" i="2"/>
  <c r="F2278" i="2"/>
  <c r="F2117" i="2"/>
  <c r="F1661" i="2"/>
  <c r="F1040" i="2"/>
  <c r="F1474" i="2"/>
  <c r="F1845" i="2"/>
  <c r="F849" i="2"/>
  <c r="F534" i="2"/>
  <c r="F1616" i="2"/>
  <c r="F1808" i="2"/>
  <c r="F1340" i="2"/>
  <c r="F796" i="2"/>
  <c r="F1123" i="2"/>
  <c r="F527" i="2"/>
  <c r="F932" i="2"/>
  <c r="F271" i="2"/>
  <c r="F2134" i="2"/>
  <c r="F1772" i="2"/>
  <c r="F1292" i="2"/>
  <c r="F2017" i="2"/>
  <c r="F1100" i="2"/>
  <c r="F498" i="2"/>
  <c r="F2241" i="2"/>
  <c r="F1891" i="2"/>
  <c r="F1450" i="2"/>
  <c r="F916" i="2"/>
  <c r="F243" i="2"/>
  <c r="F2309" i="2"/>
  <c r="F1520" i="2"/>
  <c r="F352" i="2"/>
  <c r="F769" i="2"/>
  <c r="F2086" i="2"/>
  <c r="F1831" i="2"/>
  <c r="F1198" i="2"/>
  <c r="F379" i="2"/>
  <c r="F1893" i="2"/>
  <c r="F1623" i="2"/>
  <c r="F1281" i="2"/>
  <c r="F918" i="2"/>
  <c r="F505" i="2"/>
  <c r="F2234" i="2"/>
  <c r="F2045" i="2"/>
  <c r="F1853" i="2"/>
  <c r="F1400" i="2"/>
  <c r="F861" i="2"/>
  <c r="F552" i="2"/>
  <c r="F2285" i="2"/>
  <c r="F2107" i="2"/>
  <c r="F1915" i="2"/>
  <c r="F1723" i="2"/>
  <c r="F1481" i="2"/>
  <c r="F2005" i="2"/>
  <c r="F2119" i="2"/>
  <c r="F2060" i="2"/>
  <c r="F2307" i="2"/>
  <c r="F438" i="2"/>
  <c r="F1781" i="2"/>
  <c r="F2299" i="2"/>
  <c r="F1556" i="2"/>
  <c r="F1953" i="2"/>
  <c r="F2281" i="2"/>
  <c r="F1532" i="2"/>
  <c r="F2144" i="2"/>
  <c r="F1777" i="2"/>
  <c r="F749" i="2"/>
  <c r="F2317" i="2"/>
  <c r="F1594" i="2"/>
  <c r="F1073" i="2"/>
  <c r="F2225" i="2"/>
  <c r="F1868" i="2"/>
  <c r="F883" i="2"/>
  <c r="F1244" i="2"/>
  <c r="F691" i="2"/>
  <c r="F2314" i="2"/>
  <c r="F1990" i="2"/>
  <c r="F1060" i="2"/>
  <c r="F871" i="2"/>
  <c r="F1796" i="2"/>
  <c r="F1491" i="2"/>
  <c r="F1149" i="2"/>
  <c r="F778" i="2"/>
  <c r="F313" i="2"/>
  <c r="F1455" i="2"/>
  <c r="F1110" i="2"/>
  <c r="F733" i="2"/>
  <c r="F255" i="2"/>
  <c r="F2065" i="2"/>
  <c r="F1810" i="2"/>
  <c r="F1514" i="2"/>
  <c r="F1168" i="2"/>
  <c r="F798" i="2"/>
  <c r="F344" i="2"/>
  <c r="F2129" i="2"/>
  <c r="F1597" i="2"/>
  <c r="F1256" i="2"/>
  <c r="F464" i="2"/>
  <c r="F1633" i="2"/>
  <c r="F1377" i="2"/>
  <c r="F1114" i="2"/>
  <c r="F836" i="2"/>
  <c r="F519" i="2"/>
  <c r="F2271" i="2"/>
  <c r="F2089" i="2"/>
  <c r="F1897" i="2"/>
  <c r="F1704" i="2"/>
  <c r="F1457" i="2"/>
  <c r="F1202" i="2"/>
  <c r="F924" i="2"/>
  <c r="F258" i="2"/>
  <c r="F2012" i="2"/>
  <c r="F1985" i="2"/>
  <c r="F2263" i="2"/>
  <c r="F1306" i="2"/>
  <c r="F656" i="2"/>
  <c r="F2253" i="2"/>
  <c r="F1472" i="2"/>
  <c r="F1889" i="2"/>
  <c r="F913" i="2"/>
  <c r="F2238" i="2"/>
  <c r="F1443" i="2"/>
  <c r="F234" i="2"/>
  <c r="F2113" i="2"/>
  <c r="F1251" i="2"/>
  <c r="F700" i="2"/>
  <c r="F1028" i="2"/>
  <c r="F1837" i="2"/>
  <c r="F1378" i="2"/>
  <c r="F837" i="2"/>
  <c r="F1705" i="2"/>
  <c r="F1203" i="2"/>
  <c r="F639" i="2"/>
  <c r="F2290" i="2"/>
  <c r="F1825" i="2"/>
  <c r="F1361" i="2"/>
  <c r="F820" i="2"/>
  <c r="F2276" i="2"/>
  <c r="F1467" i="2"/>
  <c r="F1748" i="2"/>
  <c r="F2288" i="2"/>
  <c r="F2047" i="2"/>
  <c r="F1789" i="2"/>
  <c r="F1486" i="2"/>
  <c r="F1141" i="2"/>
  <c r="F2108" i="2"/>
  <c r="F1568" i="2"/>
  <c r="F1227" i="2"/>
  <c r="F857" i="2"/>
  <c r="F2205" i="2"/>
  <c r="F2013" i="2"/>
  <c r="F1821" i="2"/>
  <c r="F1612" i="2"/>
  <c r="F1357" i="2"/>
  <c r="F1093" i="2"/>
  <c r="F813" i="2"/>
  <c r="F488" i="2"/>
  <c r="F2258" i="2"/>
  <c r="F2074" i="2"/>
  <c r="F1882" i="2"/>
  <c r="F1688" i="2"/>
  <c r="F1438" i="2"/>
  <c r="F1181" i="2"/>
  <c r="F902" i="2"/>
  <c r="F606" i="2"/>
  <c r="F1660" i="2"/>
  <c r="F1793" i="2"/>
  <c r="F1750" i="2"/>
  <c r="F1941" i="2"/>
  <c r="F989" i="2"/>
  <c r="F760" i="2"/>
  <c r="F1645" i="2"/>
  <c r="F2204" i="2"/>
  <c r="F1388" i="2"/>
  <c r="F2182" i="2"/>
  <c r="F1359" i="2"/>
  <c r="F2084" i="2"/>
  <c r="F1714" i="2"/>
  <c r="F652" i="2"/>
  <c r="F2273" i="2"/>
  <c r="F1933" i="2"/>
  <c r="F1505" i="2"/>
  <c r="F977" i="2"/>
  <c r="F2165" i="2"/>
  <c r="F1802" i="2"/>
  <c r="F786" i="2"/>
  <c r="F2050" i="2"/>
  <c r="F1666" i="2"/>
  <c r="F1927" i="2"/>
  <c r="F1498" i="2"/>
  <c r="F1797" i="2"/>
  <c r="F1324" i="2"/>
  <c r="F1436" i="2"/>
  <c r="F1084" i="2"/>
  <c r="F1048" i="2"/>
  <c r="F678" i="2"/>
  <c r="F2023" i="2"/>
  <c r="F1765" i="2"/>
  <c r="F1108" i="2"/>
  <c r="F252" i="2"/>
  <c r="F2319" i="2"/>
  <c r="F2085" i="2"/>
  <c r="F1829" i="2"/>
  <c r="F1537" i="2"/>
  <c r="F1197" i="2"/>
  <c r="F825" i="2"/>
  <c r="F2189" i="2"/>
  <c r="F1997" i="2"/>
  <c r="F1805" i="2"/>
  <c r="F1592" i="2"/>
  <c r="F1335" i="2"/>
  <c r="F1070" i="2"/>
  <c r="F457" i="2"/>
  <c r="F2245" i="2"/>
  <c r="F2059" i="2"/>
  <c r="F1867" i="2"/>
  <c r="F1671" i="2"/>
  <c r="F1418" i="2"/>
  <c r="F1160" i="2"/>
  <c r="F880" i="2"/>
  <c r="F577" i="2"/>
  <c r="F1405" i="2"/>
  <c r="F1575" i="2"/>
  <c r="F1877" i="2"/>
  <c r="F896" i="2"/>
  <c r="F2036" i="2"/>
  <c r="F2301" i="2"/>
  <c r="F412" i="2"/>
  <c r="F2145" i="2"/>
  <c r="F1299" i="2"/>
  <c r="F1761" i="2"/>
  <c r="F727" i="2"/>
  <c r="F2125" i="2"/>
  <c r="F1275" i="2"/>
  <c r="F1676" i="2"/>
  <c r="F1165" i="2"/>
  <c r="F1905" i="2"/>
  <c r="F1468" i="2"/>
  <c r="F745" i="2"/>
  <c r="F517" i="2"/>
  <c r="F2242" i="2"/>
  <c r="F1892" i="2"/>
  <c r="F917" i="2"/>
  <c r="F247" i="2"/>
  <c r="F2132" i="2"/>
  <c r="F1762" i="2"/>
  <c r="F1277" i="2"/>
  <c r="F2240" i="2"/>
  <c r="F1988" i="2"/>
  <c r="F1407" i="2"/>
  <c r="F1057" i="2"/>
  <c r="F1702" i="2"/>
  <c r="F1014" i="2"/>
  <c r="F631" i="2"/>
  <c r="F2252" i="2"/>
  <c r="F2002" i="2"/>
  <c r="F1747" i="2"/>
  <c r="F1426" i="2"/>
  <c r="F1076" i="2"/>
  <c r="F706" i="2"/>
  <c r="F1809" i="2"/>
  <c r="F797" i="2"/>
  <c r="F1569" i="2"/>
  <c r="F1312" i="2"/>
  <c r="F1045" i="2"/>
  <c r="F766" i="2"/>
  <c r="F424" i="2"/>
  <c r="F2232" i="2"/>
  <c r="F2041" i="2"/>
  <c r="F1849" i="2"/>
  <c r="F1649" i="2"/>
  <c r="F1394" i="2"/>
  <c r="F1134" i="2"/>
  <c r="F853" i="2"/>
  <c r="F543" i="2"/>
  <c r="F1684" i="2"/>
  <c r="F2262" i="2"/>
  <c r="F1647" i="2"/>
  <c r="F1975" i="2"/>
  <c r="F1037" i="2"/>
  <c r="F1473" i="2"/>
  <c r="F282" i="2"/>
  <c r="F1695" i="2"/>
  <c r="F620" i="2"/>
  <c r="F2069" i="2"/>
  <c r="F2029" i="2"/>
  <c r="F1642" i="2"/>
  <c r="F1125" i="2"/>
  <c r="F529" i="2"/>
  <c r="F2226" i="2"/>
  <c r="F1421" i="2"/>
  <c r="F885" i="2"/>
  <c r="F694" i="2"/>
  <c r="F1061" i="2"/>
  <c r="F1861" i="2"/>
  <c r="F1409" i="2"/>
  <c r="F1733" i="2"/>
  <c r="F1239" i="2"/>
  <c r="F1712" i="2"/>
  <c r="F1027" i="2"/>
  <c r="F1940" i="2"/>
  <c r="F988" i="2"/>
  <c r="F592" i="2"/>
  <c r="F2235" i="2"/>
  <c r="F1981" i="2"/>
  <c r="F1726" i="2"/>
  <c r="F1402" i="2"/>
  <c r="F676" i="2"/>
  <c r="F2286" i="2"/>
  <c r="F1484" i="2"/>
  <c r="F1136" i="2"/>
  <c r="F765" i="2"/>
  <c r="F300" i="2"/>
  <c r="F2157" i="2"/>
  <c r="F1965" i="2"/>
  <c r="F1773" i="2"/>
  <c r="F1549" i="2"/>
  <c r="F1293" i="2"/>
  <c r="F1022" i="2"/>
  <c r="F396" i="2"/>
  <c r="F2218" i="2"/>
  <c r="F2026" i="2"/>
  <c r="F1834" i="2"/>
  <c r="F1630" i="2"/>
  <c r="F1373" i="2"/>
  <c r="F1112" i="2"/>
  <c r="F833" i="2"/>
  <c r="F511" i="2"/>
  <c r="F1053" i="2"/>
  <c r="F717" i="2"/>
  <c r="F990" i="2"/>
  <c r="F2098" i="2"/>
  <c r="F1749" i="2"/>
  <c r="F1147" i="2"/>
  <c r="F2305" i="2"/>
  <c r="F416" i="2"/>
  <c r="F1909" i="2"/>
  <c r="F942" i="2"/>
  <c r="F1389" i="2"/>
  <c r="F2033" i="2"/>
  <c r="F1126" i="2"/>
  <c r="F1617" i="2"/>
  <c r="F2000" i="2"/>
  <c r="F1074" i="2"/>
  <c r="F1841" i="2"/>
  <c r="F1383" i="2"/>
  <c r="F844" i="2"/>
  <c r="F2081" i="2"/>
  <c r="F1710" i="2"/>
  <c r="F1210" i="2"/>
  <c r="F1964" i="2"/>
  <c r="F1021" i="2"/>
  <c r="F1364" i="2"/>
  <c r="F822" i="2"/>
  <c r="F1697" i="2"/>
  <c r="F1685" i="2"/>
  <c r="F1347" i="2"/>
  <c r="F992" i="2"/>
  <c r="F604" i="2"/>
  <c r="F1659" i="2"/>
  <c r="F1316" i="2"/>
  <c r="F956" i="2"/>
  <c r="F557" i="2"/>
  <c r="F2215" i="2"/>
  <c r="F1957" i="2"/>
  <c r="F1701" i="2"/>
  <c r="F1370" i="2"/>
  <c r="F630" i="2"/>
  <c r="F2021" i="2"/>
  <c r="F1453" i="2"/>
  <c r="F1105" i="2"/>
  <c r="F248" i="2"/>
  <c r="F2313" i="2"/>
  <c r="F2141" i="2"/>
  <c r="F1949" i="2"/>
  <c r="F1757" i="2"/>
  <c r="F1527" i="2"/>
  <c r="F1272" i="2"/>
  <c r="F1001" i="2"/>
  <c r="F2203" i="2"/>
  <c r="F2011" i="2"/>
  <c r="F1819" i="2"/>
  <c r="F1610" i="2"/>
  <c r="F2177" i="2"/>
  <c r="F709" i="2"/>
  <c r="F1987" i="2"/>
  <c r="F2259" i="2"/>
  <c r="F1846" i="2"/>
  <c r="F2146" i="2"/>
  <c r="F1533" i="2"/>
  <c r="F1952" i="2"/>
  <c r="F1005" i="2"/>
  <c r="F2295" i="2"/>
  <c r="F1969" i="2"/>
  <c r="F1553" i="2"/>
  <c r="F1029" i="2"/>
  <c r="F2167" i="2"/>
  <c r="F1672" i="2"/>
  <c r="F1162" i="2"/>
  <c r="F579" i="2"/>
  <c r="F2266" i="2"/>
  <c r="F2161" i="2"/>
  <c r="F1798" i="2"/>
  <c r="F1325" i="2"/>
  <c r="F2048" i="2"/>
  <c r="F1664" i="2"/>
  <c r="F2180" i="2"/>
  <c r="F1662" i="2"/>
  <c r="F961" i="2"/>
  <c r="F560" i="2"/>
  <c r="F1895" i="2"/>
  <c r="F1628" i="2"/>
  <c r="F922" i="2"/>
  <c r="F2194" i="2"/>
  <c r="F1939" i="2"/>
  <c r="F1678" i="2"/>
  <c r="F1342" i="2"/>
  <c r="F984" i="2"/>
  <c r="F589" i="2"/>
  <c r="F2251" i="2"/>
  <c r="F2001" i="2"/>
  <c r="F1745" i="2"/>
  <c r="F1425" i="2"/>
  <c r="F1075" i="2"/>
  <c r="F704" i="2"/>
  <c r="F2300" i="2"/>
  <c r="F1504" i="2"/>
  <c r="F1249" i="2"/>
  <c r="F976" i="2"/>
  <c r="F331" i="2"/>
  <c r="F2185" i="2"/>
  <c r="F1993" i="2"/>
  <c r="F1801" i="2"/>
  <c r="F1586" i="2"/>
  <c r="F1330" i="2"/>
  <c r="F1063" i="2"/>
  <c r="F785" i="2"/>
  <c r="F1297" i="2"/>
  <c r="F520" i="2"/>
  <c r="F1618" i="2"/>
  <c r="F1904" i="2"/>
  <c r="F1635" i="2"/>
  <c r="F1599" i="2"/>
  <c r="F2173" i="2"/>
  <c r="F1313" i="2"/>
  <c r="F955" i="2"/>
  <c r="F1724" i="2"/>
  <c r="F1395" i="2"/>
  <c r="F673" i="2"/>
  <c r="F2109" i="2"/>
  <c r="F1917" i="2"/>
  <c r="F1725" i="2"/>
  <c r="F1485" i="2"/>
  <c r="F1228" i="2"/>
  <c r="F301" i="2"/>
  <c r="F2170" i="2"/>
  <c r="F1978" i="2"/>
  <c r="F1786" i="2"/>
  <c r="F1565" i="2"/>
  <c r="F1042" i="2"/>
  <c r="F1848" i="2"/>
  <c r="F1648" i="2"/>
  <c r="F1393" i="2"/>
  <c r="F1133" i="2"/>
  <c r="F2190" i="2"/>
  <c r="F2046" i="2"/>
  <c r="F1902" i="2"/>
  <c r="F1758" i="2"/>
  <c r="F1593" i="2"/>
  <c r="F1401" i="2"/>
  <c r="F1209" i="2"/>
  <c r="F1002" i="2"/>
  <c r="F553" i="2"/>
  <c r="F270" i="2"/>
  <c r="F2236" i="2"/>
  <c r="F2092" i="2"/>
  <c r="F1948" i="2"/>
  <c r="F1804" i="2"/>
  <c r="F1654" i="2"/>
  <c r="F1462" i="2"/>
  <c r="F1270" i="2"/>
  <c r="F859" i="2"/>
  <c r="F641" i="2"/>
  <c r="F363" i="2"/>
  <c r="F2151" i="2"/>
  <c r="F2007" i="2"/>
  <c r="F1863" i="2"/>
  <c r="F1719" i="2"/>
  <c r="F1540" i="2"/>
  <c r="F1348" i="2"/>
  <c r="F1153" i="2"/>
  <c r="F944" i="2"/>
  <c r="F475" i="2"/>
  <c r="F742" i="2"/>
  <c r="F556" i="2"/>
  <c r="F347" i="2"/>
  <c r="F1651" i="2"/>
  <c r="F1507" i="2"/>
  <c r="F1363" i="2"/>
  <c r="F1219" i="2"/>
  <c r="F1065" i="2"/>
  <c r="F908" i="2"/>
  <c r="F751" i="2"/>
  <c r="F568" i="2"/>
  <c r="F359" i="2"/>
  <c r="F1602" i="2"/>
  <c r="F1458" i="2"/>
  <c r="F1314" i="2"/>
  <c r="F1169" i="2"/>
  <c r="F1012" i="2"/>
  <c r="F854" i="2"/>
  <c r="F697" i="2"/>
  <c r="F496" i="2"/>
  <c r="F287" i="2"/>
  <c r="F1179" i="2"/>
  <c r="F1035" i="2"/>
  <c r="F891" i="2"/>
  <c r="F747" i="2"/>
  <c r="F580" i="2"/>
  <c r="F388" i="2"/>
  <c r="F650" i="2"/>
  <c r="F506" i="2"/>
  <c r="F362" i="2"/>
  <c r="F670" i="2"/>
  <c r="F526" i="2"/>
  <c r="F382" i="2"/>
  <c r="F238" i="2"/>
  <c r="F549" i="2"/>
  <c r="F1813" i="2"/>
  <c r="F1489" i="2"/>
  <c r="F2277" i="2"/>
  <c r="F1858" i="2"/>
  <c r="F1717" i="2"/>
  <c r="F2035" i="2"/>
  <c r="F1844" i="2"/>
  <c r="F848" i="2"/>
  <c r="F817" i="2"/>
  <c r="F1906" i="2"/>
  <c r="F1469" i="2"/>
  <c r="F937" i="2"/>
  <c r="F280" i="2"/>
  <c r="F1741" i="2"/>
  <c r="F1587" i="2"/>
  <c r="F1066" i="2"/>
  <c r="F452" i="2"/>
  <c r="F2221" i="2"/>
  <c r="F1412" i="2"/>
  <c r="F874" i="2"/>
  <c r="F2101" i="2"/>
  <c r="F1735" i="2"/>
  <c r="F689" i="2"/>
  <c r="F1989" i="2"/>
  <c r="F1581" i="2"/>
  <c r="F440" i="2"/>
  <c r="F1604" i="2"/>
  <c r="F1263" i="2"/>
  <c r="F1856" i="2"/>
  <c r="F1232" i="2"/>
  <c r="F428" i="2"/>
  <c r="F2149" i="2"/>
  <c r="F1894" i="2"/>
  <c r="F1625" i="2"/>
  <c r="F1282" i="2"/>
  <c r="F919" i="2"/>
  <c r="F508" i="2"/>
  <c r="F2213" i="2"/>
  <c r="F1700" i="2"/>
  <c r="F1009" i="2"/>
  <c r="F629" i="2"/>
  <c r="F2274" i="2"/>
  <c r="F2093" i="2"/>
  <c r="F1901" i="2"/>
  <c r="F1708" i="2"/>
  <c r="F1208" i="2"/>
  <c r="F930" i="2"/>
  <c r="F644" i="2"/>
  <c r="F2155" i="2"/>
  <c r="F1963" i="2"/>
  <c r="F1771" i="2"/>
  <c r="F1546" i="2"/>
  <c r="F1601" i="2"/>
  <c r="F1233" i="2"/>
  <c r="F2228" i="2"/>
  <c r="F1431" i="2"/>
  <c r="F1795" i="2"/>
  <c r="F775" i="2"/>
  <c r="F2097" i="2"/>
  <c r="F1220" i="2"/>
  <c r="F1973" i="2"/>
  <c r="F752" i="2"/>
  <c r="F1276" i="2"/>
  <c r="F1760" i="2"/>
  <c r="F726" i="2"/>
  <c r="F2227" i="2"/>
  <c r="F1424" i="2"/>
  <c r="F2083" i="2"/>
  <c r="F1713" i="2"/>
  <c r="F1213" i="2"/>
  <c r="F2293" i="2"/>
  <c r="F2192" i="2"/>
  <c r="F1376" i="2"/>
  <c r="F835" i="2"/>
  <c r="F2077" i="2"/>
  <c r="F1698" i="2"/>
  <c r="F1196" i="2"/>
  <c r="F627" i="2"/>
  <c r="F2289" i="2"/>
  <c r="F1954" i="2"/>
  <c r="F373" i="2"/>
  <c r="F1580" i="2"/>
  <c r="F870" i="2"/>
  <c r="F439" i="2"/>
  <c r="F1539" i="2"/>
  <c r="F383" i="2"/>
  <c r="F2131" i="2"/>
  <c r="F1873" i="2"/>
  <c r="F1258" i="2"/>
  <c r="F467" i="2"/>
  <c r="F2193" i="2"/>
  <c r="F1937" i="2"/>
  <c r="F1677" i="2"/>
  <c r="F1341" i="2"/>
  <c r="F982" i="2"/>
  <c r="F2261" i="2"/>
  <c r="F1690" i="2"/>
  <c r="F1441" i="2"/>
  <c r="F1185" i="2"/>
  <c r="F905" i="2"/>
  <c r="F229" i="2"/>
  <c r="F2311" i="2"/>
  <c r="F2137" i="2"/>
  <c r="F1945" i="2"/>
  <c r="F1753" i="2"/>
  <c r="F1522" i="2"/>
  <c r="F1265" i="2"/>
  <c r="F994" i="2"/>
  <c r="F715" i="2"/>
  <c r="F1729" i="2"/>
  <c r="F2037" i="2"/>
  <c r="F2071" i="2"/>
  <c r="F1191" i="2"/>
  <c r="F615" i="2"/>
  <c r="F2197" i="2"/>
  <c r="F1843" i="2"/>
  <c r="F846" i="2"/>
  <c r="F2053" i="2"/>
  <c r="F2269" i="2"/>
  <c r="F1503" i="2"/>
  <c r="F1328" i="2"/>
  <c r="F2049" i="2"/>
  <c r="F1665" i="2"/>
  <c r="F565" i="2"/>
  <c r="F1925" i="2"/>
  <c r="F966" i="2"/>
  <c r="F2096" i="2"/>
  <c r="F1551" i="2"/>
  <c r="F838" i="2"/>
  <c r="F400" i="2"/>
  <c r="F1515" i="2"/>
  <c r="F1171" i="2"/>
  <c r="F799" i="2"/>
  <c r="F348" i="2"/>
  <c r="F2110" i="2"/>
  <c r="F1855" i="2"/>
  <c r="F1570" i="2"/>
  <c r="F1229" i="2"/>
  <c r="F1916" i="2"/>
  <c r="F1652" i="2"/>
  <c r="F1311" i="2"/>
  <c r="F953" i="2"/>
  <c r="F544" i="2"/>
  <c r="F2247" i="2"/>
  <c r="F2061" i="2"/>
  <c r="F1869" i="2"/>
  <c r="F1673" i="2"/>
  <c r="F1420" i="2"/>
  <c r="F884" i="2"/>
  <c r="F581" i="2"/>
  <c r="F2298" i="2"/>
  <c r="F2122" i="2"/>
  <c r="F1930" i="2"/>
  <c r="F1738" i="2"/>
  <c r="F1502" i="2"/>
  <c r="F1246" i="2"/>
  <c r="F693" i="2"/>
  <c r="F1226" i="2"/>
  <c r="F950" i="2"/>
  <c r="F668" i="2"/>
  <c r="F299" i="2"/>
  <c r="F2169" i="2"/>
  <c r="F1977" i="2"/>
  <c r="F1785" i="2"/>
  <c r="F1564" i="2"/>
  <c r="F1309" i="2"/>
  <c r="F1041" i="2"/>
  <c r="F761" i="2"/>
  <c r="F419" i="2"/>
  <c r="F2142" i="2"/>
  <c r="F1998" i="2"/>
  <c r="F1854" i="2"/>
  <c r="F1709" i="2"/>
  <c r="F1528" i="2"/>
  <c r="F1336" i="2"/>
  <c r="F1140" i="2"/>
  <c r="F931" i="2"/>
  <c r="F721" i="2"/>
  <c r="F459" i="2"/>
  <c r="F2188" i="2"/>
  <c r="F2044" i="2"/>
  <c r="F1900" i="2"/>
  <c r="F1756" i="2"/>
  <c r="F1589" i="2"/>
  <c r="F1397" i="2"/>
  <c r="F1205" i="2"/>
  <c r="F997" i="2"/>
  <c r="F788" i="2"/>
  <c r="F546" i="2"/>
  <c r="F264" i="2"/>
  <c r="F2103" i="2"/>
  <c r="F1959" i="2"/>
  <c r="F1815" i="2"/>
  <c r="F1667" i="2"/>
  <c r="F1477" i="2"/>
  <c r="F1285" i="2"/>
  <c r="F1085" i="2"/>
  <c r="F875" i="2"/>
  <c r="F664" i="2"/>
  <c r="F384" i="2"/>
  <c r="F1595" i="2"/>
  <c r="F1451" i="2"/>
  <c r="F1307" i="2"/>
  <c r="F1161" i="2"/>
  <c r="F1004" i="2"/>
  <c r="F847" i="2"/>
  <c r="F690" i="2"/>
  <c r="F486" i="2"/>
  <c r="F272" i="2"/>
  <c r="F1603" i="2"/>
  <c r="F1459" i="2"/>
  <c r="F1315" i="2"/>
  <c r="F1170" i="2"/>
  <c r="F1013" i="2"/>
  <c r="F856" i="2"/>
  <c r="F698" i="2"/>
  <c r="F497" i="2"/>
  <c r="F288" i="2"/>
  <c r="F1554" i="2"/>
  <c r="F1410" i="2"/>
  <c r="F1266" i="2"/>
  <c r="F1116" i="2"/>
  <c r="F959" i="2"/>
  <c r="F802" i="2"/>
  <c r="F636" i="2"/>
  <c r="F426" i="2"/>
  <c r="F275" i="2"/>
  <c r="F1131" i="2"/>
  <c r="F987" i="2"/>
  <c r="F843" i="2"/>
  <c r="F699" i="2"/>
  <c r="F516" i="2"/>
  <c r="F324" i="2"/>
  <c r="F602" i="2"/>
  <c r="F458" i="2"/>
  <c r="F314" i="2"/>
  <c r="F622" i="2"/>
  <c r="F478" i="2"/>
  <c r="F334" i="2"/>
  <c r="F645" i="2"/>
  <c r="F501" i="2"/>
  <c r="F357" i="2"/>
  <c r="F2153" i="2"/>
  <c r="F1961" i="2"/>
  <c r="F1769" i="2"/>
  <c r="F1544" i="2"/>
  <c r="F1287" i="2"/>
  <c r="F1018" i="2"/>
  <c r="F739" i="2"/>
  <c r="F387" i="2"/>
  <c r="F2130" i="2"/>
  <c r="F1986" i="2"/>
  <c r="F1842" i="2"/>
  <c r="F1696" i="2"/>
  <c r="F1513" i="2"/>
  <c r="F1321" i="2"/>
  <c r="F1124" i="2"/>
  <c r="F914" i="2"/>
  <c r="F705" i="2"/>
  <c r="F2176" i="2"/>
  <c r="F2032" i="2"/>
  <c r="F1888" i="2"/>
  <c r="F1744" i="2"/>
  <c r="F1574" i="2"/>
  <c r="F1382" i="2"/>
  <c r="F1190" i="2"/>
  <c r="F981" i="2"/>
  <c r="F772" i="2"/>
  <c r="F524" i="2"/>
  <c r="F236" i="2"/>
  <c r="F2091" i="2"/>
  <c r="F1947" i="2"/>
  <c r="F1803" i="2"/>
  <c r="F1653" i="2"/>
  <c r="F1461" i="2"/>
  <c r="F1269" i="2"/>
  <c r="F1067" i="2"/>
  <c r="F858" i="2"/>
  <c r="F640" i="2"/>
  <c r="F361" i="2"/>
  <c r="F1583" i="2"/>
  <c r="F1439" i="2"/>
  <c r="F1295" i="2"/>
  <c r="F1148" i="2"/>
  <c r="F991" i="2"/>
  <c r="F834" i="2"/>
  <c r="F677" i="2"/>
  <c r="F469" i="2"/>
  <c r="F253" i="2"/>
  <c r="F1591" i="2"/>
  <c r="F1447" i="2"/>
  <c r="F1303" i="2"/>
  <c r="F1157" i="2"/>
  <c r="F1000" i="2"/>
  <c r="F842" i="2"/>
  <c r="F685" i="2"/>
  <c r="F480" i="2"/>
  <c r="F267" i="2"/>
  <c r="F1542" i="2"/>
  <c r="F1398" i="2"/>
  <c r="F1254" i="2"/>
  <c r="F1103" i="2"/>
  <c r="F946" i="2"/>
  <c r="F789" i="2"/>
  <c r="F618" i="2"/>
  <c r="F409" i="2"/>
  <c r="F257" i="2"/>
  <c r="F1119" i="2"/>
  <c r="F975" i="2"/>
  <c r="F831" i="2"/>
  <c r="F687" i="2"/>
  <c r="F499" i="2"/>
  <c r="F307" i="2"/>
  <c r="F590" i="2"/>
  <c r="F446" i="2"/>
  <c r="F302" i="2"/>
  <c r="F610" i="2"/>
  <c r="F466" i="2"/>
  <c r="F322" i="2"/>
  <c r="F633" i="2"/>
  <c r="F489" i="2"/>
  <c r="F345" i="2"/>
  <c r="F2310" i="2"/>
  <c r="F2136" i="2"/>
  <c r="F1944" i="2"/>
  <c r="F1752" i="2"/>
  <c r="F1521" i="2"/>
  <c r="F1264" i="2"/>
  <c r="F993" i="2"/>
  <c r="F714" i="2"/>
  <c r="F2118" i="2"/>
  <c r="F1974" i="2"/>
  <c r="F1830" i="2"/>
  <c r="F1683" i="2"/>
  <c r="F1497" i="2"/>
  <c r="F1305" i="2"/>
  <c r="F1106" i="2"/>
  <c r="F897" i="2"/>
  <c r="F688" i="2"/>
  <c r="F2308" i="2"/>
  <c r="F2164" i="2"/>
  <c r="F2020" i="2"/>
  <c r="F1876" i="2"/>
  <c r="F1732" i="2"/>
  <c r="F1558" i="2"/>
  <c r="F1366" i="2"/>
  <c r="F1173" i="2"/>
  <c r="F964" i="2"/>
  <c r="F754" i="2"/>
  <c r="F503" i="2"/>
  <c r="F2223" i="2"/>
  <c r="F2079" i="2"/>
  <c r="F1935" i="2"/>
  <c r="F1791" i="2"/>
  <c r="F1636" i="2"/>
  <c r="F1444" i="2"/>
  <c r="F1252" i="2"/>
  <c r="F1049" i="2"/>
  <c r="F839" i="2"/>
  <c r="F616" i="2"/>
  <c r="F336" i="2"/>
  <c r="F1571" i="2"/>
  <c r="F1427" i="2"/>
  <c r="F1283" i="2"/>
  <c r="F1135" i="2"/>
  <c r="F978" i="2"/>
  <c r="F821" i="2"/>
  <c r="F661" i="2"/>
  <c r="F450" i="2"/>
  <c r="F232" i="2"/>
  <c r="F1579" i="2"/>
  <c r="F1435" i="2"/>
  <c r="F1291" i="2"/>
  <c r="F1144" i="2"/>
  <c r="F986" i="2"/>
  <c r="F829" i="2"/>
  <c r="F672" i="2"/>
  <c r="F462" i="2"/>
  <c r="F246" i="2"/>
  <c r="F1530" i="2"/>
  <c r="F1386" i="2"/>
  <c r="F1242" i="2"/>
  <c r="F1090" i="2"/>
  <c r="F933" i="2"/>
  <c r="F776" i="2"/>
  <c r="F601" i="2"/>
  <c r="F391" i="2"/>
  <c r="F240" i="2"/>
  <c r="F1107" i="2"/>
  <c r="F963" i="2"/>
  <c r="F819" i="2"/>
  <c r="F675" i="2"/>
  <c r="F484" i="2"/>
  <c r="F292" i="2"/>
  <c r="F578" i="2"/>
  <c r="F434" i="2"/>
  <c r="F290" i="2"/>
  <c r="F598" i="2"/>
  <c r="F454" i="2"/>
  <c r="F310" i="2"/>
  <c r="F621" i="2"/>
  <c r="F477" i="2"/>
  <c r="F333" i="2"/>
  <c r="F2297" i="2"/>
  <c r="F2121" i="2"/>
  <c r="F1929" i="2"/>
  <c r="F1737" i="2"/>
  <c r="F1501" i="2"/>
  <c r="F1245" i="2"/>
  <c r="F970" i="2"/>
  <c r="F692" i="2"/>
  <c r="F327" i="2"/>
  <c r="F2106" i="2"/>
  <c r="F1962" i="2"/>
  <c r="F1818" i="2"/>
  <c r="F1670" i="2"/>
  <c r="F1480" i="2"/>
  <c r="F1288" i="2"/>
  <c r="F1088" i="2"/>
  <c r="F878" i="2"/>
  <c r="F667" i="2"/>
  <c r="F2296" i="2"/>
  <c r="F2152" i="2"/>
  <c r="F2008" i="2"/>
  <c r="F1864" i="2"/>
  <c r="F1720" i="2"/>
  <c r="F1541" i="2"/>
  <c r="F1349" i="2"/>
  <c r="F1154" i="2"/>
  <c r="F945" i="2"/>
  <c r="F736" i="2"/>
  <c r="F476" i="2"/>
  <c r="F2211" i="2"/>
  <c r="F2067" i="2"/>
  <c r="F1923" i="2"/>
  <c r="F1779" i="2"/>
  <c r="F1621" i="2"/>
  <c r="F1429" i="2"/>
  <c r="F1237" i="2"/>
  <c r="F1032" i="2"/>
  <c r="F823" i="2"/>
  <c r="F593" i="2"/>
  <c r="F315" i="2"/>
  <c r="F1559" i="2"/>
  <c r="F1415" i="2"/>
  <c r="F1271" i="2"/>
  <c r="F1122" i="2"/>
  <c r="F965" i="2"/>
  <c r="F808" i="2"/>
  <c r="F642" i="2"/>
  <c r="F433" i="2"/>
  <c r="F1711" i="2"/>
  <c r="F1567" i="2"/>
  <c r="F1423" i="2"/>
  <c r="F1279" i="2"/>
  <c r="F1130" i="2"/>
  <c r="F973" i="2"/>
  <c r="F816" i="2"/>
  <c r="F654" i="2"/>
  <c r="F445" i="2"/>
  <c r="F224" i="2"/>
  <c r="F1518" i="2"/>
  <c r="F1374" i="2"/>
  <c r="F1230" i="2"/>
  <c r="F1077" i="2"/>
  <c r="F920" i="2"/>
  <c r="F763" i="2"/>
  <c r="F583" i="2"/>
  <c r="F375" i="2"/>
  <c r="F222" i="2"/>
  <c r="F1095" i="2"/>
  <c r="F951" i="2"/>
  <c r="F807" i="2"/>
  <c r="F660" i="2"/>
  <c r="F468" i="2"/>
  <c r="F276" i="2"/>
  <c r="F566" i="2"/>
  <c r="F422" i="2"/>
  <c r="F278" i="2"/>
  <c r="F586" i="2"/>
  <c r="F442" i="2"/>
  <c r="F298" i="2"/>
  <c r="F609" i="2"/>
  <c r="F465" i="2"/>
  <c r="F321" i="2"/>
  <c r="F2283" i="2"/>
  <c r="F2105" i="2"/>
  <c r="F1913" i="2"/>
  <c r="F1721" i="2"/>
  <c r="F1479" i="2"/>
  <c r="F1224" i="2"/>
  <c r="F948" i="2"/>
  <c r="F666" i="2"/>
  <c r="F295" i="2"/>
  <c r="F2094" i="2"/>
  <c r="F1950" i="2"/>
  <c r="F1806" i="2"/>
  <c r="F1657" i="2"/>
  <c r="F1465" i="2"/>
  <c r="F1273" i="2"/>
  <c r="F1072" i="2"/>
  <c r="F862" i="2"/>
  <c r="F647" i="2"/>
  <c r="F366" i="2"/>
  <c r="F2284" i="2"/>
  <c r="F2140" i="2"/>
  <c r="F1996" i="2"/>
  <c r="F1852" i="2"/>
  <c r="F1707" i="2"/>
  <c r="F1526" i="2"/>
  <c r="F1334" i="2"/>
  <c r="F1138" i="2"/>
  <c r="F929" i="2"/>
  <c r="F719" i="2"/>
  <c r="F456" i="2"/>
  <c r="F2199" i="2"/>
  <c r="F2055" i="2"/>
  <c r="F1911" i="2"/>
  <c r="F1767" i="2"/>
  <c r="F1605" i="2"/>
  <c r="F1413" i="2"/>
  <c r="F1221" i="2"/>
  <c r="F1015" i="2"/>
  <c r="F805" i="2"/>
  <c r="F570" i="2"/>
  <c r="F291" i="2"/>
  <c r="F1547" i="2"/>
  <c r="F1403" i="2"/>
  <c r="F1259" i="2"/>
  <c r="F1109" i="2"/>
  <c r="F952" i="2"/>
  <c r="F794" i="2"/>
  <c r="F625" i="2"/>
  <c r="F415" i="2"/>
  <c r="F1699" i="2"/>
  <c r="F1555" i="2"/>
  <c r="F1411" i="2"/>
  <c r="F1267" i="2"/>
  <c r="F1117" i="2"/>
  <c r="F960" i="2"/>
  <c r="F803" i="2"/>
  <c r="F637" i="2"/>
  <c r="F427" i="2"/>
  <c r="F1650" i="2"/>
  <c r="F1506" i="2"/>
  <c r="F1362" i="2"/>
  <c r="F1218" i="2"/>
  <c r="F1064" i="2"/>
  <c r="F907" i="2"/>
  <c r="F750" i="2"/>
  <c r="F567" i="2"/>
  <c r="F356" i="2"/>
  <c r="F284" i="2"/>
  <c r="F1083" i="2"/>
  <c r="F939" i="2"/>
  <c r="F795" i="2"/>
  <c r="F643" i="2"/>
  <c r="F451" i="2"/>
  <c r="F259" i="2"/>
  <c r="F554" i="2"/>
  <c r="F410" i="2"/>
  <c r="F266" i="2"/>
  <c r="F574" i="2"/>
  <c r="F430" i="2"/>
  <c r="F286" i="2"/>
  <c r="F597" i="2"/>
  <c r="F453" i="2"/>
  <c r="F309" i="2"/>
  <c r="F2270" i="2"/>
  <c r="F2088" i="2"/>
  <c r="F1896" i="2"/>
  <c r="F1703" i="2"/>
  <c r="F1456" i="2"/>
  <c r="F1201" i="2"/>
  <c r="F923" i="2"/>
  <c r="F632" i="2"/>
  <c r="F256" i="2"/>
  <c r="F2082" i="2"/>
  <c r="F1938" i="2"/>
  <c r="F1794" i="2"/>
  <c r="F1641" i="2"/>
  <c r="F1449" i="2"/>
  <c r="F1257" i="2"/>
  <c r="F1054" i="2"/>
  <c r="F845" i="2"/>
  <c r="F623" i="2"/>
  <c r="F343" i="2"/>
  <c r="F2272" i="2"/>
  <c r="F2128" i="2"/>
  <c r="F1984" i="2"/>
  <c r="F1840" i="2"/>
  <c r="F1694" i="2"/>
  <c r="F1510" i="2"/>
  <c r="F1318" i="2"/>
  <c r="F1121" i="2"/>
  <c r="F911" i="2"/>
  <c r="F702" i="2"/>
  <c r="F432" i="2"/>
  <c r="F2187" i="2"/>
  <c r="F2043" i="2"/>
  <c r="F1899" i="2"/>
  <c r="F1755" i="2"/>
  <c r="F1588" i="2"/>
  <c r="F1396" i="2"/>
  <c r="F1204" i="2"/>
  <c r="F996" i="2"/>
  <c r="F787" i="2"/>
  <c r="F545" i="2"/>
  <c r="F263" i="2"/>
  <c r="F1535" i="2"/>
  <c r="F1391" i="2"/>
  <c r="F1247" i="2"/>
  <c r="F1096" i="2"/>
  <c r="F938" i="2"/>
  <c r="F781" i="2"/>
  <c r="F607" i="2"/>
  <c r="F399" i="2"/>
  <c r="F1687" i="2"/>
  <c r="F1543" i="2"/>
  <c r="F1399" i="2"/>
  <c r="F1255" i="2"/>
  <c r="F1104" i="2"/>
  <c r="F947" i="2"/>
  <c r="F790" i="2"/>
  <c r="F619" i="2"/>
  <c r="F411" i="2"/>
  <c r="F1638" i="2"/>
  <c r="F1494" i="2"/>
  <c r="F1350" i="2"/>
  <c r="F1206" i="2"/>
  <c r="F1051" i="2"/>
  <c r="F894" i="2"/>
  <c r="F737" i="2"/>
  <c r="F548" i="2"/>
  <c r="F339" i="2"/>
  <c r="F268" i="2"/>
  <c r="F1071" i="2"/>
  <c r="F927" i="2"/>
  <c r="F783" i="2"/>
  <c r="F628" i="2"/>
  <c r="F436" i="2"/>
  <c r="F244" i="2"/>
  <c r="F542" i="2"/>
  <c r="F398" i="2"/>
  <c r="F254" i="2"/>
  <c r="F562" i="2"/>
  <c r="F418" i="2"/>
  <c r="F274" i="2"/>
  <c r="F585" i="2"/>
  <c r="F441" i="2"/>
  <c r="F297" i="2"/>
  <c r="F1354" i="2"/>
  <c r="F1089" i="2"/>
  <c r="F811" i="2"/>
  <c r="F2257" i="2"/>
  <c r="F2073" i="2"/>
  <c r="F1881" i="2"/>
  <c r="F1686" i="2"/>
  <c r="F1437" i="2"/>
  <c r="F1180" i="2"/>
  <c r="F901" i="2"/>
  <c r="F605" i="2"/>
  <c r="F2214" i="2"/>
  <c r="F2070" i="2"/>
  <c r="F1926" i="2"/>
  <c r="F1782" i="2"/>
  <c r="F1624" i="2"/>
  <c r="F1432" i="2"/>
  <c r="F1240" i="2"/>
  <c r="F1036" i="2"/>
  <c r="F826" i="2"/>
  <c r="F599" i="2"/>
  <c r="F318" i="2"/>
  <c r="F2260" i="2"/>
  <c r="F2116" i="2"/>
  <c r="F1972" i="2"/>
  <c r="F1828" i="2"/>
  <c r="F1681" i="2"/>
  <c r="F1493" i="2"/>
  <c r="F1301" i="2"/>
  <c r="F1102" i="2"/>
  <c r="F893" i="2"/>
  <c r="F683" i="2"/>
  <c r="F408" i="2"/>
  <c r="F2175" i="2"/>
  <c r="F2031" i="2"/>
  <c r="F1887" i="2"/>
  <c r="F1743" i="2"/>
  <c r="F1573" i="2"/>
  <c r="F1381" i="2"/>
  <c r="F1189" i="2"/>
  <c r="F980" i="2"/>
  <c r="F770" i="2"/>
  <c r="F523" i="2"/>
  <c r="F235" i="2"/>
  <c r="F1523" i="2"/>
  <c r="F1379" i="2"/>
  <c r="F1235" i="2"/>
  <c r="F1082" i="2"/>
  <c r="F925" i="2"/>
  <c r="F768" i="2"/>
  <c r="F591" i="2"/>
  <c r="F380" i="2"/>
  <c r="F1675" i="2"/>
  <c r="F1531" i="2"/>
  <c r="F1387" i="2"/>
  <c r="F1243" i="2"/>
  <c r="F1091" i="2"/>
  <c r="F934" i="2"/>
  <c r="F777" i="2"/>
  <c r="F603" i="2"/>
  <c r="F392" i="2"/>
  <c r="F1626" i="2"/>
  <c r="F1482" i="2"/>
  <c r="F1338" i="2"/>
  <c r="F1194" i="2"/>
  <c r="F1038" i="2"/>
  <c r="F881" i="2"/>
  <c r="F724" i="2"/>
  <c r="F531" i="2"/>
  <c r="F320" i="2"/>
  <c r="F251" i="2"/>
  <c r="F1059" i="2"/>
  <c r="F915" i="2"/>
  <c r="F771" i="2"/>
  <c r="F612" i="2"/>
  <c r="F420" i="2"/>
  <c r="F228" i="2"/>
  <c r="F530" i="2"/>
  <c r="F386" i="2"/>
  <c r="F242" i="2"/>
  <c r="F550" i="2"/>
  <c r="F406" i="2"/>
  <c r="F262" i="2"/>
  <c r="F573" i="2"/>
  <c r="F429" i="2"/>
  <c r="F285" i="2"/>
  <c r="F2244" i="2"/>
  <c r="F2057" i="2"/>
  <c r="F1865" i="2"/>
  <c r="F1669" i="2"/>
  <c r="F1416" i="2"/>
  <c r="F1158" i="2"/>
  <c r="F877" i="2"/>
  <c r="F575" i="2"/>
  <c r="F2202" i="2"/>
  <c r="F2058" i="2"/>
  <c r="F1914" i="2"/>
  <c r="F1770" i="2"/>
  <c r="F1609" i="2"/>
  <c r="F1417" i="2"/>
  <c r="F1225" i="2"/>
  <c r="F1019" i="2"/>
  <c r="F810" i="2"/>
  <c r="F576" i="2"/>
  <c r="F296" i="2"/>
  <c r="F2248" i="2"/>
  <c r="F2104" i="2"/>
  <c r="F1960" i="2"/>
  <c r="F1816" i="2"/>
  <c r="F1668" i="2"/>
  <c r="F1478" i="2"/>
  <c r="F1286" i="2"/>
  <c r="F1086" i="2"/>
  <c r="F876" i="2"/>
  <c r="F665" i="2"/>
  <c r="F385" i="2"/>
  <c r="F2163" i="2"/>
  <c r="F2019" i="2"/>
  <c r="F1875" i="2"/>
  <c r="F1731" i="2"/>
  <c r="F1557" i="2"/>
  <c r="F1365" i="2"/>
  <c r="F1172" i="2"/>
  <c r="F962" i="2"/>
  <c r="F753" i="2"/>
  <c r="F500" i="2"/>
  <c r="F1655" i="2"/>
  <c r="F1511" i="2"/>
  <c r="F1367" i="2"/>
  <c r="F1223" i="2"/>
  <c r="F1069" i="2"/>
  <c r="F912" i="2"/>
  <c r="F755" i="2"/>
  <c r="F572" i="2"/>
  <c r="F364" i="2"/>
  <c r="F1663" i="2"/>
  <c r="F1519" i="2"/>
  <c r="F1375" i="2"/>
  <c r="F1231" i="2"/>
  <c r="F1078" i="2"/>
  <c r="F921" i="2"/>
  <c r="F764" i="2"/>
  <c r="F584" i="2"/>
  <c r="F376" i="2"/>
  <c r="F1614" i="2"/>
  <c r="F1470" i="2"/>
  <c r="F1326" i="2"/>
  <c r="F1182" i="2"/>
  <c r="F1025" i="2"/>
  <c r="F868" i="2"/>
  <c r="F710" i="2"/>
  <c r="F512" i="2"/>
  <c r="F304" i="2"/>
  <c r="F233" i="2"/>
  <c r="F1047" i="2"/>
  <c r="F903" i="2"/>
  <c r="F759" i="2"/>
  <c r="F595" i="2"/>
  <c r="F403" i="2"/>
  <c r="F662" i="2"/>
  <c r="F518" i="2"/>
  <c r="F374" i="2"/>
  <c r="F230" i="2"/>
  <c r="F538" i="2"/>
  <c r="F394" i="2"/>
  <c r="F250" i="2"/>
  <c r="F561" i="2"/>
  <c r="F417" i="2"/>
  <c r="F273" i="2"/>
  <c r="F405" i="2"/>
  <c r="F261" i="2"/>
  <c r="F1289" i="2"/>
  <c r="F1020" i="2"/>
  <c r="F741" i="2"/>
  <c r="F390" i="2"/>
  <c r="F2217" i="2"/>
  <c r="F2025" i="2"/>
  <c r="F1833" i="2"/>
  <c r="F1629" i="2"/>
  <c r="F1372" i="2"/>
  <c r="F1111" i="2"/>
  <c r="F832" i="2"/>
  <c r="F510" i="2"/>
  <c r="F2178" i="2"/>
  <c r="F2034" i="2"/>
  <c r="F1890" i="2"/>
  <c r="F1746" i="2"/>
  <c r="F1576" i="2"/>
  <c r="F1384" i="2"/>
  <c r="F1192" i="2"/>
  <c r="F983" i="2"/>
  <c r="F774" i="2"/>
  <c r="F528" i="2"/>
  <c r="F241" i="2"/>
  <c r="F2224" i="2"/>
  <c r="F2080" i="2"/>
  <c r="F1936" i="2"/>
  <c r="F1792" i="2"/>
  <c r="F1637" i="2"/>
  <c r="F1445" i="2"/>
  <c r="F1253" i="2"/>
  <c r="F1050" i="2"/>
  <c r="F840" i="2"/>
  <c r="F617" i="2"/>
  <c r="F337" i="2"/>
  <c r="F2139" i="2"/>
  <c r="F1995" i="2"/>
  <c r="F1851" i="2"/>
  <c r="F1706" i="2"/>
  <c r="F1525" i="2"/>
  <c r="F1333" i="2"/>
  <c r="F1137" i="2"/>
  <c r="F928" i="2"/>
  <c r="F718" i="2"/>
  <c r="F455" i="2"/>
  <c r="F1631" i="2"/>
  <c r="F1487" i="2"/>
  <c r="F1343" i="2"/>
  <c r="F1199" i="2"/>
  <c r="F1043" i="2"/>
  <c r="F886" i="2"/>
  <c r="F729" i="2"/>
  <c r="F539" i="2"/>
  <c r="F329" i="2"/>
  <c r="F1639" i="2"/>
  <c r="F1495" i="2"/>
  <c r="F1351" i="2"/>
  <c r="F1207" i="2"/>
  <c r="F1052" i="2"/>
  <c r="F895" i="2"/>
  <c r="F738" i="2"/>
  <c r="F551" i="2"/>
  <c r="F341" i="2"/>
  <c r="F1590" i="2"/>
  <c r="F1446" i="2"/>
  <c r="F1302" i="2"/>
  <c r="F1156" i="2"/>
  <c r="F998" i="2"/>
  <c r="F841" i="2"/>
  <c r="F684" i="2"/>
  <c r="F479" i="2"/>
  <c r="F265" i="2"/>
  <c r="F1167" i="2"/>
  <c r="F1023" i="2"/>
  <c r="F879" i="2"/>
  <c r="F735" i="2"/>
  <c r="F564" i="2"/>
  <c r="F372" i="2"/>
  <c r="F638" i="2"/>
  <c r="F494" i="2"/>
  <c r="F350" i="2"/>
  <c r="F658" i="2"/>
  <c r="F514" i="2"/>
  <c r="F370" i="2"/>
  <c r="F226" i="2"/>
  <c r="F537" i="2"/>
  <c r="F393" i="2"/>
  <c r="F249" i="2"/>
  <c r="F354" i="2"/>
  <c r="F2201" i="2"/>
  <c r="F2009" i="2"/>
  <c r="F1817" i="2"/>
  <c r="F1608" i="2"/>
  <c r="F1352" i="2"/>
  <c r="F1087" i="2"/>
  <c r="F809" i="2"/>
  <c r="F481" i="2"/>
  <c r="F2166" i="2"/>
  <c r="F2022" i="2"/>
  <c r="F1878" i="2"/>
  <c r="F1734" i="2"/>
  <c r="F1561" i="2"/>
  <c r="F1369" i="2"/>
  <c r="F1176" i="2"/>
  <c r="F967" i="2"/>
  <c r="F757" i="2"/>
  <c r="F507" i="2"/>
  <c r="F2212" i="2"/>
  <c r="F2068" i="2"/>
  <c r="F1924" i="2"/>
  <c r="F1780" i="2"/>
  <c r="F1622" i="2"/>
  <c r="F1430" i="2"/>
  <c r="F1238" i="2"/>
  <c r="F1033" i="2"/>
  <c r="F824" i="2"/>
  <c r="F594" i="2"/>
  <c r="F316" i="2"/>
  <c r="F2127" i="2"/>
  <c r="F1983" i="2"/>
  <c r="F1839" i="2"/>
  <c r="F1693" i="2"/>
  <c r="F1509" i="2"/>
  <c r="F1317" i="2"/>
  <c r="F1120" i="2"/>
  <c r="F910" i="2"/>
  <c r="F701" i="2"/>
  <c r="F431" i="2"/>
  <c r="F1619" i="2"/>
  <c r="F1475" i="2"/>
  <c r="F1331" i="2"/>
  <c r="F1187" i="2"/>
  <c r="F1030" i="2"/>
  <c r="F873" i="2"/>
  <c r="F716" i="2"/>
  <c r="F521" i="2"/>
  <c r="F312" i="2"/>
  <c r="F1627" i="2"/>
  <c r="F1483" i="2"/>
  <c r="F1339" i="2"/>
  <c r="F1195" i="2"/>
  <c r="F1039" i="2"/>
  <c r="F882" i="2"/>
  <c r="F725" i="2"/>
  <c r="F533" i="2"/>
  <c r="F323" i="2"/>
  <c r="F1578" i="2"/>
  <c r="F1434" i="2"/>
  <c r="F1290" i="2"/>
  <c r="F1142" i="2"/>
  <c r="F985" i="2"/>
  <c r="F828" i="2"/>
  <c r="F671" i="2"/>
  <c r="F461" i="2"/>
  <c r="F245" i="2"/>
  <c r="F1155" i="2"/>
  <c r="F1011" i="2"/>
  <c r="F867" i="2"/>
  <c r="F723" i="2"/>
  <c r="F547" i="2"/>
  <c r="F355" i="2"/>
  <c r="F626" i="2"/>
  <c r="F482" i="2"/>
  <c r="F338" i="2"/>
  <c r="F646" i="2"/>
  <c r="F502" i="2"/>
  <c r="F358" i="2"/>
  <c r="F669" i="2"/>
  <c r="F525" i="2"/>
  <c r="F381" i="2"/>
  <c r="F237" i="2"/>
  <c r="F2184" i="2"/>
  <c r="F1992" i="2"/>
  <c r="F1800" i="2"/>
  <c r="F1585" i="2"/>
  <c r="F1329" i="2"/>
  <c r="F1062" i="2"/>
  <c r="F784" i="2"/>
  <c r="F448" i="2"/>
  <c r="F2154" i="2"/>
  <c r="F2010" i="2"/>
  <c r="F1866" i="2"/>
  <c r="F1722" i="2"/>
  <c r="F1545" i="2"/>
  <c r="F1353" i="2"/>
  <c r="F1159" i="2"/>
  <c r="F949" i="2"/>
  <c r="F740" i="2"/>
  <c r="F483" i="2"/>
  <c r="F2200" i="2"/>
  <c r="F2056" i="2"/>
  <c r="F1912" i="2"/>
  <c r="F1768" i="2"/>
  <c r="F1606" i="2"/>
  <c r="F1414" i="2"/>
  <c r="F1222" i="2"/>
  <c r="F1016" i="2"/>
  <c r="F806" i="2"/>
  <c r="F571" i="2"/>
  <c r="F293" i="2"/>
  <c r="F2115" i="2"/>
  <c r="F1971" i="2"/>
  <c r="F1827" i="2"/>
  <c r="F1680" i="2"/>
  <c r="F1492" i="2"/>
  <c r="F1300" i="2"/>
  <c r="F1101" i="2"/>
  <c r="F892" i="2"/>
  <c r="F682" i="2"/>
  <c r="F407" i="2"/>
  <c r="F1607" i="2"/>
  <c r="F1463" i="2"/>
  <c r="F1319" i="2"/>
  <c r="F1174" i="2"/>
  <c r="F1017" i="2"/>
  <c r="F860" i="2"/>
  <c r="F703" i="2"/>
  <c r="F504" i="2"/>
  <c r="F294" i="2"/>
  <c r="F1615" i="2"/>
  <c r="F1471" i="2"/>
  <c r="F1327" i="2"/>
  <c r="F1183" i="2"/>
  <c r="F1026" i="2"/>
  <c r="F869" i="2"/>
  <c r="F712" i="2"/>
  <c r="F515" i="2"/>
  <c r="F305" i="2"/>
  <c r="F1566" i="2"/>
  <c r="F1422" i="2"/>
  <c r="F1278" i="2"/>
  <c r="F1129" i="2"/>
  <c r="F972" i="2"/>
  <c r="F815" i="2"/>
  <c r="F653" i="2"/>
  <c r="F444" i="2"/>
  <c r="F223" i="2"/>
  <c r="F1143" i="2"/>
  <c r="F999" i="2"/>
  <c r="F855" i="2"/>
  <c r="F711" i="2"/>
  <c r="F532" i="2"/>
  <c r="F340" i="2"/>
  <c r="F614" i="2"/>
  <c r="F470" i="2"/>
  <c r="F326" i="2"/>
  <c r="F634" i="2"/>
  <c r="F490" i="2"/>
  <c r="F346" i="2"/>
  <c r="F657" i="2"/>
  <c r="F513" i="2"/>
  <c r="F369" i="2"/>
  <c r="F225" i="2"/>
  <c r="F174" i="2"/>
  <c r="F30" i="2"/>
  <c r="F185" i="2"/>
  <c r="F41" i="2"/>
  <c r="F196" i="2"/>
  <c r="F52" i="2"/>
  <c r="F207" i="2"/>
  <c r="F63" i="2"/>
  <c r="F218" i="2"/>
  <c r="F74" i="2"/>
  <c r="F85" i="2"/>
  <c r="F96" i="2"/>
  <c r="F107" i="2"/>
  <c r="F118" i="2"/>
  <c r="F129" i="2"/>
  <c r="F162" i="2"/>
  <c r="F40" i="2"/>
  <c r="F51" i="2"/>
  <c r="F206" i="2"/>
  <c r="F84" i="2"/>
  <c r="F95" i="2"/>
  <c r="F18" i="2"/>
  <c r="F173" i="2"/>
  <c r="F29" i="2"/>
  <c r="F184" i="2"/>
  <c r="F195" i="2"/>
  <c r="F62" i="2"/>
  <c r="F217" i="2"/>
  <c r="F73" i="2"/>
  <c r="F106" i="2"/>
  <c r="F117" i="2"/>
  <c r="F140" i="2"/>
  <c r="F139" i="2"/>
  <c r="F150" i="2"/>
  <c r="F6" i="2"/>
  <c r="F161" i="2"/>
  <c r="F17" i="2"/>
  <c r="F172" i="2"/>
  <c r="F28" i="2"/>
  <c r="F183" i="2"/>
  <c r="F39" i="2"/>
  <c r="F194" i="2"/>
  <c r="F50" i="2"/>
  <c r="F205" i="2"/>
  <c r="F61" i="2"/>
  <c r="F216" i="2"/>
  <c r="F72" i="2"/>
  <c r="F83" i="2"/>
  <c r="F94" i="2"/>
  <c r="F105" i="2"/>
  <c r="F128" i="2"/>
  <c r="F127" i="2"/>
  <c r="F149" i="2"/>
  <c r="F5" i="2"/>
  <c r="F160" i="2"/>
  <c r="F16" i="2"/>
  <c r="F171" i="2"/>
  <c r="F27" i="2"/>
  <c r="F182" i="2"/>
  <c r="F38" i="2"/>
  <c r="F193" i="2"/>
  <c r="F49" i="2"/>
  <c r="F204" i="2"/>
  <c r="F60" i="2"/>
  <c r="F215" i="2"/>
  <c r="F71" i="2"/>
  <c r="F82" i="2"/>
  <c r="F93" i="2"/>
  <c r="F116" i="2"/>
  <c r="F126" i="2"/>
  <c r="F101" i="2"/>
  <c r="F112" i="2"/>
  <c r="F123" i="2"/>
  <c r="F145" i="2"/>
  <c r="F156" i="2"/>
  <c r="F178" i="2"/>
  <c r="F45" i="2"/>
  <c r="F80" i="2"/>
  <c r="F134" i="2"/>
  <c r="F12" i="2"/>
  <c r="F167" i="2"/>
  <c r="F23" i="2"/>
  <c r="F34" i="2"/>
  <c r="F189" i="2"/>
  <c r="F212" i="2"/>
  <c r="F68" i="2"/>
  <c r="F211" i="2"/>
  <c r="F67" i="2"/>
  <c r="F78" i="2"/>
  <c r="F89" i="2"/>
  <c r="F100" i="2"/>
  <c r="F111" i="2"/>
  <c r="F122" i="2"/>
  <c r="F133" i="2"/>
  <c r="F144" i="2"/>
  <c r="F155" i="2"/>
  <c r="F11" i="2"/>
  <c r="F166" i="2"/>
  <c r="F22" i="2"/>
  <c r="F177" i="2"/>
  <c r="F33" i="2"/>
  <c r="A2" i="3" a="1"/>
  <c r="E2" i="2"/>
  <c r="D2" i="2"/>
  <c r="G2" i="2"/>
  <c r="C2" i="2" a="1"/>
  <c r="C2" i="2" s="1"/>
  <c r="H2" i="2"/>
  <c r="F2" i="2" l="1"/>
  <c r="D6" i="3" a="1"/>
  <c r="D6" i="3" s="1"/>
  <c r="D7" i="3" a="1"/>
  <c r="D7" i="3" s="1"/>
  <c r="D10" i="3" a="1"/>
  <c r="D10" i="3" s="1"/>
  <c r="D3" i="3" a="1"/>
  <c r="D3" i="3" s="1"/>
  <c r="D5" i="3" a="1"/>
  <c r="D5" i="3" s="1"/>
  <c r="D4" i="3" a="1"/>
  <c r="D4" i="3" s="1"/>
  <c r="D9" i="3" a="1"/>
  <c r="D9" i="3" s="1"/>
  <c r="D13" i="3" a="1"/>
  <c r="D13" i="3" s="1"/>
  <c r="D26" i="3" a="1"/>
  <c r="D26" i="3" s="1"/>
  <c r="D39" i="3" a="1"/>
  <c r="D39" i="3" s="1"/>
  <c r="D52" i="3" a="1"/>
  <c r="D52" i="3" s="1"/>
  <c r="D65" i="3" a="1"/>
  <c r="D65" i="3" s="1"/>
  <c r="D72" i="3" a="1"/>
  <c r="D72" i="3" s="1"/>
  <c r="D85" i="3" a="1"/>
  <c r="D85" i="3" s="1"/>
  <c r="B5" i="3" a="1"/>
  <c r="B5" i="3" s="1"/>
  <c r="B11" i="3" a="1"/>
  <c r="B11" i="3" s="1"/>
  <c r="B17" i="3" a="1"/>
  <c r="B17" i="3" s="1"/>
  <c r="B23" i="3" a="1"/>
  <c r="B23" i="3" s="1"/>
  <c r="B29" i="3" a="1"/>
  <c r="B29" i="3" s="1"/>
  <c r="B35" i="3" a="1"/>
  <c r="B35" i="3" s="1"/>
  <c r="B43" i="3" a="1"/>
  <c r="B43" i="3" s="1"/>
  <c r="B53" i="3" a="1"/>
  <c r="B53" i="3" s="1"/>
  <c r="B65" i="3" a="1"/>
  <c r="B65" i="3" s="1"/>
  <c r="B77" i="3" a="1"/>
  <c r="B77" i="3" s="1"/>
  <c r="B89" i="3" a="1"/>
  <c r="B89" i="3" s="1"/>
  <c r="B101" i="3" a="1"/>
  <c r="B101" i="3" s="1"/>
  <c r="B113" i="3" a="1"/>
  <c r="B113" i="3" s="1"/>
  <c r="B125" i="3" a="1"/>
  <c r="B125" i="3" s="1"/>
  <c r="B137" i="3" a="1"/>
  <c r="B137" i="3" s="1"/>
  <c r="D20" i="3" a="1"/>
  <c r="D20" i="3" s="1"/>
  <c r="D33" i="3" a="1"/>
  <c r="D33" i="3" s="1"/>
  <c r="D46" i="3" a="1"/>
  <c r="D46" i="3" s="1"/>
  <c r="D59" i="3" a="1"/>
  <c r="D59" i="3" s="1"/>
  <c r="D66" i="3" a="1"/>
  <c r="D66" i="3" s="1"/>
  <c r="D79" i="3" a="1"/>
  <c r="D79" i="3" s="1"/>
  <c r="D92" i="3" a="1"/>
  <c r="D92" i="3" s="1"/>
  <c r="D98" i="3" a="1"/>
  <c r="D98" i="3" s="1"/>
  <c r="D104" i="3" a="1"/>
  <c r="D104" i="3" s="1"/>
  <c r="D110" i="3" a="1"/>
  <c r="D110" i="3" s="1"/>
  <c r="D116" i="3" a="1"/>
  <c r="D116" i="3" s="1"/>
  <c r="D122" i="3" a="1"/>
  <c r="D122" i="3" s="1"/>
  <c r="D128" i="3" a="1"/>
  <c r="D128" i="3" s="1"/>
  <c r="D134" i="3" a="1"/>
  <c r="D134" i="3" s="1"/>
  <c r="D140" i="3" a="1"/>
  <c r="D140" i="3" s="1"/>
  <c r="D146" i="3" a="1"/>
  <c r="D146" i="3" s="1"/>
  <c r="D152" i="3" a="1"/>
  <c r="D152" i="3" s="1"/>
  <c r="D158" i="3" a="1"/>
  <c r="D158" i="3" s="1"/>
  <c r="D164" i="3" a="1"/>
  <c r="D164" i="3" s="1"/>
  <c r="D170" i="3" a="1"/>
  <c r="D170" i="3" s="1"/>
  <c r="D176" i="3" a="1"/>
  <c r="D176" i="3" s="1"/>
  <c r="D182" i="3" a="1"/>
  <c r="D182" i="3" s="1"/>
  <c r="D188" i="3" a="1"/>
  <c r="D188" i="3" s="1"/>
  <c r="D194" i="3" a="1"/>
  <c r="D194" i="3" s="1"/>
  <c r="D14" i="3" a="1"/>
  <c r="D14" i="3" s="1"/>
  <c r="D27" i="3" a="1"/>
  <c r="D27" i="3" s="1"/>
  <c r="D40" i="3" a="1"/>
  <c r="D40" i="3" s="1"/>
  <c r="D53" i="3" a="1"/>
  <c r="D53" i="3" s="1"/>
  <c r="D60" i="3" a="1"/>
  <c r="D60" i="3" s="1"/>
  <c r="D73" i="3" a="1"/>
  <c r="D73" i="3" s="1"/>
  <c r="D86" i="3" a="1"/>
  <c r="D86" i="3" s="1"/>
  <c r="B6" i="3" a="1"/>
  <c r="B6" i="3" s="1"/>
  <c r="B12" i="3" a="1"/>
  <c r="B12" i="3" s="1"/>
  <c r="B18" i="3" a="1"/>
  <c r="B18" i="3" s="1"/>
  <c r="B24" i="3" a="1"/>
  <c r="B24" i="3" s="1"/>
  <c r="B30" i="3" a="1"/>
  <c r="B30" i="3" s="1"/>
  <c r="B36" i="3" a="1"/>
  <c r="B36" i="3" s="1"/>
  <c r="B45" i="3" a="1"/>
  <c r="B45" i="3" s="1"/>
  <c r="B55" i="3" a="1"/>
  <c r="B55" i="3" s="1"/>
  <c r="B67" i="3" a="1"/>
  <c r="B67" i="3" s="1"/>
  <c r="B79" i="3" a="1"/>
  <c r="B79" i="3" s="1"/>
  <c r="B91" i="3" a="1"/>
  <c r="B91" i="3" s="1"/>
  <c r="B103" i="3" a="1"/>
  <c r="B103" i="3" s="1"/>
  <c r="B115" i="3" a="1"/>
  <c r="B115" i="3" s="1"/>
  <c r="B127" i="3" a="1"/>
  <c r="B127" i="3" s="1"/>
  <c r="D21" i="3" a="1"/>
  <c r="D21" i="3" s="1"/>
  <c r="D34" i="3" a="1"/>
  <c r="D34" i="3" s="1"/>
  <c r="D47" i="3" a="1"/>
  <c r="D47" i="3" s="1"/>
  <c r="D54" i="3" a="1"/>
  <c r="D54" i="3" s="1"/>
  <c r="D67" i="3" a="1"/>
  <c r="D67" i="3" s="1"/>
  <c r="D80" i="3" a="1"/>
  <c r="D80" i="3" s="1"/>
  <c r="D93" i="3" a="1"/>
  <c r="D93" i="3" s="1"/>
  <c r="D99" i="3" a="1"/>
  <c r="D99" i="3" s="1"/>
  <c r="D105" i="3" a="1"/>
  <c r="D105" i="3" s="1"/>
  <c r="D111" i="3" a="1"/>
  <c r="D111" i="3" s="1"/>
  <c r="D117" i="3" a="1"/>
  <c r="D117" i="3" s="1"/>
  <c r="D123" i="3" a="1"/>
  <c r="D123" i="3" s="1"/>
  <c r="D129" i="3" a="1"/>
  <c r="D129" i="3" s="1"/>
  <c r="D135" i="3" a="1"/>
  <c r="D135" i="3" s="1"/>
  <c r="D141" i="3" a="1"/>
  <c r="D141" i="3" s="1"/>
  <c r="D147" i="3" a="1"/>
  <c r="D147" i="3" s="1"/>
  <c r="D153" i="3" a="1"/>
  <c r="D153" i="3" s="1"/>
  <c r="D159" i="3" a="1"/>
  <c r="D159" i="3" s="1"/>
  <c r="D165" i="3" a="1"/>
  <c r="D165" i="3" s="1"/>
  <c r="D171" i="3" a="1"/>
  <c r="D171" i="3" s="1"/>
  <c r="D15" i="3" a="1"/>
  <c r="D15" i="3" s="1"/>
  <c r="D28" i="3" a="1"/>
  <c r="D28" i="3" s="1"/>
  <c r="D41" i="3" a="1"/>
  <c r="D41" i="3" s="1"/>
  <c r="D48" i="3" a="1"/>
  <c r="D48" i="3" s="1"/>
  <c r="D61" i="3" a="1"/>
  <c r="D61" i="3" s="1"/>
  <c r="D74" i="3" a="1"/>
  <c r="D74" i="3" s="1"/>
  <c r="D87" i="3" a="1"/>
  <c r="D87" i="3" s="1"/>
  <c r="B7" i="3" a="1"/>
  <c r="B7" i="3" s="1"/>
  <c r="B13" i="3" a="1"/>
  <c r="B13" i="3" s="1"/>
  <c r="B19" i="3" a="1"/>
  <c r="B19" i="3" s="1"/>
  <c r="B25" i="3" a="1"/>
  <c r="B25" i="3" s="1"/>
  <c r="B31" i="3" a="1"/>
  <c r="B31" i="3" s="1"/>
  <c r="B37" i="3" a="1"/>
  <c r="B37" i="3" s="1"/>
  <c r="B46" i="3" a="1"/>
  <c r="B46" i="3" s="1"/>
  <c r="B57" i="3" a="1"/>
  <c r="B57" i="3" s="1"/>
  <c r="B69" i="3" a="1"/>
  <c r="B69" i="3" s="1"/>
  <c r="B81" i="3" a="1"/>
  <c r="B81" i="3" s="1"/>
  <c r="B93" i="3" a="1"/>
  <c r="B93" i="3" s="1"/>
  <c r="B105" i="3" a="1"/>
  <c r="B105" i="3" s="1"/>
  <c r="B117" i="3" a="1"/>
  <c r="B117" i="3" s="1"/>
  <c r="D8" i="3" a="1"/>
  <c r="D8" i="3" s="1"/>
  <c r="D22" i="3" a="1"/>
  <c r="D22" i="3" s="1"/>
  <c r="D35" i="3" a="1"/>
  <c r="D35" i="3" s="1"/>
  <c r="D42" i="3" a="1"/>
  <c r="D42" i="3" s="1"/>
  <c r="D55" i="3" a="1"/>
  <c r="D55" i="3" s="1"/>
  <c r="D68" i="3" a="1"/>
  <c r="D68" i="3" s="1"/>
  <c r="D81" i="3" a="1"/>
  <c r="D81" i="3" s="1"/>
  <c r="D94" i="3" a="1"/>
  <c r="D94" i="3" s="1"/>
  <c r="D100" i="3" a="1"/>
  <c r="D100" i="3" s="1"/>
  <c r="D106" i="3" a="1"/>
  <c r="D106" i="3" s="1"/>
  <c r="D112" i="3" a="1"/>
  <c r="D112" i="3" s="1"/>
  <c r="D118" i="3" a="1"/>
  <c r="D118" i="3" s="1"/>
  <c r="D124" i="3" a="1"/>
  <c r="D124" i="3" s="1"/>
  <c r="D130" i="3" a="1"/>
  <c r="D130" i="3" s="1"/>
  <c r="D136" i="3" a="1"/>
  <c r="D136" i="3" s="1"/>
  <c r="D142" i="3" a="1"/>
  <c r="D142" i="3" s="1"/>
  <c r="D148" i="3" a="1"/>
  <c r="D148" i="3" s="1"/>
  <c r="D154" i="3" a="1"/>
  <c r="D154" i="3" s="1"/>
  <c r="D160" i="3" a="1"/>
  <c r="D160" i="3" s="1"/>
  <c r="D166" i="3" a="1"/>
  <c r="D166" i="3" s="1"/>
  <c r="D172" i="3" a="1"/>
  <c r="D172" i="3" s="1"/>
  <c r="D178" i="3" a="1"/>
  <c r="D178" i="3" s="1"/>
  <c r="D184" i="3" a="1"/>
  <c r="D184" i="3" s="1"/>
  <c r="D190" i="3" a="1"/>
  <c r="D190" i="3" s="1"/>
  <c r="D16" i="3" a="1"/>
  <c r="D16" i="3" s="1"/>
  <c r="D29" i="3" a="1"/>
  <c r="D29" i="3" s="1"/>
  <c r="D36" i="3" a="1"/>
  <c r="D36" i="3" s="1"/>
  <c r="D49" i="3" a="1"/>
  <c r="D49" i="3" s="1"/>
  <c r="D62" i="3" a="1"/>
  <c r="D62" i="3" s="1"/>
  <c r="D75" i="3" a="1"/>
  <c r="D75" i="3" s="1"/>
  <c r="D88" i="3" a="1"/>
  <c r="D88" i="3" s="1"/>
  <c r="B8" i="3" a="1"/>
  <c r="B8" i="3" s="1"/>
  <c r="B14" i="3" a="1"/>
  <c r="B14" i="3" s="1"/>
  <c r="B20" i="3" a="1"/>
  <c r="B20" i="3" s="1"/>
  <c r="B26" i="3" a="1"/>
  <c r="B26" i="3" s="1"/>
  <c r="B32" i="3" a="1"/>
  <c r="B32" i="3" s="1"/>
  <c r="B38" i="3" a="1"/>
  <c r="B38" i="3" s="1"/>
  <c r="B48" i="3" a="1"/>
  <c r="B48" i="3" s="1"/>
  <c r="B59" i="3" a="1"/>
  <c r="B59" i="3" s="1"/>
  <c r="B71" i="3" a="1"/>
  <c r="B71" i="3" s="1"/>
  <c r="B83" i="3" a="1"/>
  <c r="B83" i="3" s="1"/>
  <c r="B95" i="3" a="1"/>
  <c r="B95" i="3" s="1"/>
  <c r="B107" i="3" a="1"/>
  <c r="B107" i="3" s="1"/>
  <c r="B119" i="3" a="1"/>
  <c r="B119" i="3" s="1"/>
  <c r="B131" i="3" a="1"/>
  <c r="B131" i="3" s="1"/>
  <c r="D23" i="3" a="1"/>
  <c r="D23" i="3" s="1"/>
  <c r="D30" i="3" a="1"/>
  <c r="D30" i="3" s="1"/>
  <c r="D43" i="3" a="1"/>
  <c r="D43" i="3" s="1"/>
  <c r="D56" i="3" a="1"/>
  <c r="D56" i="3" s="1"/>
  <c r="D69" i="3" a="1"/>
  <c r="D69" i="3" s="1"/>
  <c r="D82" i="3" a="1"/>
  <c r="D82" i="3" s="1"/>
  <c r="D95" i="3" a="1"/>
  <c r="D95" i="3" s="1"/>
  <c r="D101" i="3" a="1"/>
  <c r="D101" i="3" s="1"/>
  <c r="D107" i="3" a="1"/>
  <c r="D107" i="3" s="1"/>
  <c r="D113" i="3" a="1"/>
  <c r="D113" i="3" s="1"/>
  <c r="D119" i="3" a="1"/>
  <c r="D119" i="3" s="1"/>
  <c r="D125" i="3" a="1"/>
  <c r="D125" i="3" s="1"/>
  <c r="D131" i="3" a="1"/>
  <c r="D131" i="3" s="1"/>
  <c r="D137" i="3" a="1"/>
  <c r="D137" i="3" s="1"/>
  <c r="D143" i="3" a="1"/>
  <c r="D143" i="3" s="1"/>
  <c r="D149" i="3" a="1"/>
  <c r="D149" i="3" s="1"/>
  <c r="D155" i="3" a="1"/>
  <c r="D155" i="3" s="1"/>
  <c r="D161" i="3" a="1"/>
  <c r="D161" i="3" s="1"/>
  <c r="D167" i="3" a="1"/>
  <c r="D167" i="3" s="1"/>
  <c r="D173" i="3" a="1"/>
  <c r="D173" i="3" s="1"/>
  <c r="D179" i="3" a="1"/>
  <c r="D179" i="3" s="1"/>
  <c r="D185" i="3" a="1"/>
  <c r="D185" i="3" s="1"/>
  <c r="D191" i="3" a="1"/>
  <c r="D191" i="3" s="1"/>
  <c r="D197" i="3" a="1"/>
  <c r="D197" i="3" s="1"/>
  <c r="D17" i="3" a="1"/>
  <c r="D17" i="3" s="1"/>
  <c r="D24" i="3" a="1"/>
  <c r="D24" i="3" s="1"/>
  <c r="D37" i="3" a="1"/>
  <c r="D37" i="3" s="1"/>
  <c r="D50" i="3" a="1"/>
  <c r="D50" i="3" s="1"/>
  <c r="D63" i="3" a="1"/>
  <c r="D63" i="3" s="1"/>
  <c r="D76" i="3" a="1"/>
  <c r="D76" i="3" s="1"/>
  <c r="D89" i="3" a="1"/>
  <c r="D89" i="3" s="1"/>
  <c r="B3" i="3" a="1"/>
  <c r="B3" i="3" s="1"/>
  <c r="B9" i="3" a="1"/>
  <c r="B9" i="3" s="1"/>
  <c r="B15" i="3" a="1"/>
  <c r="B15" i="3" s="1"/>
  <c r="B21" i="3" a="1"/>
  <c r="B21" i="3" s="1"/>
  <c r="B27" i="3" a="1"/>
  <c r="B27" i="3" s="1"/>
  <c r="B33" i="3" a="1"/>
  <c r="B33" i="3" s="1"/>
  <c r="B39" i="3" a="1"/>
  <c r="B39" i="3" s="1"/>
  <c r="B50" i="3" a="1"/>
  <c r="B50" i="3" s="1"/>
  <c r="B61" i="3" a="1"/>
  <c r="B61" i="3" s="1"/>
  <c r="B73" i="3" a="1"/>
  <c r="B73" i="3" s="1"/>
  <c r="B85" i="3" a="1"/>
  <c r="B85" i="3" s="1"/>
  <c r="B97" i="3" a="1"/>
  <c r="B97" i="3" s="1"/>
  <c r="B109" i="3" a="1"/>
  <c r="B109" i="3" s="1"/>
  <c r="B121" i="3" a="1"/>
  <c r="B121" i="3" s="1"/>
  <c r="B133" i="3" a="1"/>
  <c r="B133" i="3" s="1"/>
  <c r="D11" i="3" a="1"/>
  <c r="D11" i="3" s="1"/>
  <c r="D18" i="3" a="1"/>
  <c r="D18" i="3" s="1"/>
  <c r="D31" i="3" a="1"/>
  <c r="D31" i="3" s="1"/>
  <c r="D44" i="3" a="1"/>
  <c r="D44" i="3" s="1"/>
  <c r="D57" i="3" a="1"/>
  <c r="D57" i="3" s="1"/>
  <c r="D70" i="3" a="1"/>
  <c r="D70" i="3" s="1"/>
  <c r="D83" i="3" a="1"/>
  <c r="D83" i="3" s="1"/>
  <c r="D90" i="3" a="1"/>
  <c r="D90" i="3" s="1"/>
  <c r="D96" i="3" a="1"/>
  <c r="D96" i="3" s="1"/>
  <c r="D102" i="3" a="1"/>
  <c r="D102" i="3" s="1"/>
  <c r="D108" i="3" a="1"/>
  <c r="D108" i="3" s="1"/>
  <c r="D114" i="3" a="1"/>
  <c r="D114" i="3" s="1"/>
  <c r="D120" i="3" a="1"/>
  <c r="D120" i="3" s="1"/>
  <c r="D126" i="3" a="1"/>
  <c r="D126" i="3" s="1"/>
  <c r="D132" i="3" a="1"/>
  <c r="D132" i="3" s="1"/>
  <c r="D138" i="3" a="1"/>
  <c r="D138" i="3" s="1"/>
  <c r="D144" i="3" a="1"/>
  <c r="D144" i="3" s="1"/>
  <c r="D150" i="3" a="1"/>
  <c r="D150" i="3" s="1"/>
  <c r="D12" i="3" a="1"/>
  <c r="D12" i="3" s="1"/>
  <c r="D25" i="3" a="1"/>
  <c r="D25" i="3" s="1"/>
  <c r="D38" i="3" a="1"/>
  <c r="D38" i="3" s="1"/>
  <c r="D51" i="3" a="1"/>
  <c r="D51" i="3" s="1"/>
  <c r="D64" i="3" a="1"/>
  <c r="D64" i="3" s="1"/>
  <c r="D77" i="3" a="1"/>
  <c r="D77" i="3" s="1"/>
  <c r="D84" i="3" a="1"/>
  <c r="D84" i="3" s="1"/>
  <c r="B4" i="3" a="1"/>
  <c r="B4" i="3" s="1"/>
  <c r="B10" i="3" a="1"/>
  <c r="B10" i="3" s="1"/>
  <c r="B16" i="3" a="1"/>
  <c r="B16" i="3" s="1"/>
  <c r="B22" i="3" a="1"/>
  <c r="B22" i="3" s="1"/>
  <c r="B28" i="3" a="1"/>
  <c r="B28" i="3" s="1"/>
  <c r="B34" i="3" a="1"/>
  <c r="B34" i="3" s="1"/>
  <c r="B41" i="3" a="1"/>
  <c r="B41" i="3" s="1"/>
  <c r="B63" i="3" a="1"/>
  <c r="B63" i="3" s="1"/>
  <c r="B75" i="3" a="1"/>
  <c r="B75" i="3" s="1"/>
  <c r="B87" i="3" a="1"/>
  <c r="B87" i="3" s="1"/>
  <c r="B99" i="3" a="1"/>
  <c r="B99" i="3" s="1"/>
  <c r="B111" i="3" a="1"/>
  <c r="B111" i="3" s="1"/>
  <c r="B123" i="3" a="1"/>
  <c r="B123" i="3" s="1"/>
  <c r="B135" i="3" a="1"/>
  <c r="B135" i="3" s="1"/>
  <c r="D19" i="3" a="1"/>
  <c r="D19" i="3" s="1"/>
  <c r="D32" i="3" a="1"/>
  <c r="D32" i="3" s="1"/>
  <c r="D45" i="3" a="1"/>
  <c r="D45" i="3" s="1"/>
  <c r="D58" i="3" a="1"/>
  <c r="D58" i="3" s="1"/>
  <c r="D71" i="3" a="1"/>
  <c r="D71" i="3" s="1"/>
  <c r="D78" i="3" a="1"/>
  <c r="D78" i="3" s="1"/>
  <c r="D91" i="3" a="1"/>
  <c r="D91" i="3" s="1"/>
  <c r="D97" i="3" a="1"/>
  <c r="D97" i="3" s="1"/>
  <c r="D103" i="3" a="1"/>
  <c r="D103" i="3" s="1"/>
  <c r="D109" i="3" a="1"/>
  <c r="D109" i="3" s="1"/>
  <c r="D115" i="3" a="1"/>
  <c r="D115" i="3" s="1"/>
  <c r="D121" i="3" a="1"/>
  <c r="D121" i="3" s="1"/>
  <c r="D127" i="3" a="1"/>
  <c r="D127" i="3" s="1"/>
  <c r="D133" i="3" a="1"/>
  <c r="D133" i="3" s="1"/>
  <c r="D139" i="3" a="1"/>
  <c r="D139" i="3" s="1"/>
  <c r="D145" i="3" a="1"/>
  <c r="D145" i="3" s="1"/>
  <c r="D151" i="3" a="1"/>
  <c r="D151" i="3" s="1"/>
  <c r="D180" i="3" a="1"/>
  <c r="D180" i="3" s="1"/>
  <c r="D200" i="3" a="1"/>
  <c r="D200" i="3" s="1"/>
  <c r="D212" i="3" a="1"/>
  <c r="D212" i="3" s="1"/>
  <c r="B44" i="3" a="1"/>
  <c r="B44" i="3" s="1"/>
  <c r="B66" i="3" a="1"/>
  <c r="B66" i="3" s="1"/>
  <c r="B90" i="3" a="1"/>
  <c r="B90" i="3" s="1"/>
  <c r="B114" i="3" a="1"/>
  <c r="B114" i="3" s="1"/>
  <c r="B136" i="3" a="1"/>
  <c r="B136" i="3" s="1"/>
  <c r="B149" i="3" a="1"/>
  <c r="B149" i="3" s="1"/>
  <c r="B161" i="3" a="1"/>
  <c r="B161" i="3" s="1"/>
  <c r="B173" i="3" a="1"/>
  <c r="B173" i="3" s="1"/>
  <c r="B185" i="3" a="1"/>
  <c r="B185" i="3" s="1"/>
  <c r="B197" i="3" a="1"/>
  <c r="B197" i="3" s="1"/>
  <c r="B209" i="3" a="1"/>
  <c r="B209" i="3" s="1"/>
  <c r="B216" i="3" a="1"/>
  <c r="B216" i="3" s="1"/>
  <c r="D181" i="3" a="1"/>
  <c r="D181" i="3" s="1"/>
  <c r="D201" i="3" a="1"/>
  <c r="D201" i="3" s="1"/>
  <c r="D213" i="3" a="1"/>
  <c r="D213" i="3" s="1"/>
  <c r="B68" i="3" a="1"/>
  <c r="B68" i="3" s="1"/>
  <c r="B92" i="3" a="1"/>
  <c r="B92" i="3" s="1"/>
  <c r="B116" i="3" a="1"/>
  <c r="B116" i="3" s="1"/>
  <c r="B138" i="3" a="1"/>
  <c r="B138" i="3" s="1"/>
  <c r="B150" i="3" a="1"/>
  <c r="B150" i="3" s="1"/>
  <c r="B162" i="3" a="1"/>
  <c r="B162" i="3" s="1"/>
  <c r="B174" i="3" a="1"/>
  <c r="B174" i="3" s="1"/>
  <c r="B186" i="3" a="1"/>
  <c r="B186" i="3" s="1"/>
  <c r="B198" i="3" a="1"/>
  <c r="B198" i="3" s="1"/>
  <c r="B210" i="3" a="1"/>
  <c r="B210" i="3" s="1"/>
  <c r="B211" i="3" a="1"/>
  <c r="B211" i="3" s="1"/>
  <c r="B212" i="3" a="1"/>
  <c r="B212" i="3" s="1"/>
  <c r="B219" i="3" a="1"/>
  <c r="B219" i="3" s="1"/>
  <c r="D183" i="3" a="1"/>
  <c r="D183" i="3" s="1"/>
  <c r="D202" i="3" a="1"/>
  <c r="D202" i="3" s="1"/>
  <c r="D214" i="3" a="1"/>
  <c r="D214" i="3" s="1"/>
  <c r="B47" i="3" a="1"/>
  <c r="B47" i="3" s="1"/>
  <c r="B70" i="3" a="1"/>
  <c r="B70" i="3" s="1"/>
  <c r="B94" i="3" a="1"/>
  <c r="B94" i="3" s="1"/>
  <c r="B118" i="3" a="1"/>
  <c r="B118" i="3" s="1"/>
  <c r="B139" i="3" a="1"/>
  <c r="B139" i="3" s="1"/>
  <c r="B151" i="3" a="1"/>
  <c r="B151" i="3" s="1"/>
  <c r="B163" i="3" a="1"/>
  <c r="B163" i="3" s="1"/>
  <c r="B175" i="3" a="1"/>
  <c r="B175" i="3" s="1"/>
  <c r="B187" i="3" a="1"/>
  <c r="B187" i="3" s="1"/>
  <c r="B199" i="3" a="1"/>
  <c r="B199" i="3" s="1"/>
  <c r="B200" i="3" a="1"/>
  <c r="B200" i="3" s="1"/>
  <c r="D156" i="3" a="1"/>
  <c r="D156" i="3" s="1"/>
  <c r="D186" i="3" a="1"/>
  <c r="D186" i="3" s="1"/>
  <c r="D203" i="3" a="1"/>
  <c r="D203" i="3" s="1"/>
  <c r="D215" i="3" a="1"/>
  <c r="D215" i="3" s="1"/>
  <c r="B49" i="3" a="1"/>
  <c r="B49" i="3" s="1"/>
  <c r="B72" i="3" a="1"/>
  <c r="B72" i="3" s="1"/>
  <c r="B96" i="3" a="1"/>
  <c r="B96" i="3" s="1"/>
  <c r="B120" i="3" a="1"/>
  <c r="B120" i="3" s="1"/>
  <c r="B140" i="3" a="1"/>
  <c r="B140" i="3" s="1"/>
  <c r="B152" i="3" a="1"/>
  <c r="B152" i="3" s="1"/>
  <c r="B164" i="3" a="1"/>
  <c r="B164" i="3" s="1"/>
  <c r="B176" i="3" a="1"/>
  <c r="B176" i="3" s="1"/>
  <c r="B188" i="3" a="1"/>
  <c r="B188" i="3" s="1"/>
  <c r="B207" i="3" a="1"/>
  <c r="B207" i="3" s="1"/>
  <c r="D157" i="3" a="1"/>
  <c r="D157" i="3" s="1"/>
  <c r="D187" i="3" a="1"/>
  <c r="D187" i="3" s="1"/>
  <c r="D204" i="3" a="1"/>
  <c r="D204" i="3" s="1"/>
  <c r="D216" i="3" a="1"/>
  <c r="D216" i="3" s="1"/>
  <c r="B51" i="3" a="1"/>
  <c r="B51" i="3" s="1"/>
  <c r="B74" i="3" a="1"/>
  <c r="B74" i="3" s="1"/>
  <c r="B98" i="3" a="1"/>
  <c r="B98" i="3" s="1"/>
  <c r="B122" i="3" a="1"/>
  <c r="B122" i="3" s="1"/>
  <c r="B141" i="3" a="1"/>
  <c r="B141" i="3" s="1"/>
  <c r="B153" i="3" a="1"/>
  <c r="B153" i="3" s="1"/>
  <c r="B165" i="3" a="1"/>
  <c r="B165" i="3" s="1"/>
  <c r="B177" i="3" a="1"/>
  <c r="B177" i="3" s="1"/>
  <c r="B189" i="3" a="1"/>
  <c r="B189" i="3" s="1"/>
  <c r="B201" i="3" a="1"/>
  <c r="B201" i="3" s="1"/>
  <c r="B213" i="3" a="1"/>
  <c r="B213" i="3" s="1"/>
  <c r="D162" i="3" a="1"/>
  <c r="D162" i="3" s="1"/>
  <c r="D189" i="3" a="1"/>
  <c r="D189" i="3" s="1"/>
  <c r="D205" i="3" a="1"/>
  <c r="D205" i="3" s="1"/>
  <c r="D217" i="3" a="1"/>
  <c r="D217" i="3" s="1"/>
  <c r="B52" i="3" a="1"/>
  <c r="B52" i="3" s="1"/>
  <c r="B76" i="3" a="1"/>
  <c r="B76" i="3" s="1"/>
  <c r="B100" i="3" a="1"/>
  <c r="B100" i="3" s="1"/>
  <c r="B124" i="3" a="1"/>
  <c r="B124" i="3" s="1"/>
  <c r="B142" i="3" a="1"/>
  <c r="B142" i="3" s="1"/>
  <c r="B154" i="3" a="1"/>
  <c r="B154" i="3" s="1"/>
  <c r="B166" i="3" a="1"/>
  <c r="B166" i="3" s="1"/>
  <c r="B178" i="3" a="1"/>
  <c r="B178" i="3" s="1"/>
  <c r="B190" i="3" a="1"/>
  <c r="B190" i="3" s="1"/>
  <c r="B202" i="3" a="1"/>
  <c r="B202" i="3" s="1"/>
  <c r="B214" i="3" a="1"/>
  <c r="B214" i="3" s="1"/>
  <c r="B217" i="3" a="1"/>
  <c r="B217" i="3" s="1"/>
  <c r="D163" i="3" a="1"/>
  <c r="D163" i="3" s="1"/>
  <c r="D192" i="3" a="1"/>
  <c r="D192" i="3" s="1"/>
  <c r="D206" i="3" a="1"/>
  <c r="D206" i="3" s="1"/>
  <c r="D218" i="3" a="1"/>
  <c r="D218" i="3" s="1"/>
  <c r="B54" i="3" a="1"/>
  <c r="B54" i="3" s="1"/>
  <c r="B78" i="3" a="1"/>
  <c r="B78" i="3" s="1"/>
  <c r="B102" i="3" a="1"/>
  <c r="B102" i="3" s="1"/>
  <c r="B126" i="3" a="1"/>
  <c r="B126" i="3" s="1"/>
  <c r="B143" i="3" a="1"/>
  <c r="B143" i="3" s="1"/>
  <c r="B155" i="3" a="1"/>
  <c r="B155" i="3" s="1"/>
  <c r="B167" i="3" a="1"/>
  <c r="B167" i="3" s="1"/>
  <c r="B179" i="3" a="1"/>
  <c r="B179" i="3" s="1"/>
  <c r="B191" i="3" a="1"/>
  <c r="B191" i="3" s="1"/>
  <c r="B203" i="3" a="1"/>
  <c r="B203" i="3" s="1"/>
  <c r="B215" i="3" a="1"/>
  <c r="B215" i="3" s="1"/>
  <c r="B218" i="3" a="1"/>
  <c r="B218" i="3" s="1"/>
  <c r="D168" i="3" a="1"/>
  <c r="D168" i="3" s="1"/>
  <c r="D193" i="3" a="1"/>
  <c r="D193" i="3" s="1"/>
  <c r="D207" i="3" a="1"/>
  <c r="D207" i="3" s="1"/>
  <c r="D219" i="3" a="1"/>
  <c r="D219" i="3" s="1"/>
  <c r="B56" i="3" a="1"/>
  <c r="B56" i="3" s="1"/>
  <c r="B80" i="3" a="1"/>
  <c r="B80" i="3" s="1"/>
  <c r="B104" i="3" a="1"/>
  <c r="B104" i="3" s="1"/>
  <c r="B128" i="3" a="1"/>
  <c r="B128" i="3" s="1"/>
  <c r="B144" i="3" a="1"/>
  <c r="B144" i="3" s="1"/>
  <c r="B156" i="3" a="1"/>
  <c r="B156" i="3" s="1"/>
  <c r="B168" i="3" a="1"/>
  <c r="B168" i="3" s="1"/>
  <c r="B180" i="3" a="1"/>
  <c r="B180" i="3" s="1"/>
  <c r="B192" i="3" a="1"/>
  <c r="B192" i="3" s="1"/>
  <c r="B204" i="3" a="1"/>
  <c r="B204" i="3" s="1"/>
  <c r="B206" i="3" a="1"/>
  <c r="B206" i="3" s="1"/>
  <c r="D169" i="3" a="1"/>
  <c r="D169" i="3" s="1"/>
  <c r="D195" i="3" a="1"/>
  <c r="D195" i="3" s="1"/>
  <c r="D208" i="3" a="1"/>
  <c r="D208" i="3" s="1"/>
  <c r="D220" i="3" a="1"/>
  <c r="D220" i="3" s="1"/>
  <c r="B58" i="3" a="1"/>
  <c r="B58" i="3" s="1"/>
  <c r="B82" i="3" a="1"/>
  <c r="B82" i="3" s="1"/>
  <c r="B106" i="3" a="1"/>
  <c r="B106" i="3" s="1"/>
  <c r="B129" i="3" a="1"/>
  <c r="B129" i="3" s="1"/>
  <c r="B145" i="3" a="1"/>
  <c r="B145" i="3" s="1"/>
  <c r="B157" i="3" a="1"/>
  <c r="B157" i="3" s="1"/>
  <c r="B169" i="3" a="1"/>
  <c r="B169" i="3" s="1"/>
  <c r="B181" i="3" a="1"/>
  <c r="B181" i="3" s="1"/>
  <c r="B193" i="3" a="1"/>
  <c r="B193" i="3" s="1"/>
  <c r="B205" i="3" a="1"/>
  <c r="B205" i="3" s="1"/>
  <c r="B220" i="3" a="1"/>
  <c r="B220" i="3" s="1"/>
  <c r="D174" i="3" a="1"/>
  <c r="D174" i="3" s="1"/>
  <c r="D196" i="3" a="1"/>
  <c r="D196" i="3" s="1"/>
  <c r="D209" i="3" a="1"/>
  <c r="D209" i="3" s="1"/>
  <c r="B60" i="3" a="1"/>
  <c r="B60" i="3" s="1"/>
  <c r="B84" i="3" a="1"/>
  <c r="B84" i="3" s="1"/>
  <c r="B108" i="3" a="1"/>
  <c r="B108" i="3" s="1"/>
  <c r="B130" i="3" a="1"/>
  <c r="B130" i="3" s="1"/>
  <c r="B146" i="3" a="1"/>
  <c r="B146" i="3" s="1"/>
  <c r="B158" i="3" a="1"/>
  <c r="B158" i="3" s="1"/>
  <c r="B170" i="3" a="1"/>
  <c r="B170" i="3" s="1"/>
  <c r="B182" i="3" a="1"/>
  <c r="B182" i="3" s="1"/>
  <c r="B194" i="3" a="1"/>
  <c r="B194" i="3" s="1"/>
  <c r="D175" i="3" a="1"/>
  <c r="D175" i="3" s="1"/>
  <c r="D198" i="3" a="1"/>
  <c r="D198" i="3" s="1"/>
  <c r="D210" i="3" a="1"/>
  <c r="D210" i="3" s="1"/>
  <c r="B40" i="3" a="1"/>
  <c r="B40" i="3" s="1"/>
  <c r="B62" i="3" a="1"/>
  <c r="B62" i="3" s="1"/>
  <c r="B86" i="3" a="1"/>
  <c r="B86" i="3" s="1"/>
  <c r="B110" i="3" a="1"/>
  <c r="B110" i="3" s="1"/>
  <c r="B132" i="3" a="1"/>
  <c r="B132" i="3" s="1"/>
  <c r="B147" i="3" a="1"/>
  <c r="B147" i="3" s="1"/>
  <c r="B159" i="3" a="1"/>
  <c r="B159" i="3" s="1"/>
  <c r="B171" i="3" a="1"/>
  <c r="B171" i="3" s="1"/>
  <c r="B183" i="3" a="1"/>
  <c r="B183" i="3" s="1"/>
  <c r="B195" i="3" a="1"/>
  <c r="B195" i="3" s="1"/>
  <c r="D177" i="3" a="1"/>
  <c r="D177" i="3" s="1"/>
  <c r="D199" i="3" a="1"/>
  <c r="D199" i="3" s="1"/>
  <c r="D211" i="3" a="1"/>
  <c r="D211" i="3" s="1"/>
  <c r="B42" i="3" a="1"/>
  <c r="B42" i="3" s="1"/>
  <c r="B64" i="3" a="1"/>
  <c r="B64" i="3" s="1"/>
  <c r="B88" i="3" a="1"/>
  <c r="B88" i="3" s="1"/>
  <c r="B112" i="3" a="1"/>
  <c r="B112" i="3" s="1"/>
  <c r="B134" i="3" a="1"/>
  <c r="B134" i="3" s="1"/>
  <c r="B148" i="3" a="1"/>
  <c r="B148" i="3" s="1"/>
  <c r="B160" i="3" a="1"/>
  <c r="B160" i="3" s="1"/>
  <c r="B172" i="3" a="1"/>
  <c r="B172" i="3" s="1"/>
  <c r="B184" i="3" a="1"/>
  <c r="B184" i="3" s="1"/>
  <c r="B196" i="3" a="1"/>
  <c r="B196" i="3" s="1"/>
  <c r="B208" i="3" a="1"/>
  <c r="B208" i="3" s="1"/>
  <c r="A2" i="3"/>
  <c r="H9" i="3"/>
  <c r="H21" i="3"/>
  <c r="H33" i="3"/>
  <c r="H45" i="3"/>
  <c r="H57" i="3"/>
  <c r="H69" i="3"/>
  <c r="H81" i="3"/>
  <c r="H93" i="3"/>
  <c r="H105" i="3"/>
  <c r="H117" i="3"/>
  <c r="H129" i="3"/>
  <c r="H141" i="3"/>
  <c r="H153" i="3"/>
  <c r="H165" i="3"/>
  <c r="H177" i="3"/>
  <c r="H189" i="3"/>
  <c r="H201" i="3"/>
  <c r="H213" i="3"/>
  <c r="G6" i="3"/>
  <c r="G18" i="3"/>
  <c r="G30" i="3"/>
  <c r="G42" i="3"/>
  <c r="G54" i="3"/>
  <c r="G66" i="3"/>
  <c r="G78" i="3"/>
  <c r="G90" i="3"/>
  <c r="G102" i="3"/>
  <c r="G114" i="3"/>
  <c r="G126" i="3"/>
  <c r="G138" i="3"/>
  <c r="G150" i="3"/>
  <c r="G162" i="3"/>
  <c r="G174" i="3"/>
  <c r="G186" i="3"/>
  <c r="G198" i="3"/>
  <c r="G210" i="3"/>
  <c r="E13" i="3"/>
  <c r="E25" i="3"/>
  <c r="E37" i="3"/>
  <c r="E49" i="3"/>
  <c r="E61" i="3"/>
  <c r="E73" i="3"/>
  <c r="E86" i="3"/>
  <c r="E98" i="3"/>
  <c r="E110" i="3"/>
  <c r="E122" i="3"/>
  <c r="E134" i="3"/>
  <c r="E146" i="3"/>
  <c r="E158" i="3"/>
  <c r="E170" i="3"/>
  <c r="E182" i="3"/>
  <c r="E194" i="3"/>
  <c r="E206" i="3"/>
  <c r="E218" i="3"/>
  <c r="C11" i="3"/>
  <c r="C23" i="3"/>
  <c r="C35" i="3"/>
  <c r="C47" i="3"/>
  <c r="C59" i="3"/>
  <c r="C71" i="3"/>
  <c r="C83" i="3"/>
  <c r="C95" i="3"/>
  <c r="C107" i="3"/>
  <c r="C119" i="3"/>
  <c r="C131" i="3"/>
  <c r="C143" i="3"/>
  <c r="C155" i="3"/>
  <c r="C167" i="3"/>
  <c r="C179" i="3"/>
  <c r="C191" i="3"/>
  <c r="C203" i="3"/>
  <c r="C215" i="3"/>
  <c r="E76" i="3"/>
  <c r="H10" i="3"/>
  <c r="H22" i="3"/>
  <c r="H34" i="3"/>
  <c r="H46" i="3"/>
  <c r="H58" i="3"/>
  <c r="H70" i="3"/>
  <c r="H82" i="3"/>
  <c r="H94" i="3"/>
  <c r="H106" i="3"/>
  <c r="H118" i="3"/>
  <c r="H130" i="3"/>
  <c r="H142" i="3"/>
  <c r="H154" i="3"/>
  <c r="H166" i="3"/>
  <c r="H178" i="3"/>
  <c r="H190" i="3"/>
  <c r="H202" i="3"/>
  <c r="H214" i="3"/>
  <c r="G7" i="3"/>
  <c r="G19" i="3"/>
  <c r="G31" i="3"/>
  <c r="G43" i="3"/>
  <c r="G55" i="3"/>
  <c r="G67" i="3"/>
  <c r="G79" i="3"/>
  <c r="G91" i="3"/>
  <c r="G103" i="3"/>
  <c r="G115" i="3"/>
  <c r="G127" i="3"/>
  <c r="G139" i="3"/>
  <c r="G151" i="3"/>
  <c r="G163" i="3"/>
  <c r="G175" i="3"/>
  <c r="G187" i="3"/>
  <c r="G199" i="3"/>
  <c r="G211" i="3"/>
  <c r="E14" i="3"/>
  <c r="E26" i="3"/>
  <c r="E38" i="3"/>
  <c r="E50" i="3"/>
  <c r="E62" i="3"/>
  <c r="E74" i="3"/>
  <c r="E87" i="3"/>
  <c r="E99" i="3"/>
  <c r="E111" i="3"/>
  <c r="E123" i="3"/>
  <c r="E135" i="3"/>
  <c r="E147" i="3"/>
  <c r="E159" i="3"/>
  <c r="E171" i="3"/>
  <c r="E183" i="3"/>
  <c r="E195" i="3"/>
  <c r="E207" i="3"/>
  <c r="E219" i="3"/>
  <c r="C12" i="3"/>
  <c r="C24" i="3"/>
  <c r="C36" i="3"/>
  <c r="C48" i="3"/>
  <c r="C60" i="3"/>
  <c r="C72" i="3"/>
  <c r="C84" i="3"/>
  <c r="C96" i="3"/>
  <c r="C108" i="3"/>
  <c r="C120" i="3"/>
  <c r="C132" i="3"/>
  <c r="C144" i="3"/>
  <c r="C156" i="3"/>
  <c r="C168" i="3"/>
  <c r="C180" i="3"/>
  <c r="C192" i="3"/>
  <c r="C204" i="3"/>
  <c r="C216" i="3"/>
  <c r="H11" i="3"/>
  <c r="H23" i="3"/>
  <c r="H35" i="3"/>
  <c r="H47" i="3"/>
  <c r="H59" i="3"/>
  <c r="H71" i="3"/>
  <c r="H83" i="3"/>
  <c r="H95" i="3"/>
  <c r="H107" i="3"/>
  <c r="H119" i="3"/>
  <c r="H131" i="3"/>
  <c r="H143" i="3"/>
  <c r="H155" i="3"/>
  <c r="H167" i="3"/>
  <c r="H179" i="3"/>
  <c r="H191" i="3"/>
  <c r="H203" i="3"/>
  <c r="H215" i="3"/>
  <c r="G8" i="3"/>
  <c r="G20" i="3"/>
  <c r="G32" i="3"/>
  <c r="G44" i="3"/>
  <c r="G56" i="3"/>
  <c r="G68" i="3"/>
  <c r="G80" i="3"/>
  <c r="G92" i="3"/>
  <c r="G104" i="3"/>
  <c r="G116" i="3"/>
  <c r="G128" i="3"/>
  <c r="G140" i="3"/>
  <c r="G152" i="3"/>
  <c r="G164" i="3"/>
  <c r="G176" i="3"/>
  <c r="G188" i="3"/>
  <c r="G200" i="3"/>
  <c r="G212" i="3"/>
  <c r="E3" i="3"/>
  <c r="E15" i="3"/>
  <c r="E27" i="3"/>
  <c r="E39" i="3"/>
  <c r="E51" i="3"/>
  <c r="E63" i="3"/>
  <c r="E75" i="3"/>
  <c r="E88" i="3"/>
  <c r="E100" i="3"/>
  <c r="E112" i="3"/>
  <c r="E124" i="3"/>
  <c r="E136" i="3"/>
  <c r="E148" i="3"/>
  <c r="E160" i="3"/>
  <c r="E172" i="3"/>
  <c r="E184" i="3"/>
  <c r="E196" i="3"/>
  <c r="E208" i="3"/>
  <c r="E220" i="3"/>
  <c r="C13" i="3"/>
  <c r="C25" i="3"/>
  <c r="C37" i="3"/>
  <c r="C49" i="3"/>
  <c r="C61" i="3"/>
  <c r="C73" i="3"/>
  <c r="C85" i="3"/>
  <c r="C97" i="3"/>
  <c r="C109" i="3"/>
  <c r="C121" i="3"/>
  <c r="C133" i="3"/>
  <c r="C145" i="3"/>
  <c r="C157" i="3"/>
  <c r="C169" i="3"/>
  <c r="C181" i="3"/>
  <c r="C193" i="3"/>
  <c r="C205" i="3"/>
  <c r="C217" i="3"/>
  <c r="H12" i="3"/>
  <c r="H24" i="3"/>
  <c r="H36" i="3"/>
  <c r="H48" i="3"/>
  <c r="H60" i="3"/>
  <c r="H72" i="3"/>
  <c r="H84" i="3"/>
  <c r="H96" i="3"/>
  <c r="H108" i="3"/>
  <c r="H120" i="3"/>
  <c r="H132" i="3"/>
  <c r="H144" i="3"/>
  <c r="H156" i="3"/>
  <c r="H168" i="3"/>
  <c r="H180" i="3"/>
  <c r="H192" i="3"/>
  <c r="H204" i="3"/>
  <c r="H216" i="3"/>
  <c r="G9" i="3"/>
  <c r="G21" i="3"/>
  <c r="G33" i="3"/>
  <c r="G45" i="3"/>
  <c r="G57" i="3"/>
  <c r="G69" i="3"/>
  <c r="G81" i="3"/>
  <c r="G93" i="3"/>
  <c r="G105" i="3"/>
  <c r="G117" i="3"/>
  <c r="G129" i="3"/>
  <c r="G141" i="3"/>
  <c r="G153" i="3"/>
  <c r="G165" i="3"/>
  <c r="G177" i="3"/>
  <c r="G189" i="3"/>
  <c r="G201" i="3"/>
  <c r="G213" i="3"/>
  <c r="E4" i="3"/>
  <c r="E16" i="3"/>
  <c r="E28" i="3"/>
  <c r="E40" i="3"/>
  <c r="E52" i="3"/>
  <c r="E64" i="3"/>
  <c r="E77" i="3"/>
  <c r="E89" i="3"/>
  <c r="E101" i="3"/>
  <c r="E113" i="3"/>
  <c r="E125" i="3"/>
  <c r="E137" i="3"/>
  <c r="E149" i="3"/>
  <c r="E161" i="3"/>
  <c r="E173" i="3"/>
  <c r="E185" i="3"/>
  <c r="E197" i="3"/>
  <c r="E209" i="3"/>
  <c r="C14" i="3"/>
  <c r="C26" i="3"/>
  <c r="C38" i="3"/>
  <c r="C50" i="3"/>
  <c r="C62" i="3"/>
  <c r="C74" i="3"/>
  <c r="C86" i="3"/>
  <c r="C98" i="3"/>
  <c r="C110" i="3"/>
  <c r="C122" i="3"/>
  <c r="C134" i="3"/>
  <c r="C146" i="3"/>
  <c r="C158" i="3"/>
  <c r="C170" i="3"/>
  <c r="C182" i="3"/>
  <c r="C194" i="3"/>
  <c r="C206" i="3"/>
  <c r="C218" i="3"/>
  <c r="H13" i="3"/>
  <c r="H25" i="3"/>
  <c r="H37" i="3"/>
  <c r="H49" i="3"/>
  <c r="H61" i="3"/>
  <c r="H73" i="3"/>
  <c r="H85" i="3"/>
  <c r="H97" i="3"/>
  <c r="H109" i="3"/>
  <c r="H121" i="3"/>
  <c r="H133" i="3"/>
  <c r="H145" i="3"/>
  <c r="H157" i="3"/>
  <c r="H169" i="3"/>
  <c r="H181" i="3"/>
  <c r="H193" i="3"/>
  <c r="H205" i="3"/>
  <c r="H217" i="3"/>
  <c r="G10" i="3"/>
  <c r="G22" i="3"/>
  <c r="G34" i="3"/>
  <c r="G46" i="3"/>
  <c r="G58" i="3"/>
  <c r="G70" i="3"/>
  <c r="G82" i="3"/>
  <c r="G94" i="3"/>
  <c r="G106" i="3"/>
  <c r="G118" i="3"/>
  <c r="G130" i="3"/>
  <c r="G142" i="3"/>
  <c r="G154" i="3"/>
  <c r="G166" i="3"/>
  <c r="G178" i="3"/>
  <c r="G190" i="3"/>
  <c r="G202" i="3"/>
  <c r="G214" i="3"/>
  <c r="E5" i="3"/>
  <c r="E17" i="3"/>
  <c r="E29" i="3"/>
  <c r="E41" i="3"/>
  <c r="E53" i="3"/>
  <c r="E65" i="3"/>
  <c r="E78" i="3"/>
  <c r="E90" i="3"/>
  <c r="E102" i="3"/>
  <c r="E114" i="3"/>
  <c r="E126" i="3"/>
  <c r="E138" i="3"/>
  <c r="E150" i="3"/>
  <c r="E162" i="3"/>
  <c r="E174" i="3"/>
  <c r="E186" i="3"/>
  <c r="E198" i="3"/>
  <c r="E210" i="3"/>
  <c r="C3" i="3"/>
  <c r="C15" i="3"/>
  <c r="C27" i="3"/>
  <c r="C39" i="3"/>
  <c r="C51" i="3"/>
  <c r="C63" i="3"/>
  <c r="C75" i="3"/>
  <c r="C87" i="3"/>
  <c r="C99" i="3"/>
  <c r="C111" i="3"/>
  <c r="C123" i="3"/>
  <c r="C135" i="3"/>
  <c r="C147" i="3"/>
  <c r="C159" i="3"/>
  <c r="C171" i="3"/>
  <c r="C183" i="3"/>
  <c r="C195" i="3"/>
  <c r="C207" i="3"/>
  <c r="C219" i="3"/>
  <c r="H3" i="3"/>
  <c r="H15" i="3"/>
  <c r="H27" i="3"/>
  <c r="H39" i="3"/>
  <c r="H51" i="3"/>
  <c r="H63" i="3"/>
  <c r="H75" i="3"/>
  <c r="H87" i="3"/>
  <c r="H99" i="3"/>
  <c r="H111" i="3"/>
  <c r="H123" i="3"/>
  <c r="H135" i="3"/>
  <c r="H147" i="3"/>
  <c r="H159" i="3"/>
  <c r="H171" i="3"/>
  <c r="H183" i="3"/>
  <c r="H195" i="3"/>
  <c r="H207" i="3"/>
  <c r="H219" i="3"/>
  <c r="G12" i="3"/>
  <c r="G24" i="3"/>
  <c r="G36" i="3"/>
  <c r="G48" i="3"/>
  <c r="G60" i="3"/>
  <c r="G72" i="3"/>
  <c r="G84" i="3"/>
  <c r="G96" i="3"/>
  <c r="G108" i="3"/>
  <c r="G120" i="3"/>
  <c r="G132" i="3"/>
  <c r="G144" i="3"/>
  <c r="G156" i="3"/>
  <c r="G168" i="3"/>
  <c r="G180" i="3"/>
  <c r="G192" i="3"/>
  <c r="G204" i="3"/>
  <c r="G216" i="3"/>
  <c r="E7" i="3"/>
  <c r="E19" i="3"/>
  <c r="E31" i="3"/>
  <c r="E43" i="3"/>
  <c r="E55" i="3"/>
  <c r="E67" i="3"/>
  <c r="E80" i="3"/>
  <c r="E92" i="3"/>
  <c r="E104" i="3"/>
  <c r="E116" i="3"/>
  <c r="E128" i="3"/>
  <c r="E140" i="3"/>
  <c r="E152" i="3"/>
  <c r="E164" i="3"/>
  <c r="E176" i="3"/>
  <c r="E188" i="3"/>
  <c r="E200" i="3"/>
  <c r="E212" i="3"/>
  <c r="C5" i="3"/>
  <c r="C17" i="3"/>
  <c r="C29" i="3"/>
  <c r="C41" i="3"/>
  <c r="C53" i="3"/>
  <c r="C65" i="3"/>
  <c r="C77" i="3"/>
  <c r="C89" i="3"/>
  <c r="C101" i="3"/>
  <c r="C113" i="3"/>
  <c r="C125" i="3"/>
  <c r="C137" i="3"/>
  <c r="C149" i="3"/>
  <c r="C161" i="3"/>
  <c r="C173" i="3"/>
  <c r="C185" i="3"/>
  <c r="C197" i="3"/>
  <c r="C209" i="3"/>
  <c r="H4" i="3"/>
  <c r="H16" i="3"/>
  <c r="H28" i="3"/>
  <c r="H40" i="3"/>
  <c r="H52" i="3"/>
  <c r="H64" i="3"/>
  <c r="H76" i="3"/>
  <c r="H88" i="3"/>
  <c r="H100" i="3"/>
  <c r="H112" i="3"/>
  <c r="H124" i="3"/>
  <c r="H136" i="3"/>
  <c r="H148" i="3"/>
  <c r="H160" i="3"/>
  <c r="H172" i="3"/>
  <c r="H184" i="3"/>
  <c r="H196" i="3"/>
  <c r="H208" i="3"/>
  <c r="H220" i="3"/>
  <c r="G13" i="3"/>
  <c r="G25" i="3"/>
  <c r="G37" i="3"/>
  <c r="G49" i="3"/>
  <c r="G61" i="3"/>
  <c r="G73" i="3"/>
  <c r="G85" i="3"/>
  <c r="G97" i="3"/>
  <c r="G109" i="3"/>
  <c r="G121" i="3"/>
  <c r="G133" i="3"/>
  <c r="G145" i="3"/>
  <c r="G157" i="3"/>
  <c r="G169" i="3"/>
  <c r="G181" i="3"/>
  <c r="G193" i="3"/>
  <c r="G205" i="3"/>
  <c r="G217" i="3"/>
  <c r="E8" i="3"/>
  <c r="E20" i="3"/>
  <c r="E32" i="3"/>
  <c r="E44" i="3"/>
  <c r="E56" i="3"/>
  <c r="E68" i="3"/>
  <c r="E81" i="3"/>
  <c r="E93" i="3"/>
  <c r="E105" i="3"/>
  <c r="E117" i="3"/>
  <c r="E129" i="3"/>
  <c r="E141" i="3"/>
  <c r="E153" i="3"/>
  <c r="E165" i="3"/>
  <c r="E177" i="3"/>
  <c r="E189" i="3"/>
  <c r="E201" i="3"/>
  <c r="E213" i="3"/>
  <c r="C6" i="3"/>
  <c r="C18" i="3"/>
  <c r="C30" i="3"/>
  <c r="C42" i="3"/>
  <c r="C54" i="3"/>
  <c r="C66" i="3"/>
  <c r="C78" i="3"/>
  <c r="C90" i="3"/>
  <c r="C102" i="3"/>
  <c r="C114" i="3"/>
  <c r="C126" i="3"/>
  <c r="C138" i="3"/>
  <c r="C150" i="3"/>
  <c r="C162" i="3"/>
  <c r="C174" i="3"/>
  <c r="C186" i="3"/>
  <c r="C198" i="3"/>
  <c r="C210" i="3"/>
  <c r="H14" i="3"/>
  <c r="H42" i="3"/>
  <c r="H68" i="3"/>
  <c r="H101" i="3"/>
  <c r="H127" i="3"/>
  <c r="H158" i="3"/>
  <c r="H186" i="3"/>
  <c r="H212" i="3"/>
  <c r="G26" i="3"/>
  <c r="G52" i="3"/>
  <c r="G83" i="3"/>
  <c r="G111" i="3"/>
  <c r="G137" i="3"/>
  <c r="G170" i="3"/>
  <c r="G196" i="3"/>
  <c r="E21" i="3"/>
  <c r="E47" i="3"/>
  <c r="F47" i="3" s="1"/>
  <c r="E79" i="3"/>
  <c r="E107" i="3"/>
  <c r="E133" i="3"/>
  <c r="E166" i="3"/>
  <c r="E192" i="3"/>
  <c r="C4" i="3"/>
  <c r="C32" i="3"/>
  <c r="C58" i="3"/>
  <c r="C91" i="3"/>
  <c r="C117" i="3"/>
  <c r="C148" i="3"/>
  <c r="C176" i="3"/>
  <c r="C202" i="3"/>
  <c r="H17" i="3"/>
  <c r="H43" i="3"/>
  <c r="H74" i="3"/>
  <c r="H102" i="3"/>
  <c r="H128" i="3"/>
  <c r="H161" i="3"/>
  <c r="H187" i="3"/>
  <c r="H218" i="3"/>
  <c r="G27" i="3"/>
  <c r="G53" i="3"/>
  <c r="G86" i="3"/>
  <c r="G112" i="3"/>
  <c r="G143" i="3"/>
  <c r="G171" i="3"/>
  <c r="G197" i="3"/>
  <c r="E22" i="3"/>
  <c r="E48" i="3"/>
  <c r="E82" i="3"/>
  <c r="E108" i="3"/>
  <c r="F108" i="3" s="1"/>
  <c r="E139" i="3"/>
  <c r="E167" i="3"/>
  <c r="F167" i="3" s="1"/>
  <c r="E193" i="3"/>
  <c r="C7" i="3"/>
  <c r="C33" i="3"/>
  <c r="C64" i="3"/>
  <c r="C92" i="3"/>
  <c r="C118" i="3"/>
  <c r="C151" i="3"/>
  <c r="C177" i="3"/>
  <c r="C208" i="3"/>
  <c r="H18" i="3"/>
  <c r="H44" i="3"/>
  <c r="H77" i="3"/>
  <c r="H103" i="3"/>
  <c r="H134" i="3"/>
  <c r="H162" i="3"/>
  <c r="H188" i="3"/>
  <c r="G28" i="3"/>
  <c r="G59" i="3"/>
  <c r="G87" i="3"/>
  <c r="G113" i="3"/>
  <c r="G146" i="3"/>
  <c r="G172" i="3"/>
  <c r="G203" i="3"/>
  <c r="E23" i="3"/>
  <c r="F23" i="3" s="1"/>
  <c r="E54" i="3"/>
  <c r="E83" i="3"/>
  <c r="E109" i="3"/>
  <c r="F109" i="3" s="1"/>
  <c r="E142" i="3"/>
  <c r="E168" i="3"/>
  <c r="E199" i="3"/>
  <c r="C8" i="3"/>
  <c r="C34" i="3"/>
  <c r="C67" i="3"/>
  <c r="C93" i="3"/>
  <c r="C124" i="3"/>
  <c r="C152" i="3"/>
  <c r="C178" i="3"/>
  <c r="C211" i="3"/>
  <c r="H19" i="3"/>
  <c r="H50" i="3"/>
  <c r="H78" i="3"/>
  <c r="H104" i="3"/>
  <c r="H137" i="3"/>
  <c r="H163" i="3"/>
  <c r="H194" i="3"/>
  <c r="G3" i="3"/>
  <c r="G29" i="3"/>
  <c r="G62" i="3"/>
  <c r="G88" i="3"/>
  <c r="G119" i="3"/>
  <c r="G147" i="3"/>
  <c r="G173" i="3"/>
  <c r="G206" i="3"/>
  <c r="E24" i="3"/>
  <c r="E57" i="3"/>
  <c r="E84" i="3"/>
  <c r="E115" i="3"/>
  <c r="E143" i="3"/>
  <c r="F143" i="3" s="1"/>
  <c r="E169" i="3"/>
  <c r="E202" i="3"/>
  <c r="C9" i="3"/>
  <c r="C40" i="3"/>
  <c r="C68" i="3"/>
  <c r="C94" i="3"/>
  <c r="C127" i="3"/>
  <c r="C153" i="3"/>
  <c r="C184" i="3"/>
  <c r="C212" i="3"/>
  <c r="H20" i="3"/>
  <c r="H53" i="3"/>
  <c r="H79" i="3"/>
  <c r="H110" i="3"/>
  <c r="H138" i="3"/>
  <c r="H164" i="3"/>
  <c r="H197" i="3"/>
  <c r="G4" i="3"/>
  <c r="G35" i="3"/>
  <c r="G63" i="3"/>
  <c r="G89" i="3"/>
  <c r="G122" i="3"/>
  <c r="G148" i="3"/>
  <c r="G179" i="3"/>
  <c r="G207" i="3"/>
  <c r="E30" i="3"/>
  <c r="E58" i="3"/>
  <c r="E85" i="3"/>
  <c r="F85" i="3" s="1"/>
  <c r="E118" i="3"/>
  <c r="E144" i="3"/>
  <c r="E175" i="3"/>
  <c r="E203" i="3"/>
  <c r="C10" i="3"/>
  <c r="C43" i="3"/>
  <c r="C69" i="3"/>
  <c r="C100" i="3"/>
  <c r="C128" i="3"/>
  <c r="C154" i="3"/>
  <c r="C187" i="3"/>
  <c r="C213" i="3"/>
  <c r="H26" i="3"/>
  <c r="H54" i="3"/>
  <c r="H80" i="3"/>
  <c r="H113" i="3"/>
  <c r="H139" i="3"/>
  <c r="H170" i="3"/>
  <c r="H198" i="3"/>
  <c r="G5" i="3"/>
  <c r="G38" i="3"/>
  <c r="G64" i="3"/>
  <c r="G95" i="3"/>
  <c r="G123" i="3"/>
  <c r="G149" i="3"/>
  <c r="G182" i="3"/>
  <c r="G208" i="3"/>
  <c r="E33" i="3"/>
  <c r="E59" i="3"/>
  <c r="E91" i="3"/>
  <c r="E119" i="3"/>
  <c r="F119" i="3" s="1"/>
  <c r="E145" i="3"/>
  <c r="E178" i="3"/>
  <c r="E204" i="3"/>
  <c r="C16" i="3"/>
  <c r="C44" i="3"/>
  <c r="C70" i="3"/>
  <c r="C103" i="3"/>
  <c r="C129" i="3"/>
  <c r="C160" i="3"/>
  <c r="C188" i="3"/>
  <c r="C214" i="3"/>
  <c r="H29" i="3"/>
  <c r="H55" i="3"/>
  <c r="H86" i="3"/>
  <c r="H114" i="3"/>
  <c r="H140" i="3"/>
  <c r="H173" i="3"/>
  <c r="H199" i="3"/>
  <c r="G11" i="3"/>
  <c r="G39" i="3"/>
  <c r="G65" i="3"/>
  <c r="G98" i="3"/>
  <c r="G124" i="3"/>
  <c r="G155" i="3"/>
  <c r="G183" i="3"/>
  <c r="G209" i="3"/>
  <c r="E6" i="3"/>
  <c r="E34" i="3"/>
  <c r="E60" i="3"/>
  <c r="E94" i="3"/>
  <c r="E120" i="3"/>
  <c r="E151" i="3"/>
  <c r="F151" i="3" s="1"/>
  <c r="E179" i="3"/>
  <c r="E205" i="3"/>
  <c r="C19" i="3"/>
  <c r="C45" i="3"/>
  <c r="C76" i="3"/>
  <c r="C104" i="3"/>
  <c r="C130" i="3"/>
  <c r="C163" i="3"/>
  <c r="C189" i="3"/>
  <c r="C220" i="3"/>
  <c r="H30" i="3"/>
  <c r="H56" i="3"/>
  <c r="H89" i="3"/>
  <c r="H115" i="3"/>
  <c r="H146" i="3"/>
  <c r="H174" i="3"/>
  <c r="H200" i="3"/>
  <c r="G14" i="3"/>
  <c r="G40" i="3"/>
  <c r="G71" i="3"/>
  <c r="G99" i="3"/>
  <c r="G125" i="3"/>
  <c r="G158" i="3"/>
  <c r="G184" i="3"/>
  <c r="G215" i="3"/>
  <c r="E9" i="3"/>
  <c r="E35" i="3"/>
  <c r="E66" i="3"/>
  <c r="F66" i="3" s="1"/>
  <c r="E95" i="3"/>
  <c r="E121" i="3"/>
  <c r="F121" i="3" s="1"/>
  <c r="E154" i="3"/>
  <c r="F154" i="3" s="1"/>
  <c r="E180" i="3"/>
  <c r="E211" i="3"/>
  <c r="C20" i="3"/>
  <c r="C46" i="3"/>
  <c r="C79" i="3"/>
  <c r="C105" i="3"/>
  <c r="C136" i="3"/>
  <c r="C164" i="3"/>
  <c r="C190" i="3"/>
  <c r="H5" i="3"/>
  <c r="H31" i="3"/>
  <c r="H62" i="3"/>
  <c r="H90" i="3"/>
  <c r="H116" i="3"/>
  <c r="H149" i="3"/>
  <c r="H175" i="3"/>
  <c r="H206" i="3"/>
  <c r="G15" i="3"/>
  <c r="G41" i="3"/>
  <c r="G74" i="3"/>
  <c r="G100" i="3"/>
  <c r="G131" i="3"/>
  <c r="G159" i="3"/>
  <c r="G185" i="3"/>
  <c r="G218" i="3"/>
  <c r="E10" i="3"/>
  <c r="F10" i="3" s="1"/>
  <c r="E36" i="3"/>
  <c r="F36" i="3" s="1"/>
  <c r="E69" i="3"/>
  <c r="E96" i="3"/>
  <c r="F96" i="3" s="1"/>
  <c r="E127" i="3"/>
  <c r="E155" i="3"/>
  <c r="E181" i="3"/>
  <c r="E214" i="3"/>
  <c r="C21" i="3"/>
  <c r="C52" i="3"/>
  <c r="C80" i="3"/>
  <c r="C106" i="3"/>
  <c r="C139" i="3"/>
  <c r="C165" i="3"/>
  <c r="C196" i="3"/>
  <c r="H8" i="3"/>
  <c r="H126" i="3"/>
  <c r="G23" i="3"/>
  <c r="G136" i="3"/>
  <c r="E46" i="3"/>
  <c r="E163" i="3"/>
  <c r="C57" i="3"/>
  <c r="C175" i="3"/>
  <c r="H32" i="3"/>
  <c r="H150" i="3"/>
  <c r="G47" i="3"/>
  <c r="G160" i="3"/>
  <c r="E70" i="3"/>
  <c r="E187" i="3"/>
  <c r="C81" i="3"/>
  <c r="C199" i="3"/>
  <c r="H38" i="3"/>
  <c r="H151" i="3"/>
  <c r="G50" i="3"/>
  <c r="G161" i="3"/>
  <c r="E71" i="3"/>
  <c r="E190" i="3"/>
  <c r="C82" i="3"/>
  <c r="C200" i="3"/>
  <c r="H65" i="3"/>
  <c r="H176" i="3"/>
  <c r="G75" i="3"/>
  <c r="G191" i="3"/>
  <c r="E97" i="3"/>
  <c r="F97" i="3" s="1"/>
  <c r="E215" i="3"/>
  <c r="C112" i="3"/>
  <c r="H66" i="3"/>
  <c r="H182" i="3"/>
  <c r="G76" i="3"/>
  <c r="G194" i="3"/>
  <c r="E103" i="3"/>
  <c r="F103" i="3" s="1"/>
  <c r="E216" i="3"/>
  <c r="F216" i="3" s="1"/>
  <c r="C115" i="3"/>
  <c r="H67" i="3"/>
  <c r="H185" i="3"/>
  <c r="G77" i="3"/>
  <c r="G195" i="3"/>
  <c r="E106" i="3"/>
  <c r="E217" i="3"/>
  <c r="C116" i="3"/>
  <c r="H91" i="3"/>
  <c r="H209" i="3"/>
  <c r="G101" i="3"/>
  <c r="G219" i="3"/>
  <c r="E11" i="3"/>
  <c r="E130" i="3"/>
  <c r="C22" i="3"/>
  <c r="C140" i="3"/>
  <c r="H92" i="3"/>
  <c r="H210" i="3"/>
  <c r="G107" i="3"/>
  <c r="G220" i="3"/>
  <c r="E12" i="3"/>
  <c r="E131" i="3"/>
  <c r="F131" i="3" s="1"/>
  <c r="C28" i="3"/>
  <c r="C141" i="3"/>
  <c r="H7" i="3"/>
  <c r="H125" i="3"/>
  <c r="G17" i="3"/>
  <c r="G135" i="3"/>
  <c r="E45" i="3"/>
  <c r="E157" i="3"/>
  <c r="F157" i="3" s="1"/>
  <c r="C56" i="3"/>
  <c r="C172" i="3"/>
  <c r="G16" i="3"/>
  <c r="E42" i="3"/>
  <c r="F42" i="3" s="1"/>
  <c r="G51" i="3"/>
  <c r="E72" i="3"/>
  <c r="F72" i="3" s="1"/>
  <c r="G110" i="3"/>
  <c r="E132" i="3"/>
  <c r="G134" i="3"/>
  <c r="E156" i="3"/>
  <c r="G167" i="3"/>
  <c r="E191" i="3"/>
  <c r="C31" i="3"/>
  <c r="H6" i="3"/>
  <c r="C55" i="3"/>
  <c r="H41" i="3"/>
  <c r="C88" i="3"/>
  <c r="H122" i="3"/>
  <c r="C166" i="3"/>
  <c r="H211" i="3"/>
  <c r="E18" i="3"/>
  <c r="H98" i="3"/>
  <c r="H152" i="3"/>
  <c r="C142" i="3"/>
  <c r="C201" i="3"/>
  <c r="F45" i="3" l="1"/>
  <c r="F11" i="3"/>
  <c r="F179" i="3"/>
  <c r="F33" i="3"/>
  <c r="F203" i="3"/>
  <c r="F24" i="3"/>
  <c r="F168" i="3"/>
  <c r="F133" i="3"/>
  <c r="F69" i="3"/>
  <c r="F120" i="3"/>
  <c r="F144" i="3"/>
  <c r="F107" i="3"/>
  <c r="F34" i="3"/>
  <c r="F54" i="3"/>
  <c r="F217" i="3"/>
  <c r="F6" i="3"/>
  <c r="F204" i="3"/>
  <c r="F202" i="3"/>
  <c r="F191" i="3"/>
  <c r="F169" i="3"/>
  <c r="F156" i="3"/>
  <c r="F18" i="3"/>
  <c r="F181" i="3"/>
  <c r="F35" i="3"/>
  <c r="F91" i="3"/>
  <c r="F84" i="3"/>
  <c r="F48" i="3"/>
  <c r="F215" i="3"/>
  <c r="F95" i="3"/>
  <c r="F145" i="3"/>
  <c r="F132" i="3"/>
  <c r="F155" i="3"/>
  <c r="F205" i="3"/>
  <c r="F59" i="3"/>
  <c r="F192" i="3"/>
  <c r="J2" i="3" a="1"/>
  <c r="J2" i="3" s="1"/>
  <c r="D2" i="3" a="1"/>
  <c r="D2" i="3" s="1"/>
  <c r="B2" i="3" a="1"/>
  <c r="B2" i="3" s="1"/>
  <c r="F12" i="3"/>
  <c r="F60" i="3"/>
  <c r="F83" i="3"/>
  <c r="F71" i="3"/>
  <c r="F180" i="3"/>
  <c r="F58" i="3"/>
  <c r="F193" i="3"/>
  <c r="F189" i="3"/>
  <c r="F118" i="3"/>
  <c r="F30" i="3"/>
  <c r="F32" i="3"/>
  <c r="F210" i="3"/>
  <c r="F65" i="3"/>
  <c r="F75" i="3"/>
  <c r="F106" i="3"/>
  <c r="F163" i="3"/>
  <c r="F186" i="3"/>
  <c r="F46" i="3"/>
  <c r="F82" i="3"/>
  <c r="F129" i="3"/>
  <c r="F57" i="3"/>
  <c r="F149" i="3"/>
  <c r="F175" i="3"/>
  <c r="F93" i="3"/>
  <c r="F125" i="3"/>
  <c r="F187" i="3"/>
  <c r="F117" i="3"/>
  <c r="F200" i="3"/>
  <c r="F55" i="3"/>
  <c r="F150" i="3"/>
  <c r="F5" i="3"/>
  <c r="F89" i="3"/>
  <c r="F184" i="3"/>
  <c r="F39" i="3"/>
  <c r="F123" i="3"/>
  <c r="F206" i="3"/>
  <c r="F61" i="3"/>
  <c r="F105" i="3"/>
  <c r="F188" i="3"/>
  <c r="F43" i="3"/>
  <c r="F138" i="3"/>
  <c r="F77" i="3"/>
  <c r="F172" i="3"/>
  <c r="F27" i="3"/>
  <c r="F111" i="3"/>
  <c r="F194" i="3"/>
  <c r="F49" i="3"/>
  <c r="F199" i="3"/>
  <c r="F176" i="3"/>
  <c r="F31" i="3"/>
  <c r="F126" i="3"/>
  <c r="F209" i="3"/>
  <c r="F64" i="3"/>
  <c r="F160" i="3"/>
  <c r="F15" i="3"/>
  <c r="F99" i="3"/>
  <c r="F182" i="3"/>
  <c r="F37" i="3"/>
  <c r="F214" i="3"/>
  <c r="F130" i="3"/>
  <c r="F190" i="3"/>
  <c r="F211" i="3"/>
  <c r="F115" i="3"/>
  <c r="F81" i="3"/>
  <c r="F164" i="3"/>
  <c r="F19" i="3"/>
  <c r="F114" i="3"/>
  <c r="F197" i="3"/>
  <c r="F52" i="3"/>
  <c r="F148" i="3"/>
  <c r="F3" i="3"/>
  <c r="F87" i="3"/>
  <c r="F170" i="3"/>
  <c r="F25" i="3"/>
  <c r="F70" i="3"/>
  <c r="F127" i="3"/>
  <c r="F142" i="3"/>
  <c r="F213" i="3"/>
  <c r="F68" i="3"/>
  <c r="F152" i="3"/>
  <c r="F7" i="3"/>
  <c r="F102" i="3"/>
  <c r="F185" i="3"/>
  <c r="F40" i="3"/>
  <c r="F136" i="3"/>
  <c r="F219" i="3"/>
  <c r="F74" i="3"/>
  <c r="F76" i="3"/>
  <c r="F158" i="3"/>
  <c r="F13" i="3"/>
  <c r="F139" i="3"/>
  <c r="F201" i="3"/>
  <c r="F56" i="3"/>
  <c r="F140" i="3"/>
  <c r="F90" i="3"/>
  <c r="F173" i="3"/>
  <c r="F28" i="3"/>
  <c r="F124" i="3"/>
  <c r="F207" i="3"/>
  <c r="F62" i="3"/>
  <c r="F146" i="3"/>
  <c r="F166" i="3"/>
  <c r="F44" i="3"/>
  <c r="F128" i="3"/>
  <c r="F78" i="3"/>
  <c r="F161" i="3"/>
  <c r="F16" i="3"/>
  <c r="F112" i="3"/>
  <c r="F195" i="3"/>
  <c r="F50" i="3"/>
  <c r="F134" i="3"/>
  <c r="F177" i="3"/>
  <c r="F116" i="3"/>
  <c r="F4" i="3"/>
  <c r="F100" i="3"/>
  <c r="F183" i="3"/>
  <c r="F38" i="3"/>
  <c r="F122" i="3"/>
  <c r="F165" i="3"/>
  <c r="F20" i="3"/>
  <c r="F104" i="3"/>
  <c r="F198" i="3"/>
  <c r="F53" i="3"/>
  <c r="F137" i="3"/>
  <c r="F88" i="3"/>
  <c r="F171" i="3"/>
  <c r="F26" i="3"/>
  <c r="F110" i="3"/>
  <c r="F94" i="3"/>
  <c r="F22" i="3"/>
  <c r="F79" i="3"/>
  <c r="F153" i="3"/>
  <c r="F8" i="3"/>
  <c r="F92" i="3"/>
  <c r="F41" i="3"/>
  <c r="F220" i="3"/>
  <c r="F159" i="3"/>
  <c r="F14" i="3"/>
  <c r="F98" i="3"/>
  <c r="F178" i="3"/>
  <c r="F9" i="3"/>
  <c r="F141" i="3"/>
  <c r="F80" i="3"/>
  <c r="F174" i="3"/>
  <c r="F29" i="3"/>
  <c r="F113" i="3"/>
  <c r="F208" i="3"/>
  <c r="F63" i="3"/>
  <c r="F147" i="3"/>
  <c r="F86" i="3"/>
  <c r="F21" i="3"/>
  <c r="F212" i="3"/>
  <c r="F67" i="3"/>
  <c r="F162" i="3"/>
  <c r="F17" i="3"/>
  <c r="F101" i="3"/>
  <c r="F196" i="3"/>
  <c r="F51" i="3"/>
  <c r="F135" i="3"/>
  <c r="F218" i="3"/>
  <c r="F73" i="3"/>
  <c r="E2" i="3"/>
  <c r="C2" i="3"/>
  <c r="H2" i="3"/>
  <c r="G2" i="3"/>
  <c r="F2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<sst xmlns="http://schemas.openxmlformats.org/spreadsheetml/2006/main" count="282" uniqueCount="272">
  <si>
    <t>team_name</t>
  </si>
  <si>
    <t>_PowerRangers</t>
  </si>
  <si>
    <t>...</t>
  </si>
  <si>
    <t>1æ¢1</t>
  </si>
  <si>
    <t>1w Team</t>
  </si>
  <si>
    <t>52turbo</t>
  </si>
  <si>
    <t>5Prisoners</t>
  </si>
  <si>
    <t>67TEAM</t>
  </si>
  <si>
    <t>Acatsuki</t>
  </si>
  <si>
    <t>Aegis Americana</t>
  </si>
  <si>
    <t>Agressiv Style</t>
  </si>
  <si>
    <t>Air Defence</t>
  </si>
  <si>
    <t>ALIS VENTORUS</t>
  </si>
  <si>
    <t>Alis Ventorus</t>
  </si>
  <si>
    <t>Amaru Flame</t>
  </si>
  <si>
    <t>AMF.wbt</t>
  </si>
  <si>
    <t>Aukka Gaming</t>
  </si>
  <si>
    <t>Aurora Gaming</t>
  </si>
  <si>
    <t>Azutive Fans</t>
  </si>
  <si>
    <t>BALU TEAM</t>
  </si>
  <si>
    <t>Barrancobar</t>
  </si>
  <si>
    <t>Bayou Bloodseekers</t>
  </si>
  <si>
    <t>Belial Gaming</t>
  </si>
  <si>
    <t>BetBoom Team</t>
  </si>
  <si>
    <t>BigChickenEight</t>
  </si>
  <si>
    <t>BIZ GAMING</t>
  </si>
  <si>
    <t>BIZCOCHOS KARIM</t>
  </si>
  <si>
    <t>BLACK_TERIC</t>
  </si>
  <si>
    <t>BloodyRose</t>
  </si>
  <si>
    <t>BOCEMHAXA</t>
  </si>
  <si>
    <t>Breeki Cheeki</t>
  </si>
  <si>
    <t>BTC Gaming</t>
  </si>
  <si>
    <t>BTS Army</t>
  </si>
  <si>
    <t>Captains</t>
  </si>
  <si>
    <t>Carstensz Esports</t>
  </si>
  <si>
    <t>Chandogs</t>
  </si>
  <si>
    <t>Chincha Players</t>
  </si>
  <si>
    <t>CHIPAP</t>
  </si>
  <si>
    <t>Cinqueblinks</t>
  </si>
  <si>
    <t>Cloud Dawning</t>
  </si>
  <si>
    <t>Cloud Rising</t>
  </si>
  <si>
    <t>Clown Crew</t>
  </si>
  <si>
    <t>CrimsonSky</t>
  </si>
  <si>
    <t>Ð–Ð¸Ñ€Ð½Ñ‹Ðµ Ð”ÐµÑ‚Ð¸ Ð² Ð”ÐµÐ¿Ñ€ÐµÑÑÐ¸Ð¸</t>
  </si>
  <si>
    <t>Ð¡Ð¼ÐµÑˆÐ°Ñ€Ð¸ÐºÐ¸</t>
  </si>
  <si>
    <t>Ð¡Ñ‹Ñ€ÐºÐ¾Ð¿Ñ‡ÐµÐ½Ð½Ñ‹Ðµ</t>
  </si>
  <si>
    <t>Ð¡Ñ€ÐµÐ´Ð½ÑÑ ÑˆÐºÐ¾Ð»Ð° Ð¢ÐµÐ¹ÐºÐ¾</t>
  </si>
  <si>
    <t>Ð¿Ð¾Ð²ÐµÑ€ Ñ€ÐµÐ½Ð´Ð¶ÐµÑ€Ñ</t>
  </si>
  <si>
    <t>Ð’-Ð’Ð¾ÑÑ…Ð¸Ñ‚Ð¸Ñ‚ÐµÐ»ÑŒÐ½Ñ‹Ð¹</t>
  </si>
  <si>
    <t>Ð“Ð²Ð¾Ð·Ð´Ð¸ Ð² ÐºÐµÐ´Ð°Ñ… &lt;3</t>
  </si>
  <si>
    <t>Ð”Ð¾ÑÑ€Ð¾Ñ‡Ð½Ð°Ñ ÑÐ´Ð°Ñ‡Ð° (1 ÑÑ‚Ð°Ð¶)</t>
  </si>
  <si>
    <t>Ð¼Ð¸Ð½Ð¸Ð±Ð°Ñ€ÑÐ°</t>
  </si>
  <si>
    <t>Ð³Ð°Ð½Ð´Ð¾Ð¾Ð¾Ð½Ñ‹ Ð´Ð°Ð°Ð°Ð²Ð°Ð¹</t>
  </si>
  <si>
    <t>Dan+4</t>
  </si>
  <si>
    <t>Dark Horses</t>
  </si>
  <si>
    <t>Dark Rebellion</t>
  </si>
  <si>
    <t>DARKNESS GAMING</t>
  </si>
  <si>
    <t>DarkStorm</t>
  </si>
  <si>
    <t>Data Thunder</t>
  </si>
  <si>
    <t>ÐœÐ˜ÐÐ•Ð¢Ð§Ð˜Ð¦Ð«</t>
  </si>
  <si>
    <t>DOGSENT</t>
  </si>
  <si>
    <t>Dominion</t>
  </si>
  <si>
    <t>ÐšÑ€ÑƒÑ‚ÐµÑ†ÐºÐ°Ñ ÐšÑ€ÑƒÑ‚ÑŒ</t>
  </si>
  <si>
    <t>E-Bite</t>
  </si>
  <si>
    <t>EARTH GAMING</t>
  </si>
  <si>
    <t>EEZZ</t>
  </si>
  <si>
    <t>EHOME SA</t>
  </si>
  <si>
    <t>El otro equipo me la chupa</t>
  </si>
  <si>
    <t>Elite Eclipse</t>
  </si>
  <si>
    <t>Ember Enjoyers</t>
  </si>
  <si>
    <t>Enjoy</t>
  </si>
  <si>
    <t>Eoka</t>
  </si>
  <si>
    <t>Essence</t>
  </si>
  <si>
    <t>Estar Backs</t>
  </si>
  <si>
    <t>Etherium Warriors</t>
  </si>
  <si>
    <t>Execration</t>
  </si>
  <si>
    <t>Eye Gaming</t>
  </si>
  <si>
    <t>F-150</t>
  </si>
  <si>
    <t>Falanga Gaming</t>
  </si>
  <si>
    <t>FALL VICTIMS</t>
  </si>
  <si>
    <t>FIC EMPIRE</t>
  </si>
  <si>
    <t>Flawless Goblins</t>
  </si>
  <si>
    <t>FLYING FORTUNE</t>
  </si>
  <si>
    <t>Fortnite</t>
  </si>
  <si>
    <t>Foxy gaming</t>
  </si>
  <si>
    <t>fp anti-mage</t>
  </si>
  <si>
    <t>GachiGang</t>
  </si>
  <si>
    <t>Gaduka gang</t>
  </si>
  <si>
    <t>GamerLegion</t>
  </si>
  <si>
    <t>Gator Legs</t>
  </si>
  <si>
    <t>Gensokyo</t>
  </si>
  <si>
    <t>ggboom</t>
  </si>
  <si>
    <t>Ghost Sheep</t>
  </si>
  <si>
    <t>GIOR DOTA</t>
  </si>
  <si>
    <t>GLYPH</t>
  </si>
  <si>
    <t>Gold Aleksa</t>
  </si>
  <si>
    <t>Golden Wolves</t>
  </si>
  <si>
    <t>golybci</t>
  </si>
  <si>
    <t>Greyhound Team</t>
  </si>
  <si>
    <t>Gribbs</t>
  </si>
  <si>
    <t>Guerreros ZZZ</t>
  </si>
  <si>
    <t>HELLBEAR HEROES</t>
  </si>
  <si>
    <t>HEROIC</t>
  </si>
  <si>
    <t>Hokori</t>
  </si>
  <si>
    <t>holesterin team</t>
  </si>
  <si>
    <t>Icefly</t>
  </si>
  <si>
    <t>if six was nine team</t>
  </si>
  <si>
    <t>Ilbirs Esports</t>
  </si>
  <si>
    <t>Infamous Gaming</t>
  </si>
  <si>
    <t>InmortalClass</t>
  </si>
  <si>
    <t>Inner Circle x Insanity</t>
  </si>
  <si>
    <t>InterActive Philippines</t>
  </si>
  <si>
    <t>Ivory</t>
  </si>
  <si>
    <t>james&amp;jeremy</t>
  </si>
  <si>
    <t>Jetpack Team</t>
  </si>
  <si>
    <t>KaiserNet</t>
  </si>
  <si>
    <t>Kiba Arms</t>
  </si>
  <si>
    <t>KIBA ARMS</t>
  </si>
  <si>
    <t>kijeyka</t>
  </si>
  <si>
    <t>KINGS</t>
  </si>
  <si>
    <t>KINGSURF</t>
  </si>
  <si>
    <t>Kitsune Esports</t>
  </si>
  <si>
    <t>KukuysV2</t>
  </si>
  <si>
    <t>KukuysV3</t>
  </si>
  <si>
    <t>KVARTAL95</t>
  </si>
  <si>
    <t>L1GA TEAM</t>
  </si>
  <si>
    <t>La Passion</t>
  </si>
  <si>
    <t>LAVA SPORTS</t>
  </si>
  <si>
    <t>Legion</t>
  </si>
  <si>
    <t>Leto</t>
  </si>
  <si>
    <t>loodowolfs</t>
  </si>
  <si>
    <t>Los Jinetes</t>
  </si>
  <si>
    <t>Los Waskas</t>
  </si>
  <si>
    <t>LSG</t>
  </si>
  <si>
    <t>Lunar Vibes</t>
  </si>
  <si>
    <t>LV United</t>
  </si>
  <si>
    <t>MaMa9aka</t>
  </si>
  <si>
    <t>Manhattan Melee</t>
  </si>
  <si>
    <t>Mellstroy Team</t>
  </si>
  <si>
    <t>Meta Strikers</t>
  </si>
  <si>
    <t>Mideng dreamer</t>
  </si>
  <si>
    <t>MightyGods</t>
  </si>
  <si>
    <t>MODUS</t>
  </si>
  <si>
    <t>MOUZ</t>
  </si>
  <si>
    <t>NaiLong</t>
  </si>
  <si>
    <t>Natus Vincere</t>
  </si>
  <si>
    <t>NAVI Junior</t>
  </si>
  <si>
    <t>Nemiga Gaming</t>
  </si>
  <si>
    <t>Neon Knights</t>
  </si>
  <si>
    <t>Nethercore</t>
  </si>
  <si>
    <t>ÑƒÑ‡Ð¸Ð¼ Ð´Ð¾Ñ‚Ðµ 2</t>
  </si>
  <si>
    <t>NGNB</t>
  </si>
  <si>
    <t>Night Force</t>
  </si>
  <si>
    <t>Night KnightS</t>
  </si>
  <si>
    <t>Night Vision</t>
  </si>
  <si>
    <t>Nigma Galaxy</t>
  </si>
  <si>
    <t>No Tidehunter</t>
  </si>
  <si>
    <t>Not</t>
  </si>
  <si>
    <t>NotChainedAnymore</t>
  </si>
  <si>
    <t>Nova Pulse</t>
  </si>
  <si>
    <t>OG</t>
  </si>
  <si>
    <t>OnlyGuapos</t>
  </si>
  <si>
    <t>Ositos Tilteados</t>
  </si>
  <si>
    <t>Outsiders</t>
  </si>
  <si>
    <t>OwNing ProS DaiLy</t>
  </si>
  <si>
    <t>Pancakes &amp; Pango</t>
  </si>
  <si>
    <t>PANDA 5</t>
  </si>
  <si>
    <t>Panda5</t>
  </si>
  <si>
    <t>PARIVISION</t>
  </si>
  <si>
    <t>Pattern Hunters</t>
  </si>
  <si>
    <t>penis</t>
  </si>
  <si>
    <t>Phoenix E-Sports</t>
  </si>
  <si>
    <t>Pipsqueak+4</t>
  </si>
  <si>
    <t>PlayTime</t>
  </si>
  <si>
    <t>Pleaze Gaming</t>
  </si>
  <si>
    <t>Prime Time</t>
  </si>
  <si>
    <t>Public Revolution</t>
  </si>
  <si>
    <t>PYPSIKI</t>
  </si>
  <si>
    <t>Ra4kiii</t>
  </si>
  <si>
    <t>Raidd Boss</t>
  </si>
  <si>
    <t>RAW</t>
  </si>
  <si>
    <t>recruitFOREVER</t>
  </si>
  <si>
    <t>REKONIX</t>
  </si>
  <si>
    <t>Riftwalkers</t>
  </si>
  <si>
    <t>Roar</t>
  </si>
  <si>
    <t>Rock n Sports</t>
  </si>
  <si>
    <t>rostov radost</t>
  </si>
  <si>
    <t>Ruina</t>
  </si>
  <si>
    <t>Rune Eaters</t>
  </si>
  <si>
    <t>Satan666</t>
  </si>
  <si>
    <t>Selyuk_team</t>
  </si>
  <si>
    <t>SHAPITO</t>
  </si>
  <si>
    <t>Shinigami Gaming</t>
  </si>
  <si>
    <t>Shinra tensei</t>
  </si>
  <si>
    <t>ShIShUlI</t>
  </si>
  <si>
    <t>ShIShulI</t>
  </si>
  <si>
    <t>Signal Forge</t>
  </si>
  <si>
    <t>SoNNeikO clan</t>
  </si>
  <si>
    <t>SouthAmericaRejects</t>
  </si>
  <si>
    <t>STARIY TINKER X2</t>
  </si>
  <si>
    <t>Sunny Girls</t>
  </si>
  <si>
    <t>SuperPerci</t>
  </si>
  <si>
    <t>Tabakerka</t>
  </si>
  <si>
    <t>Team Antares</t>
  </si>
  <si>
    <t>Team Falcons</t>
  </si>
  <si>
    <t>Team Freedom</t>
  </si>
  <si>
    <t>TEAM LENS</t>
  </si>
  <si>
    <t>Team Levantic</t>
  </si>
  <si>
    <t>Team Lipstick</t>
  </si>
  <si>
    <t>Team Liquid</t>
  </si>
  <si>
    <t>Team Lynx</t>
  </si>
  <si>
    <t>Team Mandarin</t>
  </si>
  <si>
    <t>Team Nemesis</t>
  </si>
  <si>
    <t>Team Nord</t>
  </si>
  <si>
    <t>team popov+4</t>
  </si>
  <si>
    <t>Team Resilience</t>
  </si>
  <si>
    <t>Team Spirit</t>
  </si>
  <si>
    <t>Team Spirit Academy</t>
  </si>
  <si>
    <t>Team Stels</t>
  </si>
  <si>
    <t>Team SuperNova</t>
  </si>
  <si>
    <t>TEAM TpaBoMaH</t>
  </si>
  <si>
    <t>Team WL</t>
  </si>
  <si>
    <t>Team Yandex</t>
  </si>
  <si>
    <t>Teiko</t>
  </si>
  <si>
    <t>The Bros</t>
  </si>
  <si>
    <t>The Bug</t>
  </si>
  <si>
    <t>The goal of all life is death</t>
  </si>
  <si>
    <t>Thriving</t>
  </si>
  <si>
    <t>Titan Strikers</t>
  </si>
  <si>
    <t>ToLight</t>
  </si>
  <si>
    <t>Tundra Esports</t>
  </si>
  <si>
    <t>TUNDRA PRIME</t>
  </si>
  <si>
    <t>Vector Velocity</t>
  </si>
  <si>
    <t>Veroja Gaming</t>
  </si>
  <si>
    <t>VERTEX PACK</t>
  </si>
  <si>
    <t>Vici Gaming</t>
  </si>
  <si>
    <t>Virtus.pro</t>
  </si>
  <si>
    <t>Vitality Warriors</t>
  </si>
  <si>
    <t>VMYASO TEAM</t>
  </si>
  <si>
    <t>Vodka</t>
  </si>
  <si>
    <t>VP.Prodigy</t>
  </si>
  <si>
    <t>WARRIORS OF ANGELI</t>
  </si>
  <si>
    <t>Well</t>
  </si>
  <si>
    <t>Whoa-Sirus</t>
  </si>
  <si>
    <t>Wild Dragon</t>
  </si>
  <si>
    <t>Winter Squadron</t>
  </si>
  <si>
    <t>WinteR Squadron</t>
  </si>
  <si>
    <t>Wiser Warriors</t>
  </si>
  <si>
    <t>x5 Gaming</t>
  </si>
  <si>
    <t>xd</t>
  </si>
  <si>
    <t>XR</t>
  </si>
  <si>
    <t>Xtreme Gaming</t>
  </si>
  <si>
    <t>Y2K</t>
  </si>
  <si>
    <t>Yakult Brothers</t>
  </si>
  <si>
    <t>Yakult Brothers.XiongChuMo</t>
  </si>
  <si>
    <t>Yangon Galacticos</t>
  </si>
  <si>
    <t>Yellow Submarine</t>
  </si>
  <si>
    <t>YURI SAGDEEV MINDSET</t>
  </si>
  <si>
    <t>Zero Tenacity</t>
  </si>
  <si>
    <t>Zetta Games</t>
  </si>
  <si>
    <t>times_played</t>
  </si>
  <si>
    <t>times_won</t>
  </si>
  <si>
    <t>win_rate</t>
  </si>
  <si>
    <t>qualify</t>
  </si>
  <si>
    <t>name</t>
  </si>
  <si>
    <t>hero_name</t>
  </si>
  <si>
    <t>lane</t>
  </si>
  <si>
    <t>avg_gpm</t>
  </si>
  <si>
    <t>avg_xpm</t>
  </si>
  <si>
    <t>helper_1</t>
  </si>
  <si>
    <t>helper_2</t>
  </si>
  <si>
    <t>main_hero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</si>
</sst>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\Downloads\202604\teams.xlsx" TargetMode="External"/><Relationship Id="rId1" Type="http://schemas.openxmlformats.org/officeDocument/2006/relationships/externalLinkPath" Target="team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\Downloads\202604\main_metadata.xlsx" TargetMode="External"/><Relationship Id="rId1" Type="http://schemas.openxmlformats.org/officeDocument/2006/relationships/externalLinkPath" Target="main_meta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\Downloads\202604\players.xlsx" TargetMode="External"/><Relationship Id="rId1" Type="http://schemas.openxmlformats.org/officeDocument/2006/relationships/externalLinkPath" Target="play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_metadata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yer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ECDB2-8B69-4120-BAC6-6900DE2ABF56}" name="team_summary" displayName="team_summary" ref="A1:E261" totalsRowShown="0">
  <autoFilter ref="A1:E261" xr:uid="{83AECDB2-8B69-4120-BAC6-6900DE2ABF56}"/>
  <tableColumns count="5">
    <tableColumn id="1" xr3:uid="{C85997FD-7A61-4036-A886-433C4F2C76F6}" name="team_name"/>
    <tableColumn id="2" xr3:uid="{C740F6C8-31E1-4F91-904B-46C2FE0ADF9B}" name="times_played">
      <calculatedColumnFormula>COUNTIF([1]!teams[radiant.name], A2)
+
COUNTIF([1]!teams[dire.name],A2)</calculatedColumnFormula>
    </tableColumn>
    <tableColumn id="3" xr3:uid="{938C0F8F-6D99-45A0-A513-1052BF3E5E29}" name="times_won">
      <calculatedColumnFormula>COUNTIFS([1]!teams[radiant.name],A2,[2]!main_metadata[radiant_win],TRUE)</calculatedColumnFormula>
    </tableColumn>
    <tableColumn id="4" xr3:uid="{0EDEA0B7-ED1F-41F2-8AAF-75370FFA6D11}" name="win_rate" dataDxfId="0" dataCellStyle="Percent">
      <calculatedColumnFormula>C2/B2</calculatedColumnFormula>
    </tableColumn>
    <tableColumn id="5" xr3:uid="{7BCCF0AE-1FE5-4231-81BC-3A7CA3AFF747}" name="qualify">
      <calculatedColumnFormula>IF(B2&gt;=10, "Yes", 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virtus.p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1"/>
  <sheetViews>
    <sheetView workbookViewId="0">
      <selection activeCell="B2" sqref="B2"/>
    </sheetView>
  </sheetViews>
  <sheetFormatPr defaultRowHeight="14.4" x14ac:dyDescent="0.3"/>
  <cols>
    <col min="1" max="1" width="44.21875" bestFit="1" customWidth="1"/>
    <col min="2" max="2" width="14.109375" customWidth="1"/>
    <col min="3" max="3" width="12.109375" customWidth="1"/>
    <col min="4" max="4" width="10.21875" customWidth="1"/>
  </cols>
  <sheetData>
    <row r="1" spans="1:5" x14ac:dyDescent="0.3">
      <c r="A1" t="s">
        <v>0</v>
      </c>
      <c r="B1" t="s">
        <v>260</v>
      </c>
      <c r="C1" t="s">
        <v>261</v>
      </c>
      <c r="D1" t="s">
        <v>262</v>
      </c>
      <c r="E1" t="s">
        <v>263</v>
      </c>
    </row>
    <row r="2" spans="1:5" x14ac:dyDescent="0.3">
      <c r="A2" t="s">
        <v>56</v>
      </c>
      <c r="B2">
        <f>COUNTIF([1]!teams[radiant.name], A2)
+
COUNTIF([1]!teams[dire.name],A2)</f>
        <v>62</v>
      </c>
      <c r="C2">
        <f>COUNTIFS([1]!teams[radiant.name],A2,[2]!main_metadata[radiant_win],TRUE)</f>
        <v>19</v>
      </c>
      <c r="D2" s="1">
        <f>C2/B2</f>
        <v>0.30645161290322581</v>
      </c>
      <c r="E2" t="str">
        <f>IF(B2&gt;=10, "Yes", "No")</f>
        <v>Yes</v>
      </c>
    </row>
    <row r="3" spans="1:5" x14ac:dyDescent="0.3">
      <c r="A3" t="s">
        <v>154</v>
      </c>
      <c r="B3">
        <f>COUNTIF([1]!teams[radiant.name], A3)
+
COUNTIF([1]!teams[dire.name],A3)</f>
        <v>60</v>
      </c>
      <c r="C3">
        <f>COUNTIFS([1]!teams[radiant.name],A3,[2]!main_metadata[radiant_win],TRUE)</f>
        <v>16</v>
      </c>
      <c r="D3" s="1">
        <f t="shared" ref="D3:D66" si="0">C3/B3</f>
        <v>0.26666666666666666</v>
      </c>
      <c r="E3" t="str">
        <f t="shared" ref="E3:E66" si="1">IF(B3&gt;=10, "Yes", "No")</f>
        <v>Yes</v>
      </c>
    </row>
    <row r="4" spans="1:5" x14ac:dyDescent="0.3">
      <c r="A4" t="s">
        <v>237</v>
      </c>
      <c r="B4">
        <f>COUNTIF([1]!teams[radiant.name], A4)
+
COUNTIF([1]!teams[dire.name],A4)</f>
        <v>64</v>
      </c>
      <c r="C4">
        <f>COUNTIFS([1]!teams[radiant.name],A4,[2]!main_metadata[radiant_win],TRUE)</f>
        <v>10</v>
      </c>
      <c r="D4" s="1">
        <f t="shared" si="0"/>
        <v>0.15625</v>
      </c>
      <c r="E4" t="str">
        <f t="shared" si="1"/>
        <v>Yes</v>
      </c>
    </row>
    <row r="5" spans="1:5" x14ac:dyDescent="0.3">
      <c r="A5" t="s">
        <v>234</v>
      </c>
      <c r="B5">
        <f>COUNTIF([1]!teams[radiant.name], A5)
+
COUNTIF([1]!teams[dire.name],A5)</f>
        <v>69</v>
      </c>
      <c r="C5">
        <f>COUNTIFS([1]!teams[radiant.name],A5,[2]!main_metadata[radiant_win],TRUE)</f>
        <v>18</v>
      </c>
      <c r="D5" s="1">
        <f t="shared" si="0"/>
        <v>0.2608695652173913</v>
      </c>
      <c r="E5" t="str">
        <f t="shared" si="1"/>
        <v>Yes</v>
      </c>
    </row>
    <row r="6" spans="1:5" x14ac:dyDescent="0.3">
      <c r="A6" t="s">
        <v>81</v>
      </c>
      <c r="B6">
        <f>COUNTIF([1]!teams[radiant.name], A6)
+
COUNTIF([1]!teams[dire.name],A6)</f>
        <v>122</v>
      </c>
      <c r="C6">
        <f>COUNTIFS([1]!teams[radiant.name],A6,[2]!main_metadata[radiant_win],TRUE)</f>
        <v>27</v>
      </c>
      <c r="D6" s="1">
        <f t="shared" si="0"/>
        <v>0.22131147540983606</v>
      </c>
      <c r="E6" t="str">
        <f t="shared" si="1"/>
        <v>Yes</v>
      </c>
    </row>
    <row r="7" spans="1:5" x14ac:dyDescent="0.3">
      <c r="A7" t="s">
        <v>55</v>
      </c>
      <c r="B7">
        <f>COUNTIF([1]!teams[radiant.name], A7)
+
COUNTIF([1]!teams[dire.name],A7)</f>
        <v>111</v>
      </c>
      <c r="C7">
        <f>COUNTIFS([1]!teams[radiant.name],A7,[2]!main_metadata[radiant_win],TRUE)</f>
        <v>33</v>
      </c>
      <c r="D7" s="1">
        <f t="shared" si="0"/>
        <v>0.29729729729729731</v>
      </c>
      <c r="E7" t="str">
        <f t="shared" si="1"/>
        <v>Yes</v>
      </c>
    </row>
    <row r="8" spans="1:5" x14ac:dyDescent="0.3">
      <c r="A8" t="s">
        <v>84</v>
      </c>
      <c r="B8">
        <f>COUNTIF([1]!teams[radiant.name], A8)
+
COUNTIF([1]!teams[dire.name],A8)</f>
        <v>113</v>
      </c>
      <c r="C8">
        <f>COUNTIFS([1]!teams[radiant.name],A8,[2]!main_metadata[radiant_win],TRUE)</f>
        <v>24</v>
      </c>
      <c r="D8" s="1">
        <f t="shared" si="0"/>
        <v>0.21238938053097345</v>
      </c>
      <c r="E8" t="str">
        <f t="shared" si="1"/>
        <v>Yes</v>
      </c>
    </row>
    <row r="9" spans="1:5" x14ac:dyDescent="0.3">
      <c r="A9" t="s">
        <v>152</v>
      </c>
      <c r="B9">
        <f>COUNTIF([1]!teams[radiant.name], A9)
+
COUNTIF([1]!teams[dire.name],A9)</f>
        <v>114</v>
      </c>
      <c r="C9">
        <f>COUNTIFS([1]!teams[radiant.name],A9,[2]!main_metadata[radiant_win],TRUE)</f>
        <v>28</v>
      </c>
      <c r="D9" s="1">
        <f t="shared" si="0"/>
        <v>0.24561403508771928</v>
      </c>
      <c r="E9" t="str">
        <f t="shared" si="1"/>
        <v>Yes</v>
      </c>
    </row>
    <row r="10" spans="1:5" x14ac:dyDescent="0.3">
      <c r="A10" t="s">
        <v>68</v>
      </c>
      <c r="B10">
        <f>COUNTIF([1]!teams[radiant.name], A10)
+
COUNTIF([1]!teams[dire.name],A10)</f>
        <v>105</v>
      </c>
      <c r="C10">
        <f>COUNTIFS([1]!teams[radiant.name],A10,[2]!main_metadata[radiant_win],TRUE)</f>
        <v>26</v>
      </c>
      <c r="D10" s="1">
        <f t="shared" si="0"/>
        <v>0.24761904761904763</v>
      </c>
      <c r="E10" t="str">
        <f t="shared" si="1"/>
        <v>Yes</v>
      </c>
    </row>
    <row r="11" spans="1:5" x14ac:dyDescent="0.3">
      <c r="A11" t="s">
        <v>133</v>
      </c>
      <c r="B11">
        <f>COUNTIF([1]!teams[radiant.name], A11)
+
COUNTIF([1]!teams[dire.name],A11)</f>
        <v>107</v>
      </c>
      <c r="C11">
        <f>COUNTIFS([1]!teams[radiant.name],A11,[2]!main_metadata[radiant_win],TRUE)</f>
        <v>29</v>
      </c>
      <c r="D11" s="1">
        <f t="shared" si="0"/>
        <v>0.27102803738317754</v>
      </c>
      <c r="E11" t="str">
        <f t="shared" si="1"/>
        <v>Yes</v>
      </c>
    </row>
    <row r="12" spans="1:5" x14ac:dyDescent="0.3">
      <c r="A12" t="s">
        <v>223</v>
      </c>
      <c r="B12">
        <f>COUNTIF([1]!teams[radiant.name], A12)
+
COUNTIF([1]!teams[dire.name],A12)</f>
        <v>113</v>
      </c>
      <c r="C12">
        <f>COUNTIFS([1]!teams[radiant.name],A12,[2]!main_metadata[radiant_win],TRUE)</f>
        <v>35</v>
      </c>
      <c r="D12" s="1">
        <f t="shared" si="0"/>
        <v>0.30973451327433627</v>
      </c>
      <c r="E12" t="str">
        <f t="shared" si="1"/>
        <v>Yes</v>
      </c>
    </row>
    <row r="13" spans="1:5" x14ac:dyDescent="0.3">
      <c r="A13" t="s">
        <v>159</v>
      </c>
      <c r="B13">
        <f>COUNTIF([1]!teams[radiant.name], A13)
+
COUNTIF([1]!teams[dire.name],A13)</f>
        <v>103</v>
      </c>
      <c r="C13">
        <f>COUNTIFS([1]!teams[radiant.name],A13,[2]!main_metadata[radiant_win],TRUE)</f>
        <v>25</v>
      </c>
      <c r="D13" s="1">
        <f t="shared" si="0"/>
        <v>0.24271844660194175</v>
      </c>
      <c r="E13" t="str">
        <f t="shared" si="1"/>
        <v>Yes</v>
      </c>
    </row>
    <row r="14" spans="1:5" x14ac:dyDescent="0.3">
      <c r="A14" t="s">
        <v>183</v>
      </c>
      <c r="B14">
        <f>COUNTIF([1]!teams[radiant.name], A14)
+
COUNTIF([1]!teams[dire.name],A14)</f>
        <v>117</v>
      </c>
      <c r="C14">
        <f>COUNTIFS([1]!teams[radiant.name],A14,[2]!main_metadata[radiant_win],TRUE)</f>
        <v>28</v>
      </c>
      <c r="D14" s="1">
        <f t="shared" si="0"/>
        <v>0.23931623931623933</v>
      </c>
      <c r="E14" t="str">
        <f t="shared" si="1"/>
        <v>Yes</v>
      </c>
    </row>
    <row r="15" spans="1:5" x14ac:dyDescent="0.3">
      <c r="A15" t="s">
        <v>135</v>
      </c>
      <c r="B15">
        <f>COUNTIF([1]!teams[radiant.name], A15)
+
COUNTIF([1]!teams[dire.name],A15)</f>
        <v>125</v>
      </c>
      <c r="C15">
        <f>COUNTIFS([1]!teams[radiant.name],A15,[2]!main_metadata[radiant_win],TRUE)</f>
        <v>40</v>
      </c>
      <c r="D15" s="1">
        <f t="shared" si="0"/>
        <v>0.32</v>
      </c>
      <c r="E15" t="str">
        <f t="shared" si="1"/>
        <v>Yes</v>
      </c>
    </row>
    <row r="16" spans="1:5" x14ac:dyDescent="0.3">
      <c r="A16" t="s">
        <v>247</v>
      </c>
      <c r="B16">
        <f>COUNTIF([1]!teams[radiant.name], A16)
+
COUNTIF([1]!teams[dire.name],A16)</f>
        <v>111</v>
      </c>
      <c r="C16">
        <f>COUNTIFS([1]!teams[radiant.name],A16,[2]!main_metadata[radiant_win],TRUE)</f>
        <v>23</v>
      </c>
      <c r="D16" s="1">
        <f t="shared" si="0"/>
        <v>0.2072072072072072</v>
      </c>
      <c r="E16" t="str">
        <f t="shared" si="1"/>
        <v>Yes</v>
      </c>
    </row>
    <row r="17" spans="1:5" x14ac:dyDescent="0.3">
      <c r="A17" t="s">
        <v>192</v>
      </c>
      <c r="B17">
        <f>COUNTIF([1]!teams[radiant.name], A17)
+
COUNTIF([1]!teams[dire.name],A17)</f>
        <v>94</v>
      </c>
      <c r="C17">
        <f>COUNTIFS([1]!teams[radiant.name],A17,[2]!main_metadata[radiant_win],TRUE)</f>
        <v>22</v>
      </c>
      <c r="D17" s="1">
        <f t="shared" si="0"/>
        <v>0.23404255319148937</v>
      </c>
      <c r="E17" t="str">
        <f t="shared" si="1"/>
        <v>Yes</v>
      </c>
    </row>
    <row r="18" spans="1:5" x14ac:dyDescent="0.3">
      <c r="A18" t="s">
        <v>134</v>
      </c>
      <c r="B18">
        <f>COUNTIF([1]!teams[radiant.name], A18)
+
COUNTIF([1]!teams[dire.name],A18)</f>
        <v>117</v>
      </c>
      <c r="C18">
        <f>COUNTIFS([1]!teams[radiant.name],A18,[2]!main_metadata[radiant_win],TRUE)</f>
        <v>36</v>
      </c>
      <c r="D18" s="1">
        <f t="shared" si="0"/>
        <v>0.30769230769230771</v>
      </c>
      <c r="E18" t="str">
        <f t="shared" si="1"/>
        <v>Yes</v>
      </c>
    </row>
    <row r="19" spans="1:5" x14ac:dyDescent="0.3">
      <c r="A19" t="s">
        <v>11</v>
      </c>
      <c r="B19">
        <f>COUNTIF([1]!teams[radiant.name], A19)
+
COUNTIF([1]!teams[dire.name],A19)</f>
        <v>46</v>
      </c>
      <c r="C19">
        <f>COUNTIFS([1]!teams[radiant.name],A19,[2]!main_metadata[radiant_win],TRUE)</f>
        <v>11</v>
      </c>
      <c r="D19" s="1">
        <f t="shared" si="0"/>
        <v>0.2391304347826087</v>
      </c>
      <c r="E19" t="str">
        <f t="shared" si="1"/>
        <v>Yes</v>
      </c>
    </row>
    <row r="20" spans="1:5" x14ac:dyDescent="0.3">
      <c r="A20" t="s">
        <v>76</v>
      </c>
      <c r="B20">
        <f>COUNTIF([1]!teams[radiant.name], A20)
+
COUNTIF([1]!teams[dire.name],A20)</f>
        <v>131</v>
      </c>
      <c r="C20">
        <f>COUNTIFS([1]!teams[radiant.name],A20,[2]!main_metadata[radiant_win],TRUE)</f>
        <v>32</v>
      </c>
      <c r="D20" s="1">
        <f t="shared" si="0"/>
        <v>0.24427480916030533</v>
      </c>
      <c r="E20" t="str">
        <f t="shared" si="1"/>
        <v>Yes</v>
      </c>
    </row>
    <row r="21" spans="1:5" x14ac:dyDescent="0.3">
      <c r="A21" t="s">
        <v>177</v>
      </c>
      <c r="B21">
        <f>COUNTIF([1]!teams[radiant.name], A21)
+
COUNTIF([1]!teams[dire.name],A21)</f>
        <v>21</v>
      </c>
      <c r="C21">
        <f>COUNTIFS([1]!teams[radiant.name],A21,[2]!main_metadata[radiant_win],TRUE)</f>
        <v>5</v>
      </c>
      <c r="D21" s="1">
        <f t="shared" si="0"/>
        <v>0.23809523809523808</v>
      </c>
      <c r="E21" t="str">
        <f t="shared" si="1"/>
        <v>Yes</v>
      </c>
    </row>
    <row r="22" spans="1:5" x14ac:dyDescent="0.3">
      <c r="A22" t="s">
        <v>256</v>
      </c>
      <c r="B22">
        <f>COUNTIF([1]!teams[radiant.name], A22)
+
COUNTIF([1]!teams[dire.name],A22)</f>
        <v>29</v>
      </c>
      <c r="C22">
        <f>COUNTIFS([1]!teams[radiant.name],A22,[2]!main_metadata[radiant_win],TRUE)</f>
        <v>11</v>
      </c>
      <c r="D22" s="1">
        <f t="shared" si="0"/>
        <v>0.37931034482758619</v>
      </c>
      <c r="E22" t="str">
        <f t="shared" si="1"/>
        <v>Yes</v>
      </c>
    </row>
    <row r="23" spans="1:5" x14ac:dyDescent="0.3">
      <c r="A23" t="s">
        <v>4</v>
      </c>
      <c r="B23">
        <f>COUNTIF([1]!teams[radiant.name], A23)
+
COUNTIF([1]!teams[dire.name],A23)</f>
        <v>50</v>
      </c>
      <c r="C23">
        <f>COUNTIFS([1]!teams[radiant.name],A23,[2]!main_metadata[radiant_win],TRUE)</f>
        <v>15</v>
      </c>
      <c r="D23" s="1">
        <f t="shared" si="0"/>
        <v>0.3</v>
      </c>
      <c r="E23" t="str">
        <f t="shared" si="1"/>
        <v>Yes</v>
      </c>
    </row>
    <row r="24" spans="1:5" x14ac:dyDescent="0.3">
      <c r="A24" t="s">
        <v>244</v>
      </c>
      <c r="B24">
        <f>COUNTIF([1]!teams[radiant.name], A24)
+
COUNTIF([1]!teams[dire.name],A24)</f>
        <v>3</v>
      </c>
      <c r="C24">
        <f>COUNTIFS([1]!teams[radiant.name],A24,[2]!main_metadata[radiant_win],TRUE)</f>
        <v>1</v>
      </c>
      <c r="D24" s="1">
        <f t="shared" si="0"/>
        <v>0.33333333333333331</v>
      </c>
      <c r="E24" t="str">
        <f t="shared" si="1"/>
        <v>No</v>
      </c>
    </row>
    <row r="25" spans="1:5" x14ac:dyDescent="0.3">
      <c r="A25" t="s">
        <v>42</v>
      </c>
      <c r="B25">
        <f>COUNTIF([1]!teams[radiant.name], A25)
+
COUNTIF([1]!teams[dire.name],A25)</f>
        <v>71</v>
      </c>
      <c r="C25">
        <f>COUNTIFS([1]!teams[radiant.name],A25,[2]!main_metadata[radiant_win],TRUE)</f>
        <v>22</v>
      </c>
      <c r="D25" s="1">
        <f t="shared" si="0"/>
        <v>0.30985915492957744</v>
      </c>
      <c r="E25" t="str">
        <f t="shared" si="1"/>
        <v>Yes</v>
      </c>
    </row>
    <row r="26" spans="1:5" x14ac:dyDescent="0.3">
      <c r="A26" t="s">
        <v>182</v>
      </c>
      <c r="B26">
        <f>COUNTIF([1]!teams[radiant.name], A26)
+
COUNTIF([1]!teams[dire.name],A26)</f>
        <v>21</v>
      </c>
      <c r="C26">
        <f>COUNTIFS([1]!teams[radiant.name],A26,[2]!main_metadata[radiant_win],TRUE)</f>
        <v>12</v>
      </c>
      <c r="D26" s="1">
        <f t="shared" si="0"/>
        <v>0.5714285714285714</v>
      </c>
      <c r="E26" t="str">
        <f t="shared" si="1"/>
        <v>Yes</v>
      </c>
    </row>
    <row r="27" spans="1:5" x14ac:dyDescent="0.3">
      <c r="A27" t="s">
        <v>79</v>
      </c>
      <c r="B27">
        <f>COUNTIF([1]!teams[radiant.name], A27)
+
COUNTIF([1]!teams[dire.name],A27)</f>
        <v>65</v>
      </c>
      <c r="C27">
        <f>COUNTIFS([1]!teams[radiant.name],A27,[2]!main_metadata[radiant_win],TRUE)</f>
        <v>19</v>
      </c>
      <c r="D27" s="1">
        <f t="shared" si="0"/>
        <v>0.29230769230769232</v>
      </c>
      <c r="E27" t="str">
        <f t="shared" si="1"/>
        <v>Yes</v>
      </c>
    </row>
    <row r="28" spans="1:5" x14ac:dyDescent="0.3">
      <c r="A28" t="s">
        <v>39</v>
      </c>
      <c r="B28">
        <f>COUNTIF([1]!teams[radiant.name], A28)
+
COUNTIF([1]!teams[dire.name],A28)</f>
        <v>24</v>
      </c>
      <c r="C28">
        <f>COUNTIFS([1]!teams[radiant.name],A28,[2]!main_metadata[radiant_win],TRUE)</f>
        <v>4</v>
      </c>
      <c r="D28" s="1">
        <f t="shared" si="0"/>
        <v>0.16666666666666666</v>
      </c>
      <c r="E28" t="str">
        <f t="shared" si="1"/>
        <v>Yes</v>
      </c>
    </row>
    <row r="29" spans="1:5" x14ac:dyDescent="0.3">
      <c r="A29" t="s">
        <v>228</v>
      </c>
      <c r="B29">
        <f>COUNTIF([1]!teams[radiant.name], A29)
+
COUNTIF([1]!teams[dire.name],A29)</f>
        <v>49</v>
      </c>
      <c r="C29">
        <f>COUNTIFS([1]!teams[radiant.name],A29,[2]!main_metadata[radiant_win],TRUE)</f>
        <v>13</v>
      </c>
      <c r="D29" s="1">
        <f t="shared" si="0"/>
        <v>0.26530612244897961</v>
      </c>
      <c r="E29" t="str">
        <f t="shared" si="1"/>
        <v>Yes</v>
      </c>
    </row>
    <row r="30" spans="1:5" x14ac:dyDescent="0.3">
      <c r="A30" t="s">
        <v>112</v>
      </c>
      <c r="B30">
        <f>COUNTIF([1]!teams[radiant.name], A30)
+
COUNTIF([1]!teams[dire.name],A30)</f>
        <v>54</v>
      </c>
      <c r="C30">
        <f>COUNTIFS([1]!teams[radiant.name],A30,[2]!main_metadata[radiant_win],TRUE)</f>
        <v>9</v>
      </c>
      <c r="D30" s="1">
        <f t="shared" si="0"/>
        <v>0.16666666666666666</v>
      </c>
      <c r="E30" t="str">
        <f t="shared" si="1"/>
        <v>Yes</v>
      </c>
    </row>
    <row r="31" spans="1:5" x14ac:dyDescent="0.3">
      <c r="A31" t="s">
        <v>184</v>
      </c>
      <c r="B31">
        <f>COUNTIF([1]!teams[radiant.name], A31)
+
COUNTIF([1]!teams[dire.name],A31)</f>
        <v>39</v>
      </c>
      <c r="C31">
        <f>COUNTIFS([1]!teams[radiant.name],A31,[2]!main_metadata[radiant_win],TRUE)</f>
        <v>10</v>
      </c>
      <c r="D31" s="1">
        <f t="shared" si="0"/>
        <v>0.25641025641025639</v>
      </c>
      <c r="E31" t="str">
        <f t="shared" si="1"/>
        <v>Yes</v>
      </c>
    </row>
    <row r="32" spans="1:5" x14ac:dyDescent="0.3">
      <c r="A32" t="s">
        <v>75</v>
      </c>
      <c r="B32">
        <f>COUNTIF([1]!teams[radiant.name], A32)
+
COUNTIF([1]!teams[dire.name],A32)</f>
        <v>9</v>
      </c>
      <c r="C32">
        <f>COUNTIFS([1]!teams[radiant.name],A32,[2]!main_metadata[radiant_win],TRUE)</f>
        <v>2</v>
      </c>
      <c r="D32" s="1">
        <f t="shared" si="0"/>
        <v>0.22222222222222221</v>
      </c>
      <c r="E32" t="str">
        <f t="shared" si="1"/>
        <v>No</v>
      </c>
    </row>
    <row r="33" spans="1:5" x14ac:dyDescent="0.3">
      <c r="A33" t="s">
        <v>140</v>
      </c>
      <c r="B33">
        <f>COUNTIF([1]!teams[radiant.name], A33)
+
COUNTIF([1]!teams[dire.name],A33)</f>
        <v>21</v>
      </c>
      <c r="C33">
        <f>COUNTIFS([1]!teams[radiant.name],A33,[2]!main_metadata[radiant_win],TRUE)</f>
        <v>5</v>
      </c>
      <c r="D33" s="1">
        <f t="shared" si="0"/>
        <v>0.23809523809523808</v>
      </c>
      <c r="E33" t="str">
        <f t="shared" si="1"/>
        <v>Yes</v>
      </c>
    </row>
    <row r="34" spans="1:5" x14ac:dyDescent="0.3">
      <c r="A34" t="s">
        <v>212</v>
      </c>
      <c r="B34">
        <f>COUNTIF([1]!teams[radiant.name], A34)
+
COUNTIF([1]!teams[dire.name],A34)</f>
        <v>17</v>
      </c>
      <c r="C34">
        <f>COUNTIFS([1]!teams[radiant.name],A34,[2]!main_metadata[radiant_win],TRUE)</f>
        <v>7</v>
      </c>
      <c r="D34" s="1">
        <f t="shared" si="0"/>
        <v>0.41176470588235292</v>
      </c>
      <c r="E34" t="str">
        <f t="shared" si="1"/>
        <v>Yes</v>
      </c>
    </row>
    <row r="35" spans="1:5" x14ac:dyDescent="0.3">
      <c r="A35" t="s">
        <v>251</v>
      </c>
      <c r="B35">
        <f>COUNTIF([1]!teams[radiant.name], A35)
+
COUNTIF([1]!teams[dire.name],A35)</f>
        <v>18</v>
      </c>
      <c r="C35">
        <f>COUNTIFS([1]!teams[radiant.name],A35,[2]!main_metadata[radiant_win],TRUE)</f>
        <v>9</v>
      </c>
      <c r="D35" s="1">
        <f t="shared" si="0"/>
        <v>0.5</v>
      </c>
      <c r="E35" t="str">
        <f t="shared" si="1"/>
        <v>Yes</v>
      </c>
    </row>
    <row r="36" spans="1:5" x14ac:dyDescent="0.3">
      <c r="A36" t="s">
        <v>210</v>
      </c>
      <c r="B36">
        <f>COUNTIF([1]!teams[radiant.name], A36)
+
COUNTIF([1]!teams[dire.name],A36)</f>
        <v>59</v>
      </c>
      <c r="C36">
        <f>COUNTIFS([1]!teams[radiant.name],A36,[2]!main_metadata[radiant_win],TRUE)</f>
        <v>20</v>
      </c>
      <c r="D36" s="1">
        <f t="shared" si="0"/>
        <v>0.33898305084745761</v>
      </c>
      <c r="E36" t="str">
        <f t="shared" si="1"/>
        <v>Yes</v>
      </c>
    </row>
    <row r="37" spans="1:5" x14ac:dyDescent="0.3">
      <c r="A37" t="s">
        <v>19</v>
      </c>
      <c r="B37">
        <f>COUNTIF([1]!teams[radiant.name], A37)
+
COUNTIF([1]!teams[dire.name],A37)</f>
        <v>17</v>
      </c>
      <c r="C37">
        <f>COUNTIFS([1]!teams[radiant.name],A37,[2]!main_metadata[radiant_win],TRUE)</f>
        <v>3</v>
      </c>
      <c r="D37" s="1">
        <f t="shared" si="0"/>
        <v>0.17647058823529413</v>
      </c>
      <c r="E37" t="str">
        <f t="shared" si="1"/>
        <v>Yes</v>
      </c>
    </row>
    <row r="38" spans="1:5" x14ac:dyDescent="0.3">
      <c r="A38" t="s">
        <v>122</v>
      </c>
      <c r="B38">
        <f>COUNTIF([1]!teams[radiant.name], A38)
+
COUNTIF([1]!teams[dire.name],A38)</f>
        <v>3</v>
      </c>
      <c r="C38">
        <f>COUNTIFS([1]!teams[radiant.name],A38,[2]!main_metadata[radiant_win],TRUE)</f>
        <v>1</v>
      </c>
      <c r="D38" s="1">
        <f t="shared" si="0"/>
        <v>0.33333333333333331</v>
      </c>
      <c r="E38" t="str">
        <f t="shared" si="1"/>
        <v>No</v>
      </c>
    </row>
    <row r="39" spans="1:5" x14ac:dyDescent="0.3">
      <c r="A39" t="s">
        <v>151</v>
      </c>
      <c r="B39">
        <f>COUNTIF([1]!teams[radiant.name], A39)
+
COUNTIF([1]!teams[dire.name],A39)</f>
        <v>5</v>
      </c>
      <c r="C39">
        <f>COUNTIFS([1]!teams[radiant.name],A39,[2]!main_metadata[radiant_win],TRUE)</f>
        <v>0</v>
      </c>
      <c r="D39" s="1">
        <f t="shared" si="0"/>
        <v>0</v>
      </c>
      <c r="E39" t="str">
        <f t="shared" si="1"/>
        <v>No</v>
      </c>
    </row>
    <row r="40" spans="1:5" x14ac:dyDescent="0.3">
      <c r="A40" t="s">
        <v>94</v>
      </c>
      <c r="B40">
        <f>COUNTIF([1]!teams[radiant.name], A40)
+
COUNTIF([1]!teams[dire.name],A40)</f>
        <v>23</v>
      </c>
      <c r="C40">
        <f>COUNTIFS([1]!teams[radiant.name],A40,[2]!main_metadata[radiant_win],TRUE)</f>
        <v>10</v>
      </c>
      <c r="D40" s="1">
        <f t="shared" si="0"/>
        <v>0.43478260869565216</v>
      </c>
      <c r="E40" t="str">
        <f t="shared" si="1"/>
        <v>Yes</v>
      </c>
    </row>
    <row r="41" spans="1:5" x14ac:dyDescent="0.3">
      <c r="A41" t="s">
        <v>253</v>
      </c>
      <c r="B41">
        <f>COUNTIF([1]!teams[radiant.name], A41)
+
COUNTIF([1]!teams[dire.name],A41)</f>
        <v>14</v>
      </c>
      <c r="C41">
        <f>COUNTIFS([1]!teams[radiant.name],A41,[2]!main_metadata[radiant_win],TRUE)</f>
        <v>4</v>
      </c>
      <c r="D41" s="1">
        <f t="shared" si="0"/>
        <v>0.2857142857142857</v>
      </c>
      <c r="E41" t="str">
        <f t="shared" si="1"/>
        <v>Yes</v>
      </c>
    </row>
    <row r="42" spans="1:5" x14ac:dyDescent="0.3">
      <c r="A42" t="s">
        <v>147</v>
      </c>
      <c r="B42">
        <f>COUNTIF([1]!teams[radiant.name], A42)
+
COUNTIF([1]!teams[dire.name],A42)</f>
        <v>60</v>
      </c>
      <c r="C42">
        <f>COUNTIFS([1]!teams[radiant.name],A42,[2]!main_metadata[radiant_win],TRUE)</f>
        <v>19</v>
      </c>
      <c r="D42" s="1">
        <f t="shared" si="0"/>
        <v>0.31666666666666665</v>
      </c>
      <c r="E42" t="str">
        <f t="shared" si="1"/>
        <v>Yes</v>
      </c>
    </row>
    <row r="43" spans="1:5" x14ac:dyDescent="0.3">
      <c r="A43" t="s">
        <v>92</v>
      </c>
      <c r="B43">
        <f>COUNTIF([1]!teams[radiant.name], A43)
+
COUNTIF([1]!teams[dire.name],A43)</f>
        <v>79</v>
      </c>
      <c r="C43">
        <f>COUNTIFS([1]!teams[radiant.name],A43,[2]!main_metadata[radiant_win],TRUE)</f>
        <v>13</v>
      </c>
      <c r="D43" s="1">
        <f t="shared" si="0"/>
        <v>0.16455696202531644</v>
      </c>
      <c r="E43" t="str">
        <f t="shared" si="1"/>
        <v>Yes</v>
      </c>
    </row>
    <row r="44" spans="1:5" x14ac:dyDescent="0.3">
      <c r="A44" t="s">
        <v>107</v>
      </c>
      <c r="B44">
        <f>COUNTIF([1]!teams[radiant.name], A44)
+
COUNTIF([1]!teams[dire.name],A44)</f>
        <v>24</v>
      </c>
      <c r="C44">
        <f>COUNTIFS([1]!teams[radiant.name],A44,[2]!main_metadata[radiant_win],TRUE)</f>
        <v>6</v>
      </c>
      <c r="D44" s="1">
        <f t="shared" si="0"/>
        <v>0.25</v>
      </c>
      <c r="E44" t="str">
        <f t="shared" si="1"/>
        <v>Yes</v>
      </c>
    </row>
    <row r="45" spans="1:5" x14ac:dyDescent="0.3">
      <c r="A45" t="s">
        <v>28</v>
      </c>
      <c r="B45">
        <f>COUNTIF([1]!teams[radiant.name], A45)
+
COUNTIF([1]!teams[dire.name],A45)</f>
        <v>71</v>
      </c>
      <c r="C45">
        <f>COUNTIFS([1]!teams[radiant.name],A45,[2]!main_metadata[radiant_win],TRUE)</f>
        <v>27</v>
      </c>
      <c r="D45" s="1">
        <f t="shared" si="0"/>
        <v>0.38028169014084506</v>
      </c>
      <c r="E45" t="str">
        <f t="shared" si="1"/>
        <v>Yes</v>
      </c>
    </row>
    <row r="46" spans="1:5" x14ac:dyDescent="0.3">
      <c r="A46" t="s">
        <v>168</v>
      </c>
      <c r="B46">
        <f>COUNTIF([1]!teams[radiant.name], A46)
+
COUNTIF([1]!teams[dire.name],A46)</f>
        <v>31</v>
      </c>
      <c r="C46">
        <f>COUNTIFS([1]!teams[radiant.name],A46,[2]!main_metadata[radiant_win],TRUE)</f>
        <v>18</v>
      </c>
      <c r="D46" s="1">
        <f t="shared" si="0"/>
        <v>0.58064516129032262</v>
      </c>
      <c r="E46" t="str">
        <f t="shared" si="1"/>
        <v>Yes</v>
      </c>
    </row>
    <row r="47" spans="1:5" x14ac:dyDescent="0.3">
      <c r="A47" t="s">
        <v>236</v>
      </c>
      <c r="B47">
        <f>COUNTIF([1]!teams[radiant.name], A47)
+
COUNTIF([1]!teams[dire.name],A47)</f>
        <v>27</v>
      </c>
      <c r="C47">
        <f>COUNTIFS([1]!teams[radiant.name],A47,[2]!main_metadata[radiant_win],TRUE)</f>
        <v>3</v>
      </c>
      <c r="D47" s="1">
        <f t="shared" si="0"/>
        <v>0.1111111111111111</v>
      </c>
      <c r="E47" t="str">
        <f t="shared" si="1"/>
        <v>Yes</v>
      </c>
    </row>
    <row r="48" spans="1:5" x14ac:dyDescent="0.3">
      <c r="A48" t="s">
        <v>142</v>
      </c>
      <c r="B48">
        <f>COUNTIF([1]!teams[radiant.name], A48)
+
COUNTIF([1]!teams[dire.name],A48)</f>
        <v>48</v>
      </c>
      <c r="C48">
        <f>COUNTIFS([1]!teams[radiant.name],A48,[2]!main_metadata[radiant_win],TRUE)</f>
        <v>19</v>
      </c>
      <c r="D48" s="1">
        <f t="shared" si="0"/>
        <v>0.39583333333333331</v>
      </c>
      <c r="E48" t="str">
        <f t="shared" si="1"/>
        <v>Yes</v>
      </c>
    </row>
    <row r="49" spans="1:5" x14ac:dyDescent="0.3">
      <c r="A49" t="s">
        <v>125</v>
      </c>
      <c r="B49">
        <f>COUNTIF([1]!teams[radiant.name], A49)
+
COUNTIF([1]!teams[dire.name],A49)</f>
        <v>61</v>
      </c>
      <c r="C49">
        <f>COUNTIFS([1]!teams[radiant.name],A49,[2]!main_metadata[radiant_win],TRUE)</f>
        <v>28</v>
      </c>
      <c r="D49" s="1">
        <f t="shared" si="0"/>
        <v>0.45901639344262296</v>
      </c>
      <c r="E49" t="str">
        <f t="shared" si="1"/>
        <v>Yes</v>
      </c>
    </row>
    <row r="50" spans="1:5" x14ac:dyDescent="0.3">
      <c r="A50" t="s">
        <v>85</v>
      </c>
      <c r="B50">
        <f>COUNTIF([1]!teams[radiant.name], A50)
+
COUNTIF([1]!teams[dire.name],A50)</f>
        <v>1</v>
      </c>
      <c r="C50">
        <f>COUNTIFS([1]!teams[radiant.name],A50,[2]!main_metadata[radiant_win],TRUE)</f>
        <v>1</v>
      </c>
      <c r="D50" s="1">
        <f t="shared" si="0"/>
        <v>1</v>
      </c>
      <c r="E50" t="str">
        <f t="shared" si="1"/>
        <v>No</v>
      </c>
    </row>
    <row r="51" spans="1:5" x14ac:dyDescent="0.3">
      <c r="A51" t="s">
        <v>217</v>
      </c>
      <c r="B51">
        <f>COUNTIF([1]!teams[radiant.name], A51)
+
COUNTIF([1]!teams[dire.name],A51)</f>
        <v>17</v>
      </c>
      <c r="C51">
        <f>COUNTIFS([1]!teams[radiant.name],A51,[2]!main_metadata[radiant_win],TRUE)</f>
        <v>5</v>
      </c>
      <c r="D51" s="1">
        <f t="shared" si="0"/>
        <v>0.29411764705882354</v>
      </c>
      <c r="E51" t="str">
        <f t="shared" si="1"/>
        <v>Yes</v>
      </c>
    </row>
    <row r="52" spans="1:5" x14ac:dyDescent="0.3">
      <c r="A52" t="s">
        <v>59</v>
      </c>
      <c r="B52">
        <f>COUNTIF([1]!teams[radiant.name], A52)
+
COUNTIF([1]!teams[dire.name],A52)</f>
        <v>1</v>
      </c>
      <c r="C52">
        <f>COUNTIFS([1]!teams[radiant.name],A52,[2]!main_metadata[radiant_win],TRUE)</f>
        <v>0</v>
      </c>
      <c r="D52" s="1">
        <f t="shared" si="0"/>
        <v>0</v>
      </c>
      <c r="E52" t="str">
        <f t="shared" si="1"/>
        <v>No</v>
      </c>
    </row>
    <row r="53" spans="1:5" x14ac:dyDescent="0.3">
      <c r="A53" t="s">
        <v>12</v>
      </c>
      <c r="B53">
        <f>COUNTIF([1]!teams[radiant.name], A53)
+
COUNTIF([1]!teams[dire.name],A53)</f>
        <v>43</v>
      </c>
      <c r="C53">
        <f>COUNTIFS([1]!teams[radiant.name],A53,[2]!main_metadata[radiant_win],TRUE)</f>
        <v>2</v>
      </c>
      <c r="D53" s="1">
        <f t="shared" si="0"/>
        <v>4.6511627906976744E-2</v>
      </c>
      <c r="E53" t="str">
        <f t="shared" si="1"/>
        <v>Yes</v>
      </c>
    </row>
    <row r="54" spans="1:5" x14ac:dyDescent="0.3">
      <c r="A54" t="s">
        <v>189</v>
      </c>
      <c r="B54">
        <f>COUNTIF([1]!teams[radiant.name], A54)
+
COUNTIF([1]!teams[dire.name],A54)</f>
        <v>24</v>
      </c>
      <c r="C54">
        <f>COUNTIFS([1]!teams[radiant.name],A54,[2]!main_metadata[radiant_win],TRUE)</f>
        <v>1</v>
      </c>
      <c r="D54" s="1">
        <f t="shared" si="0"/>
        <v>4.1666666666666664E-2</v>
      </c>
      <c r="E54" t="str">
        <f t="shared" si="1"/>
        <v>Yes</v>
      </c>
    </row>
    <row r="55" spans="1:5" x14ac:dyDescent="0.3">
      <c r="A55" t="s">
        <v>149</v>
      </c>
      <c r="B55">
        <f>COUNTIF([1]!teams[radiant.name], A55)
+
COUNTIF([1]!teams[dire.name],A55)</f>
        <v>106</v>
      </c>
      <c r="C55">
        <f>COUNTIFS([1]!teams[radiant.name],A55,[2]!main_metadata[radiant_win],TRUE)</f>
        <v>30</v>
      </c>
      <c r="D55" s="1">
        <f t="shared" si="0"/>
        <v>0.28301886792452829</v>
      </c>
      <c r="E55" t="str">
        <f t="shared" si="1"/>
        <v>Yes</v>
      </c>
    </row>
    <row r="56" spans="1:5" x14ac:dyDescent="0.3">
      <c r="A56" t="s">
        <v>72</v>
      </c>
      <c r="B56">
        <f>COUNTIF([1]!teams[radiant.name], A56)
+
COUNTIF([1]!teams[dire.name],A56)</f>
        <v>11</v>
      </c>
      <c r="C56">
        <f>COUNTIFS([1]!teams[radiant.name],A56,[2]!main_metadata[radiant_win],TRUE)</f>
        <v>1</v>
      </c>
      <c r="D56" s="1">
        <f t="shared" si="0"/>
        <v>9.0909090909090912E-2</v>
      </c>
      <c r="E56" t="str">
        <f t="shared" si="1"/>
        <v>Yes</v>
      </c>
    </row>
    <row r="57" spans="1:5" x14ac:dyDescent="0.3">
      <c r="A57" t="s">
        <v>34</v>
      </c>
      <c r="B57">
        <f>COUNTIF([1]!teams[radiant.name], A57)
+
COUNTIF([1]!teams[dire.name],A57)</f>
        <v>32</v>
      </c>
      <c r="C57">
        <f>COUNTIFS([1]!teams[radiant.name],A57,[2]!main_metadata[radiant_win],TRUE)</f>
        <v>11</v>
      </c>
      <c r="D57" s="1">
        <f t="shared" si="0"/>
        <v>0.34375</v>
      </c>
      <c r="E57" t="str">
        <f t="shared" si="1"/>
        <v>Yes</v>
      </c>
    </row>
    <row r="58" spans="1:5" x14ac:dyDescent="0.3">
      <c r="A58" t="s">
        <v>17</v>
      </c>
      <c r="B58">
        <f>COUNTIF([1]!teams[radiant.name], A58)
+
COUNTIF([1]!teams[dire.name],A58)</f>
        <v>28</v>
      </c>
      <c r="C58">
        <f>COUNTIFS([1]!teams[radiant.name],A58,[2]!main_metadata[radiant_win],TRUE)</f>
        <v>5</v>
      </c>
      <c r="D58" s="1">
        <f t="shared" si="0"/>
        <v>0.17857142857142858</v>
      </c>
      <c r="E58" t="str">
        <f t="shared" si="1"/>
        <v>Yes</v>
      </c>
    </row>
    <row r="59" spans="1:5" x14ac:dyDescent="0.3">
      <c r="A59" t="s">
        <v>188</v>
      </c>
      <c r="B59">
        <f>COUNTIF([1]!teams[radiant.name], A59)
+
COUNTIF([1]!teams[dire.name],A59)</f>
        <v>49</v>
      </c>
      <c r="C59">
        <f>COUNTIFS([1]!teams[radiant.name],A59,[2]!main_metadata[radiant_win],TRUE)</f>
        <v>12</v>
      </c>
      <c r="D59" s="1">
        <f t="shared" si="0"/>
        <v>0.24489795918367346</v>
      </c>
      <c r="E59" t="str">
        <f t="shared" si="1"/>
        <v>Yes</v>
      </c>
    </row>
    <row r="60" spans="1:5" x14ac:dyDescent="0.3">
      <c r="A60" t="s">
        <v>47</v>
      </c>
      <c r="B60">
        <f>COUNTIF([1]!teams[radiant.name], A60)
+
COUNTIF([1]!teams[dire.name],A60)</f>
        <v>2</v>
      </c>
      <c r="C60">
        <f>COUNTIFS([1]!teams[radiant.name],A60,[2]!main_metadata[radiant_win],TRUE)</f>
        <v>2</v>
      </c>
      <c r="D60" s="1">
        <f t="shared" si="0"/>
        <v>1</v>
      </c>
      <c r="E60" t="str">
        <f t="shared" si="1"/>
        <v>No</v>
      </c>
    </row>
    <row r="61" spans="1:5" x14ac:dyDescent="0.3">
      <c r="A61" t="s">
        <v>220</v>
      </c>
      <c r="B61">
        <f>COUNTIF([1]!teams[radiant.name], A61)
+
COUNTIF([1]!teams[dire.name],A61)</f>
        <v>1</v>
      </c>
      <c r="C61">
        <f>COUNTIFS([1]!teams[radiant.name],A61,[2]!main_metadata[radiant_win],TRUE)</f>
        <v>1</v>
      </c>
      <c r="D61" s="1">
        <f t="shared" si="0"/>
        <v>1</v>
      </c>
      <c r="E61" t="str">
        <f t="shared" si="1"/>
        <v>No</v>
      </c>
    </row>
    <row r="62" spans="1:5" x14ac:dyDescent="0.3">
      <c r="A62" t="s">
        <v>82</v>
      </c>
      <c r="B62">
        <f>COUNTIF([1]!teams[radiant.name], A62)
+
COUNTIF([1]!teams[dire.name],A62)</f>
        <v>66</v>
      </c>
      <c r="C62">
        <f>COUNTIFS([1]!teams[radiant.name],A62,[2]!main_metadata[radiant_win],TRUE)</f>
        <v>22</v>
      </c>
      <c r="D62" s="1">
        <f t="shared" si="0"/>
        <v>0.33333333333333331</v>
      </c>
      <c r="E62" t="str">
        <f t="shared" si="1"/>
        <v>Yes</v>
      </c>
    </row>
    <row r="63" spans="1:5" x14ac:dyDescent="0.3">
      <c r="A63" t="s">
        <v>155</v>
      </c>
      <c r="B63">
        <f>COUNTIF([1]!teams[radiant.name], A63)
+
COUNTIF([1]!teams[dire.name],A63)</f>
        <v>49</v>
      </c>
      <c r="C63">
        <f>COUNTIFS([1]!teams[radiant.name],A63,[2]!main_metadata[radiant_win],TRUE)</f>
        <v>23</v>
      </c>
      <c r="D63" s="1">
        <f t="shared" si="0"/>
        <v>0.46938775510204084</v>
      </c>
      <c r="E63" t="str">
        <f t="shared" si="1"/>
        <v>Yes</v>
      </c>
    </row>
    <row r="64" spans="1:5" x14ac:dyDescent="0.3">
      <c r="A64" t="s">
        <v>258</v>
      </c>
      <c r="B64">
        <f>COUNTIF([1]!teams[radiant.name], A64)
+
COUNTIF([1]!teams[dire.name],A64)</f>
        <v>37</v>
      </c>
      <c r="C64">
        <f>COUNTIFS([1]!teams[radiant.name],A64,[2]!main_metadata[radiant_win],TRUE)</f>
        <v>12</v>
      </c>
      <c r="D64" s="1">
        <f t="shared" si="0"/>
        <v>0.32432432432432434</v>
      </c>
      <c r="E64" t="str">
        <f t="shared" si="1"/>
        <v>Yes</v>
      </c>
    </row>
    <row r="65" spans="1:5" x14ac:dyDescent="0.3">
      <c r="A65" t="s">
        <v>231</v>
      </c>
      <c r="B65">
        <f>COUNTIF([1]!teams[radiant.name], A65)
+
COUNTIF([1]!teams[dire.name],A65)</f>
        <v>5</v>
      </c>
      <c r="C65">
        <f>COUNTIFS([1]!teams[radiant.name],A65,[2]!main_metadata[radiant_win],TRUE)</f>
        <v>1</v>
      </c>
      <c r="D65" s="1">
        <f t="shared" si="0"/>
        <v>0.2</v>
      </c>
      <c r="E65" t="str">
        <f t="shared" si="1"/>
        <v>No</v>
      </c>
    </row>
    <row r="66" spans="1:5" x14ac:dyDescent="0.3">
      <c r="A66" t="s">
        <v>1</v>
      </c>
      <c r="B66">
        <f>COUNTIF([1]!teams[radiant.name], A66)
+
COUNTIF([1]!teams[dire.name],A66)</f>
        <v>49</v>
      </c>
      <c r="C66">
        <f>COUNTIFS([1]!teams[radiant.name],A66,[2]!main_metadata[radiant_win],TRUE)</f>
        <v>19</v>
      </c>
      <c r="D66" s="1">
        <f t="shared" si="0"/>
        <v>0.38775510204081631</v>
      </c>
      <c r="E66" t="str">
        <f t="shared" si="1"/>
        <v>Yes</v>
      </c>
    </row>
    <row r="67" spans="1:5" x14ac:dyDescent="0.3">
      <c r="A67" t="s">
        <v>52</v>
      </c>
      <c r="B67">
        <f>COUNTIF([1]!teams[radiant.name], A67)
+
COUNTIF([1]!teams[dire.name],A67)</f>
        <v>2</v>
      </c>
      <c r="C67">
        <f>COUNTIFS([1]!teams[radiant.name],A67,[2]!main_metadata[radiant_win],TRUE)</f>
        <v>1</v>
      </c>
      <c r="D67" s="1">
        <f t="shared" ref="D67:D130" si="2">C67/B67</f>
        <v>0.5</v>
      </c>
      <c r="E67" t="str">
        <f t="shared" ref="E67:E130" si="3">IF(B67&gt;=10, "Yes", "No")</f>
        <v>No</v>
      </c>
    </row>
    <row r="68" spans="1:5" x14ac:dyDescent="0.3">
      <c r="A68" t="s">
        <v>98</v>
      </c>
      <c r="B68">
        <f>COUNTIF([1]!teams[radiant.name], A68)
+
COUNTIF([1]!teams[dire.name],A68)</f>
        <v>7</v>
      </c>
      <c r="C68">
        <f>COUNTIFS([1]!teams[radiant.name],A68,[2]!main_metadata[radiant_win],TRUE)</f>
        <v>6</v>
      </c>
      <c r="D68" s="1">
        <f t="shared" si="2"/>
        <v>0.8571428571428571</v>
      </c>
      <c r="E68" t="str">
        <f t="shared" si="3"/>
        <v>No</v>
      </c>
    </row>
    <row r="69" spans="1:5" x14ac:dyDescent="0.3">
      <c r="A69" t="s">
        <v>114</v>
      </c>
      <c r="B69">
        <f>COUNTIF([1]!teams[radiant.name], A69)
+
COUNTIF([1]!teams[dire.name],A69)</f>
        <v>2</v>
      </c>
      <c r="C69">
        <f>COUNTIFS([1]!teams[radiant.name],A69,[2]!main_metadata[radiant_win],TRUE)</f>
        <v>1</v>
      </c>
      <c r="D69" s="1">
        <f t="shared" si="2"/>
        <v>0.5</v>
      </c>
      <c r="E69" t="str">
        <f t="shared" si="3"/>
        <v>No</v>
      </c>
    </row>
    <row r="70" spans="1:5" x14ac:dyDescent="0.3">
      <c r="A70" t="s">
        <v>186</v>
      </c>
      <c r="B70">
        <f>COUNTIF([1]!teams[radiant.name], A70)
+
COUNTIF([1]!teams[dire.name],A70)</f>
        <v>0</v>
      </c>
      <c r="C70">
        <f>COUNTIFS([1]!teams[radiant.name],A70,[2]!main_metadata[radiant_win],TRUE)</f>
        <v>0</v>
      </c>
      <c r="D70" s="1" t="e">
        <f t="shared" si="2"/>
        <v>#DIV/0!</v>
      </c>
      <c r="E70" t="str">
        <f t="shared" si="3"/>
        <v>No</v>
      </c>
    </row>
    <row r="71" spans="1:5" x14ac:dyDescent="0.3">
      <c r="A71" t="s">
        <v>172</v>
      </c>
      <c r="B71">
        <f>COUNTIF([1]!teams[radiant.name], A71)
+
COUNTIF([1]!teams[dire.name],A71)</f>
        <v>11</v>
      </c>
      <c r="C71">
        <f>COUNTIFS([1]!teams[radiant.name],A71,[2]!main_metadata[radiant_win],TRUE)</f>
        <v>1</v>
      </c>
      <c r="D71" s="1">
        <f t="shared" si="2"/>
        <v>9.0909090909090912E-2</v>
      </c>
      <c r="E71" t="str">
        <f t="shared" si="3"/>
        <v>Yes</v>
      </c>
    </row>
    <row r="72" spans="1:5" x14ac:dyDescent="0.3">
      <c r="A72" t="s">
        <v>194</v>
      </c>
      <c r="B72">
        <f>COUNTIF([1]!teams[radiant.name], A72)
+
COUNTIF([1]!teams[dire.name],A72)</f>
        <v>6</v>
      </c>
      <c r="C72">
        <f>COUNTIFS([1]!teams[radiant.name],A72,[2]!main_metadata[radiant_win],TRUE)</f>
        <v>3</v>
      </c>
      <c r="D72" s="1">
        <f t="shared" si="2"/>
        <v>0.5</v>
      </c>
      <c r="E72" t="str">
        <f t="shared" si="3"/>
        <v>No</v>
      </c>
    </row>
    <row r="73" spans="1:5" x14ac:dyDescent="0.3">
      <c r="A73" t="s">
        <v>106</v>
      </c>
      <c r="B73">
        <f>COUNTIF([1]!teams[radiant.name], A73)
+
COUNTIF([1]!teams[dire.name],A73)</f>
        <v>2</v>
      </c>
      <c r="C73">
        <f>COUNTIFS([1]!teams[radiant.name],A73,[2]!main_metadata[radiant_win],TRUE)</f>
        <v>1</v>
      </c>
      <c r="D73" s="1">
        <f t="shared" si="2"/>
        <v>0.5</v>
      </c>
      <c r="E73" t="str">
        <f t="shared" si="3"/>
        <v>No</v>
      </c>
    </row>
    <row r="74" spans="1:5" x14ac:dyDescent="0.3">
      <c r="A74" t="s">
        <v>238</v>
      </c>
      <c r="B74">
        <f>COUNTIF([1]!teams[radiant.name], A74)
+
COUNTIF([1]!teams[dire.name],A74)</f>
        <v>1</v>
      </c>
      <c r="C74">
        <f>COUNTIFS([1]!teams[radiant.name],A74,[2]!main_metadata[radiant_win],TRUE)</f>
        <v>1</v>
      </c>
      <c r="D74" s="1">
        <f t="shared" si="2"/>
        <v>1</v>
      </c>
      <c r="E74" t="str">
        <f t="shared" si="3"/>
        <v>No</v>
      </c>
    </row>
    <row r="75" spans="1:5" x14ac:dyDescent="0.3">
      <c r="A75" t="s">
        <v>83</v>
      </c>
      <c r="B75">
        <f>COUNTIF([1]!teams[radiant.name], A75)
+
COUNTIF([1]!teams[dire.name],A75)</f>
        <v>7</v>
      </c>
      <c r="C75">
        <f>COUNTIFS([1]!teams[radiant.name],A75,[2]!main_metadata[radiant_win],TRUE)</f>
        <v>3</v>
      </c>
      <c r="D75" s="1">
        <f t="shared" si="2"/>
        <v>0.42857142857142855</v>
      </c>
      <c r="E75" t="str">
        <f t="shared" si="3"/>
        <v>No</v>
      </c>
    </row>
    <row r="76" spans="1:5" x14ac:dyDescent="0.3">
      <c r="A76" t="s">
        <v>29</v>
      </c>
      <c r="B76">
        <f>COUNTIF([1]!teams[radiant.name], A76)
+
COUNTIF([1]!teams[dire.name],A76)</f>
        <v>1</v>
      </c>
      <c r="C76">
        <f>COUNTIFS([1]!teams[radiant.name],A76,[2]!main_metadata[radiant_win],TRUE)</f>
        <v>1</v>
      </c>
      <c r="D76" s="1">
        <f t="shared" si="2"/>
        <v>1</v>
      </c>
      <c r="E76" t="str">
        <f t="shared" si="3"/>
        <v>No</v>
      </c>
    </row>
    <row r="77" spans="1:5" x14ac:dyDescent="0.3">
      <c r="A77" t="s">
        <v>239</v>
      </c>
      <c r="B77">
        <f>COUNTIF([1]!teams[radiant.name], A77)
+
COUNTIF([1]!teams[dire.name],A77)</f>
        <v>3</v>
      </c>
      <c r="C77">
        <f>COUNTIFS([1]!teams[radiant.name],A77,[2]!main_metadata[radiant_win],TRUE)</f>
        <v>1</v>
      </c>
      <c r="D77" s="1">
        <f t="shared" si="2"/>
        <v>0.33333333333333331</v>
      </c>
      <c r="E77" t="str">
        <f t="shared" si="3"/>
        <v>No</v>
      </c>
    </row>
    <row r="78" spans="1:5" x14ac:dyDescent="0.3">
      <c r="A78" t="s">
        <v>146</v>
      </c>
      <c r="B78">
        <f>COUNTIF([1]!teams[radiant.name], A78)
+
COUNTIF([1]!teams[dire.name],A78)</f>
        <v>15</v>
      </c>
      <c r="C78">
        <f>COUNTIFS([1]!teams[radiant.name],A78,[2]!main_metadata[radiant_win],TRUE)</f>
        <v>3</v>
      </c>
      <c r="D78" s="1">
        <f t="shared" si="2"/>
        <v>0.2</v>
      </c>
      <c r="E78" t="str">
        <f t="shared" si="3"/>
        <v>Yes</v>
      </c>
    </row>
    <row r="79" spans="1:5" x14ac:dyDescent="0.3">
      <c r="A79" t="s">
        <v>111</v>
      </c>
      <c r="B79">
        <f>COUNTIF([1]!teams[radiant.name], A79)
+
COUNTIF([1]!teams[dire.name],A79)</f>
        <v>20</v>
      </c>
      <c r="C79">
        <f>COUNTIFS([1]!teams[radiant.name],A79,[2]!main_metadata[radiant_win],TRUE)</f>
        <v>13</v>
      </c>
      <c r="D79" s="1">
        <f t="shared" si="2"/>
        <v>0.65</v>
      </c>
      <c r="E79" t="str">
        <f t="shared" si="3"/>
        <v>Yes</v>
      </c>
    </row>
    <row r="80" spans="1:5" x14ac:dyDescent="0.3">
      <c r="A80" t="s">
        <v>240</v>
      </c>
      <c r="B80">
        <f>COUNTIF([1]!teams[radiant.name], A80)
+
COUNTIF([1]!teams[dire.name],A80)</f>
        <v>22</v>
      </c>
      <c r="C80">
        <f>COUNTIFS([1]!teams[radiant.name],A80,[2]!main_metadata[radiant_win],TRUE)</f>
        <v>2</v>
      </c>
      <c r="D80" s="1">
        <f t="shared" si="2"/>
        <v>9.0909090909090912E-2</v>
      </c>
      <c r="E80" t="str">
        <f t="shared" si="3"/>
        <v>Yes</v>
      </c>
    </row>
    <row r="81" spans="1:5" x14ac:dyDescent="0.3">
      <c r="A81" t="s">
        <v>38</v>
      </c>
      <c r="B81">
        <f>COUNTIF([1]!teams[radiant.name], A81)
+
COUNTIF([1]!teams[dire.name],A81)</f>
        <v>25</v>
      </c>
      <c r="C81">
        <f>COUNTIFS([1]!teams[radiant.name],A81,[2]!main_metadata[radiant_win],TRUE)</f>
        <v>5</v>
      </c>
      <c r="D81" s="1">
        <f t="shared" si="2"/>
        <v>0.2</v>
      </c>
      <c r="E81" t="str">
        <f t="shared" si="3"/>
        <v>Yes</v>
      </c>
    </row>
    <row r="82" spans="1:5" x14ac:dyDescent="0.3">
      <c r="A82" t="s">
        <v>88</v>
      </c>
      <c r="B82">
        <f>COUNTIF([1]!teams[radiant.name], A82)
+
COUNTIF([1]!teams[dire.name],A82)</f>
        <v>37</v>
      </c>
      <c r="C82">
        <f>COUNTIFS([1]!teams[radiant.name],A82,[2]!main_metadata[radiant_win],TRUE)</f>
        <v>13</v>
      </c>
      <c r="D82" s="1">
        <f t="shared" si="2"/>
        <v>0.35135135135135137</v>
      </c>
      <c r="E82" t="str">
        <f t="shared" si="3"/>
        <v>Yes</v>
      </c>
    </row>
    <row r="83" spans="1:5" x14ac:dyDescent="0.3">
      <c r="A83" t="s">
        <v>110</v>
      </c>
      <c r="B83">
        <f>COUNTIF([1]!teams[radiant.name], A83)
+
COUNTIF([1]!teams[dire.name],A83)</f>
        <v>28</v>
      </c>
      <c r="C83">
        <f>COUNTIFS([1]!teams[radiant.name],A83,[2]!main_metadata[radiant_win],TRUE)</f>
        <v>5</v>
      </c>
      <c r="D83" s="1">
        <f t="shared" si="2"/>
        <v>0.17857142857142858</v>
      </c>
      <c r="E83" t="str">
        <f t="shared" si="3"/>
        <v>Yes</v>
      </c>
    </row>
    <row r="84" spans="1:5" x14ac:dyDescent="0.3">
      <c r="A84" t="s">
        <v>44</v>
      </c>
      <c r="B84">
        <f>COUNTIF([1]!teams[radiant.name], A84)
+
COUNTIF([1]!teams[dire.name],A84)</f>
        <v>1</v>
      </c>
      <c r="C84">
        <f>COUNTIFS([1]!teams[radiant.name],A84,[2]!main_metadata[radiant_win],TRUE)</f>
        <v>0</v>
      </c>
      <c r="D84" s="1">
        <f t="shared" si="2"/>
        <v>0</v>
      </c>
      <c r="E84" t="str">
        <f t="shared" si="3"/>
        <v>No</v>
      </c>
    </row>
    <row r="85" spans="1:5" x14ac:dyDescent="0.3">
      <c r="A85" t="s">
        <v>226</v>
      </c>
      <c r="B85">
        <f>COUNTIF([1]!teams[radiant.name], A85)
+
COUNTIF([1]!teams[dire.name],A85)</f>
        <v>11</v>
      </c>
      <c r="C85">
        <f>COUNTIFS([1]!teams[radiant.name],A85,[2]!main_metadata[radiant_win],TRUE)</f>
        <v>2</v>
      </c>
      <c r="D85" s="1">
        <f t="shared" si="2"/>
        <v>0.18181818181818182</v>
      </c>
      <c r="E85" t="str">
        <f t="shared" si="3"/>
        <v>Yes</v>
      </c>
    </row>
    <row r="86" spans="1:5" x14ac:dyDescent="0.3">
      <c r="A86" t="s">
        <v>227</v>
      </c>
      <c r="B86">
        <f>COUNTIF([1]!teams[radiant.name], A86)
+
COUNTIF([1]!teams[dire.name],A86)</f>
        <v>6</v>
      </c>
      <c r="C86">
        <f>COUNTIFS([1]!teams[radiant.name],A86,[2]!main_metadata[radiant_win],TRUE)</f>
        <v>0</v>
      </c>
      <c r="D86" s="1">
        <f t="shared" si="2"/>
        <v>0</v>
      </c>
      <c r="E86" t="str">
        <f t="shared" si="3"/>
        <v>No</v>
      </c>
    </row>
    <row r="87" spans="1:5" x14ac:dyDescent="0.3">
      <c r="A87" t="s">
        <v>245</v>
      </c>
      <c r="B87">
        <f>COUNTIF([1]!teams[radiant.name], A87)
+
COUNTIF([1]!teams[dire.name],A87)</f>
        <v>17</v>
      </c>
      <c r="C87">
        <f>COUNTIFS([1]!teams[radiant.name],A87,[2]!main_metadata[radiant_win],TRUE)</f>
        <v>4</v>
      </c>
      <c r="D87" s="1">
        <f t="shared" si="2"/>
        <v>0.23529411764705882</v>
      </c>
      <c r="E87" t="str">
        <f t="shared" si="3"/>
        <v>Yes</v>
      </c>
    </row>
    <row r="88" spans="1:5" x14ac:dyDescent="0.3">
      <c r="A88" t="s">
        <v>173</v>
      </c>
      <c r="B88">
        <f>COUNTIF([1]!teams[radiant.name], A88)
+
COUNTIF([1]!teams[dire.name],A88)</f>
        <v>10</v>
      </c>
      <c r="C88">
        <f>COUNTIFS([1]!teams[radiant.name],A88,[2]!main_metadata[radiant_win],TRUE)</f>
        <v>3</v>
      </c>
      <c r="D88" s="1">
        <f t="shared" si="2"/>
        <v>0.3</v>
      </c>
      <c r="E88" t="str">
        <f t="shared" si="3"/>
        <v>Yes</v>
      </c>
    </row>
    <row r="89" spans="1:5" x14ac:dyDescent="0.3">
      <c r="A89" t="s">
        <v>216</v>
      </c>
      <c r="B89">
        <f>COUNTIF([1]!teams[radiant.name], A89)
+
COUNTIF([1]!teams[dire.name],A89)</f>
        <v>23</v>
      </c>
      <c r="C89">
        <f>COUNTIFS([1]!teams[radiant.name],A89,[2]!main_metadata[radiant_win],TRUE)</f>
        <v>5</v>
      </c>
      <c r="D89" s="1">
        <f t="shared" si="2"/>
        <v>0.21739130434782608</v>
      </c>
      <c r="E89" t="str">
        <f t="shared" si="3"/>
        <v>Yes</v>
      </c>
    </row>
    <row r="90" spans="1:5" x14ac:dyDescent="0.3">
      <c r="A90" t="s">
        <v>97</v>
      </c>
      <c r="B90">
        <f>COUNTIF([1]!teams[radiant.name], A90)
+
COUNTIF([1]!teams[dire.name],A90)</f>
        <v>2</v>
      </c>
      <c r="C90">
        <f>COUNTIFS([1]!teams[radiant.name],A90,[2]!main_metadata[radiant_win],TRUE)</f>
        <v>0</v>
      </c>
      <c r="D90" s="1">
        <f t="shared" si="2"/>
        <v>0</v>
      </c>
      <c r="E90" t="str">
        <f t="shared" si="3"/>
        <v>No</v>
      </c>
    </row>
    <row r="91" spans="1:5" x14ac:dyDescent="0.3">
      <c r="A91" t="s">
        <v>118</v>
      </c>
      <c r="B91">
        <f>COUNTIF([1]!teams[radiant.name], A91)
+
COUNTIF([1]!teams[dire.name],A91)</f>
        <v>2</v>
      </c>
      <c r="C91">
        <f>COUNTIFS([1]!teams[radiant.name],A91,[2]!main_metadata[radiant_win],TRUE)</f>
        <v>1</v>
      </c>
      <c r="D91" s="1">
        <f t="shared" si="2"/>
        <v>0.5</v>
      </c>
      <c r="E91" t="str">
        <f t="shared" si="3"/>
        <v>No</v>
      </c>
    </row>
    <row r="92" spans="1:5" x14ac:dyDescent="0.3">
      <c r="A92" t="s">
        <v>128</v>
      </c>
      <c r="B92">
        <f>COUNTIF([1]!teams[radiant.name], A92)
+
COUNTIF([1]!teams[dire.name],A92)</f>
        <v>2</v>
      </c>
      <c r="C92">
        <f>COUNTIFS([1]!teams[radiant.name],A92,[2]!main_metadata[radiant_win],TRUE)</f>
        <v>0</v>
      </c>
      <c r="D92" s="1">
        <f t="shared" si="2"/>
        <v>0</v>
      </c>
      <c r="E92" t="str">
        <f t="shared" si="3"/>
        <v>No</v>
      </c>
    </row>
    <row r="93" spans="1:5" x14ac:dyDescent="0.3">
      <c r="A93" t="s">
        <v>208</v>
      </c>
      <c r="B93">
        <f>COUNTIF([1]!teams[radiant.name], A93)
+
COUNTIF([1]!teams[dire.name],A93)</f>
        <v>2</v>
      </c>
      <c r="C93">
        <f>COUNTIFS([1]!teams[radiant.name],A93,[2]!main_metadata[radiant_win],TRUE)</f>
        <v>0</v>
      </c>
      <c r="D93" s="1">
        <f t="shared" si="2"/>
        <v>0</v>
      </c>
      <c r="E93" t="str">
        <f t="shared" si="3"/>
        <v>No</v>
      </c>
    </row>
    <row r="94" spans="1:5" x14ac:dyDescent="0.3">
      <c r="A94" t="s">
        <v>175</v>
      </c>
      <c r="B94">
        <f>COUNTIF([1]!teams[radiant.name], A94)
+
COUNTIF([1]!teams[dire.name],A94)</f>
        <v>0</v>
      </c>
      <c r="C94">
        <f>COUNTIFS([1]!teams[radiant.name],A94,[2]!main_metadata[radiant_win],TRUE)</f>
        <v>0</v>
      </c>
      <c r="D94" s="1" t="e">
        <f t="shared" si="2"/>
        <v>#DIV/0!</v>
      </c>
      <c r="E94" t="str">
        <f t="shared" si="3"/>
        <v>No</v>
      </c>
    </row>
    <row r="95" spans="1:5" x14ac:dyDescent="0.3">
      <c r="A95" t="s">
        <v>209</v>
      </c>
      <c r="B95">
        <f>COUNTIF([1]!teams[radiant.name], A95)
+
COUNTIF([1]!teams[dire.name],A95)</f>
        <v>37</v>
      </c>
      <c r="C95">
        <f>COUNTIFS([1]!teams[radiant.name],A95,[2]!main_metadata[radiant_win],TRUE)</f>
        <v>11</v>
      </c>
      <c r="D95" s="1">
        <f t="shared" si="2"/>
        <v>0.29729729729729731</v>
      </c>
      <c r="E95" t="str">
        <f t="shared" si="3"/>
        <v>Yes</v>
      </c>
    </row>
    <row r="96" spans="1:5" x14ac:dyDescent="0.3">
      <c r="A96" t="s">
        <v>9</v>
      </c>
      <c r="B96">
        <f>COUNTIF([1]!teams[radiant.name], A96)
+
COUNTIF([1]!teams[dire.name],A96)</f>
        <v>3</v>
      </c>
      <c r="C96">
        <f>COUNTIFS([1]!teams[radiant.name],A96,[2]!main_metadata[radiant_win],TRUE)</f>
        <v>1</v>
      </c>
      <c r="D96" s="1">
        <f t="shared" si="2"/>
        <v>0.33333333333333331</v>
      </c>
      <c r="E96" t="str">
        <f t="shared" si="3"/>
        <v>No</v>
      </c>
    </row>
    <row r="97" spans="1:5" x14ac:dyDescent="0.3">
      <c r="A97" t="s">
        <v>102</v>
      </c>
      <c r="B97">
        <f>COUNTIF([1]!teams[radiant.name], A97)
+
COUNTIF([1]!teams[dire.name],A97)</f>
        <v>33</v>
      </c>
      <c r="C97">
        <f>COUNTIFS([1]!teams[radiant.name],A97,[2]!main_metadata[radiant_win],TRUE)</f>
        <v>9</v>
      </c>
      <c r="D97" s="1">
        <f t="shared" si="2"/>
        <v>0.27272727272727271</v>
      </c>
      <c r="E97" t="str">
        <f t="shared" si="3"/>
        <v>Yes</v>
      </c>
    </row>
    <row r="98" spans="1:5" x14ac:dyDescent="0.3">
      <c r="A98" t="s">
        <v>21</v>
      </c>
      <c r="B98">
        <f>COUNTIF([1]!teams[radiant.name], A98)
+
COUNTIF([1]!teams[dire.name],A98)</f>
        <v>3</v>
      </c>
      <c r="C98">
        <f>COUNTIFS([1]!teams[radiant.name],A98,[2]!main_metadata[radiant_win],TRUE)</f>
        <v>2</v>
      </c>
      <c r="D98" s="1">
        <f t="shared" si="2"/>
        <v>0.66666666666666663</v>
      </c>
      <c r="E98" t="str">
        <f t="shared" si="3"/>
        <v>No</v>
      </c>
    </row>
    <row r="99" spans="1:5" x14ac:dyDescent="0.3">
      <c r="A99" t="s">
        <v>225</v>
      </c>
      <c r="B99">
        <f>COUNTIF([1]!teams[radiant.name], A99)
+
COUNTIF([1]!teams[dire.name],A99)</f>
        <v>4</v>
      </c>
      <c r="C99">
        <f>COUNTIFS([1]!teams[radiant.name],A99,[2]!main_metadata[radiant_win],TRUE)</f>
        <v>1</v>
      </c>
      <c r="D99" s="1">
        <f t="shared" si="2"/>
        <v>0.25</v>
      </c>
      <c r="E99" t="str">
        <f t="shared" si="3"/>
        <v>No</v>
      </c>
    </row>
    <row r="100" spans="1:5" x14ac:dyDescent="0.3">
      <c r="A100" t="s">
        <v>93</v>
      </c>
      <c r="B100">
        <f>COUNTIF([1]!teams[radiant.name], A100)
+
COUNTIF([1]!teams[dire.name],A100)</f>
        <v>14</v>
      </c>
      <c r="C100">
        <f>COUNTIFS([1]!teams[radiant.name],A100,[2]!main_metadata[radiant_win],TRUE)</f>
        <v>4</v>
      </c>
      <c r="D100" s="1">
        <f t="shared" si="2"/>
        <v>0.2857142857142857</v>
      </c>
      <c r="E100" t="str">
        <f t="shared" si="3"/>
        <v>Yes</v>
      </c>
    </row>
    <row r="101" spans="1:5" x14ac:dyDescent="0.3">
      <c r="A101" t="s">
        <v>161</v>
      </c>
      <c r="B101">
        <f>COUNTIF([1]!teams[radiant.name], A101)
+
COUNTIF([1]!teams[dire.name],A101)</f>
        <v>1</v>
      </c>
      <c r="C101">
        <f>COUNTIFS([1]!teams[radiant.name],A101,[2]!main_metadata[radiant_win],TRUE)</f>
        <v>1</v>
      </c>
      <c r="D101" s="1">
        <f t="shared" si="2"/>
        <v>1</v>
      </c>
      <c r="E101" t="str">
        <f t="shared" si="3"/>
        <v>No</v>
      </c>
    </row>
    <row r="102" spans="1:5" x14ac:dyDescent="0.3">
      <c r="A102" t="s">
        <v>64</v>
      </c>
      <c r="B102">
        <f>COUNTIF([1]!teams[radiant.name], A102)
+
COUNTIF([1]!teams[dire.name],A102)</f>
        <v>26</v>
      </c>
      <c r="C102">
        <f>COUNTIFS([1]!teams[radiant.name],A102,[2]!main_metadata[radiant_win],TRUE)</f>
        <v>9</v>
      </c>
      <c r="D102" s="1">
        <f t="shared" si="2"/>
        <v>0.34615384615384615</v>
      </c>
      <c r="E102" t="str">
        <f t="shared" si="3"/>
        <v>Yes</v>
      </c>
    </row>
    <row r="103" spans="1:5" x14ac:dyDescent="0.3">
      <c r="A103" t="s">
        <v>69</v>
      </c>
      <c r="B103">
        <f>COUNTIF([1]!teams[radiant.name], A103)
+
COUNTIF([1]!teams[dire.name],A103)</f>
        <v>13</v>
      </c>
      <c r="C103">
        <f>COUNTIFS([1]!teams[radiant.name],A103,[2]!main_metadata[radiant_win],TRUE)</f>
        <v>3</v>
      </c>
      <c r="D103" s="1">
        <f t="shared" si="2"/>
        <v>0.23076923076923078</v>
      </c>
      <c r="E103" t="str">
        <f t="shared" si="3"/>
        <v>Yes</v>
      </c>
    </row>
    <row r="104" spans="1:5" x14ac:dyDescent="0.3">
      <c r="A104" t="s">
        <v>20</v>
      </c>
      <c r="B104">
        <f>COUNTIF([1]!teams[radiant.name], A104)
+
COUNTIF([1]!teams[dire.name],A104)</f>
        <v>8</v>
      </c>
      <c r="C104">
        <f>COUNTIFS([1]!teams[radiant.name],A104,[2]!main_metadata[radiant_win],TRUE)</f>
        <v>5</v>
      </c>
      <c r="D104" s="1">
        <f t="shared" si="2"/>
        <v>0.625</v>
      </c>
      <c r="E104" t="str">
        <f t="shared" si="3"/>
        <v>No</v>
      </c>
    </row>
    <row r="105" spans="1:5" x14ac:dyDescent="0.3">
      <c r="A105" t="s">
        <v>8</v>
      </c>
      <c r="B105">
        <f>COUNTIF([1]!teams[radiant.name], A105)
+
COUNTIF([1]!teams[dire.name],A105)</f>
        <v>1</v>
      </c>
      <c r="C105">
        <f>COUNTIFS([1]!teams[radiant.name],A105,[2]!main_metadata[radiant_win],TRUE)</f>
        <v>1</v>
      </c>
      <c r="D105" s="1">
        <f t="shared" si="2"/>
        <v>1</v>
      </c>
      <c r="E105" t="str">
        <f t="shared" si="3"/>
        <v>No</v>
      </c>
    </row>
    <row r="106" spans="1:5" x14ac:dyDescent="0.3">
      <c r="A106" t="s">
        <v>108</v>
      </c>
      <c r="B106">
        <f>COUNTIF([1]!teams[radiant.name], A106)
+
COUNTIF([1]!teams[dire.name],A106)</f>
        <v>2</v>
      </c>
      <c r="C106">
        <f>COUNTIFS([1]!teams[radiant.name],A106,[2]!main_metadata[radiant_win],TRUE)</f>
        <v>1</v>
      </c>
      <c r="D106" s="1">
        <f t="shared" si="2"/>
        <v>0.5</v>
      </c>
      <c r="E106" t="str">
        <f t="shared" si="3"/>
        <v>No</v>
      </c>
    </row>
    <row r="107" spans="1:5" x14ac:dyDescent="0.3">
      <c r="A107" t="s">
        <v>259</v>
      </c>
      <c r="B107">
        <f>COUNTIF([1]!teams[radiant.name], A107)
+
COUNTIF([1]!teams[dire.name],A107)</f>
        <v>12</v>
      </c>
      <c r="C107">
        <f>COUNTIFS([1]!teams[radiant.name],A107,[2]!main_metadata[radiant_win],TRUE)</f>
        <v>4</v>
      </c>
      <c r="D107" s="1">
        <f t="shared" si="2"/>
        <v>0.33333333333333331</v>
      </c>
      <c r="E107" t="str">
        <f t="shared" si="3"/>
        <v>Yes</v>
      </c>
    </row>
    <row r="108" spans="1:5" x14ac:dyDescent="0.3">
      <c r="A108" t="s">
        <v>66</v>
      </c>
      <c r="B108">
        <f>COUNTIF([1]!teams[radiant.name], A108)
+
COUNTIF([1]!teams[dire.name],A108)</f>
        <v>1</v>
      </c>
      <c r="C108">
        <f>COUNTIFS([1]!teams[radiant.name],A108,[2]!main_metadata[radiant_win],TRUE)</f>
        <v>1</v>
      </c>
      <c r="D108" s="1">
        <f t="shared" si="2"/>
        <v>1</v>
      </c>
      <c r="E108" t="str">
        <f t="shared" si="3"/>
        <v>No</v>
      </c>
    </row>
    <row r="109" spans="1:5" x14ac:dyDescent="0.3">
      <c r="A109" t="s">
        <v>32</v>
      </c>
      <c r="B109">
        <f>COUNTIF([1]!teams[radiant.name], A109)
+
COUNTIF([1]!teams[dire.name],A109)</f>
        <v>1</v>
      </c>
      <c r="C109">
        <f>COUNTIFS([1]!teams[radiant.name],A109,[2]!main_metadata[radiant_win],TRUE)</f>
        <v>0</v>
      </c>
      <c r="D109" s="1">
        <f t="shared" si="2"/>
        <v>0</v>
      </c>
      <c r="E109" t="str">
        <f t="shared" si="3"/>
        <v>No</v>
      </c>
    </row>
    <row r="110" spans="1:5" x14ac:dyDescent="0.3">
      <c r="A110" t="s">
        <v>40</v>
      </c>
      <c r="B110">
        <f>COUNTIF([1]!teams[radiant.name], A110)
+
COUNTIF([1]!teams[dire.name],A110)</f>
        <v>10</v>
      </c>
      <c r="C110">
        <f>COUNTIFS([1]!teams[radiant.name],A110,[2]!main_metadata[radiant_win],TRUE)</f>
        <v>1</v>
      </c>
      <c r="D110" s="1">
        <f t="shared" si="2"/>
        <v>0.1</v>
      </c>
      <c r="E110" t="str">
        <f t="shared" si="3"/>
        <v>Yes</v>
      </c>
    </row>
    <row r="111" spans="1:5" x14ac:dyDescent="0.3">
      <c r="A111" t="s">
        <v>215</v>
      </c>
      <c r="B111">
        <f>COUNTIF([1]!teams[radiant.name], A111)
+
COUNTIF([1]!teams[dire.name],A111)</f>
        <v>14</v>
      </c>
      <c r="C111">
        <f>COUNTIFS([1]!teams[radiant.name],A111,[2]!main_metadata[radiant_win],TRUE)</f>
        <v>4</v>
      </c>
      <c r="D111" s="1">
        <f t="shared" si="2"/>
        <v>0.2857142857142857</v>
      </c>
      <c r="E111" t="str">
        <f t="shared" si="3"/>
        <v>Yes</v>
      </c>
    </row>
    <row r="112" spans="1:5" x14ac:dyDescent="0.3">
      <c r="A112" t="s">
        <v>174</v>
      </c>
      <c r="B112">
        <f>COUNTIF([1]!teams[radiant.name], A112)
+
COUNTIF([1]!teams[dire.name],A112)</f>
        <v>4</v>
      </c>
      <c r="C112">
        <f>COUNTIFS([1]!teams[radiant.name],A112,[2]!main_metadata[radiant_win],TRUE)</f>
        <v>0</v>
      </c>
      <c r="D112" s="1">
        <f t="shared" si="2"/>
        <v>0</v>
      </c>
      <c r="E112" t="str">
        <f t="shared" si="3"/>
        <v>No</v>
      </c>
    </row>
    <row r="113" spans="1:5" x14ac:dyDescent="0.3">
      <c r="A113" t="s">
        <v>185</v>
      </c>
      <c r="B113">
        <f>COUNTIF([1]!teams[radiant.name], A113)
+
COUNTIF([1]!teams[dire.name],A113)</f>
        <v>12</v>
      </c>
      <c r="C113">
        <f>COUNTIFS([1]!teams[radiant.name],A113,[2]!main_metadata[radiant_win],TRUE)</f>
        <v>2</v>
      </c>
      <c r="D113" s="1">
        <f t="shared" si="2"/>
        <v>0.16666666666666666</v>
      </c>
      <c r="E113" t="str">
        <f t="shared" si="3"/>
        <v>Yes</v>
      </c>
    </row>
    <row r="114" spans="1:5" x14ac:dyDescent="0.3">
      <c r="A114" t="s">
        <v>71</v>
      </c>
      <c r="B114">
        <f>COUNTIF([1]!teams[radiant.name], A114)
+
COUNTIF([1]!teams[dire.name],A114)</f>
        <v>2</v>
      </c>
      <c r="C114">
        <f>COUNTIFS([1]!teams[radiant.name],A114,[2]!main_metadata[radiant_win],TRUE)</f>
        <v>1</v>
      </c>
      <c r="D114" s="1">
        <f t="shared" si="2"/>
        <v>0.5</v>
      </c>
      <c r="E114" t="str">
        <f t="shared" si="3"/>
        <v>No</v>
      </c>
    </row>
    <row r="115" spans="1:5" x14ac:dyDescent="0.3">
      <c r="A115" t="s">
        <v>10</v>
      </c>
      <c r="B115">
        <f>COUNTIF([1]!teams[radiant.name], A115)
+
COUNTIF([1]!teams[dire.name],A115)</f>
        <v>4</v>
      </c>
      <c r="C115">
        <f>COUNTIFS([1]!teams[radiant.name],A115,[2]!main_metadata[radiant_win],TRUE)</f>
        <v>1</v>
      </c>
      <c r="D115" s="1">
        <f t="shared" si="2"/>
        <v>0.25</v>
      </c>
      <c r="E115" t="str">
        <f t="shared" si="3"/>
        <v>No</v>
      </c>
    </row>
    <row r="116" spans="1:5" x14ac:dyDescent="0.3">
      <c r="A116" t="s">
        <v>205</v>
      </c>
      <c r="B116">
        <f>COUNTIF([1]!teams[radiant.name], A116)
+
COUNTIF([1]!teams[dire.name],A116)</f>
        <v>2</v>
      </c>
      <c r="C116">
        <f>COUNTIFS([1]!teams[radiant.name],A116,[2]!main_metadata[radiant_win],TRUE)</f>
        <v>0</v>
      </c>
      <c r="D116" s="1">
        <f t="shared" si="2"/>
        <v>0</v>
      </c>
      <c r="E116" t="str">
        <f t="shared" si="3"/>
        <v>No</v>
      </c>
    </row>
    <row r="117" spans="1:5" x14ac:dyDescent="0.3">
      <c r="A117" t="s">
        <v>103</v>
      </c>
      <c r="B117">
        <f>COUNTIF([1]!teams[radiant.name], A117)
+
COUNTIF([1]!teams[dire.name],A117)</f>
        <v>9</v>
      </c>
      <c r="C117">
        <f>COUNTIFS([1]!teams[radiant.name],A117,[2]!main_metadata[radiant_win],TRUE)</f>
        <v>2</v>
      </c>
      <c r="D117" s="1">
        <f t="shared" si="2"/>
        <v>0.22222222222222221</v>
      </c>
      <c r="E117" t="str">
        <f t="shared" si="3"/>
        <v>No</v>
      </c>
    </row>
    <row r="118" spans="1:5" x14ac:dyDescent="0.3">
      <c r="A118" t="s">
        <v>25</v>
      </c>
      <c r="B118">
        <f>COUNTIF([1]!teams[radiant.name], A118)
+
COUNTIF([1]!teams[dire.name],A118)</f>
        <v>11</v>
      </c>
      <c r="C118">
        <f>COUNTIFS([1]!teams[radiant.name],A118,[2]!main_metadata[radiant_win],TRUE)</f>
        <v>3</v>
      </c>
      <c r="D118" s="1">
        <f t="shared" si="2"/>
        <v>0.27272727272727271</v>
      </c>
      <c r="E118" t="str">
        <f t="shared" si="3"/>
        <v>Yes</v>
      </c>
    </row>
    <row r="119" spans="1:5" x14ac:dyDescent="0.3">
      <c r="A119" t="s">
        <v>180</v>
      </c>
      <c r="B119">
        <f>COUNTIF([1]!teams[radiant.name], A119)
+
COUNTIF([1]!teams[dire.name],A119)</f>
        <v>5</v>
      </c>
      <c r="C119">
        <f>COUNTIFS([1]!teams[radiant.name],A119,[2]!main_metadata[radiant_win],TRUE)</f>
        <v>0</v>
      </c>
      <c r="D119" s="1">
        <f t="shared" si="2"/>
        <v>0</v>
      </c>
      <c r="E119" t="str">
        <f t="shared" si="3"/>
        <v>No</v>
      </c>
    </row>
    <row r="120" spans="1:5" x14ac:dyDescent="0.3">
      <c r="A120" t="s">
        <v>65</v>
      </c>
      <c r="B120">
        <f>COUNTIF([1]!teams[radiant.name], A120)
+
COUNTIF([1]!teams[dire.name],A120)</f>
        <v>1</v>
      </c>
      <c r="C120">
        <f>COUNTIFS([1]!teams[radiant.name],A120,[2]!main_metadata[radiant_win],TRUE)</f>
        <v>0</v>
      </c>
      <c r="D120" s="1">
        <f t="shared" si="2"/>
        <v>0</v>
      </c>
      <c r="E120" t="str">
        <f t="shared" si="3"/>
        <v>No</v>
      </c>
    </row>
    <row r="121" spans="1:5" x14ac:dyDescent="0.3">
      <c r="A121" t="s">
        <v>18</v>
      </c>
      <c r="B121">
        <f>COUNTIF([1]!teams[radiant.name], A121)
+
COUNTIF([1]!teams[dire.name],A121)</f>
        <v>1</v>
      </c>
      <c r="C121">
        <f>COUNTIFS([1]!teams[radiant.name],A121,[2]!main_metadata[radiant_win],TRUE)</f>
        <v>0</v>
      </c>
      <c r="D121" s="1">
        <f t="shared" si="2"/>
        <v>0</v>
      </c>
      <c r="E121" t="str">
        <f t="shared" si="3"/>
        <v>No</v>
      </c>
    </row>
    <row r="122" spans="1:5" x14ac:dyDescent="0.3">
      <c r="A122" t="s">
        <v>30</v>
      </c>
      <c r="B122">
        <f>COUNTIF([1]!teams[radiant.name], A122)
+
COUNTIF([1]!teams[dire.name],A122)</f>
        <v>35</v>
      </c>
      <c r="C122">
        <f>COUNTIFS([1]!teams[radiant.name],A122,[2]!main_metadata[radiant_win],TRUE)</f>
        <v>14</v>
      </c>
      <c r="D122" s="1">
        <f t="shared" si="2"/>
        <v>0.4</v>
      </c>
      <c r="E122" t="str">
        <f t="shared" si="3"/>
        <v>Yes</v>
      </c>
    </row>
    <row r="123" spans="1:5" x14ac:dyDescent="0.3">
      <c r="A123" t="s">
        <v>163</v>
      </c>
      <c r="B123">
        <f>COUNTIF([1]!teams[radiant.name], A123)
+
COUNTIF([1]!teams[dire.name],A123)</f>
        <v>4</v>
      </c>
      <c r="C123">
        <f>COUNTIFS([1]!teams[radiant.name],A123,[2]!main_metadata[radiant_win],TRUE)</f>
        <v>0</v>
      </c>
      <c r="D123" s="1">
        <f t="shared" si="2"/>
        <v>0</v>
      </c>
      <c r="E123" t="str">
        <f t="shared" si="3"/>
        <v>No</v>
      </c>
    </row>
    <row r="124" spans="1:5" x14ac:dyDescent="0.3">
      <c r="A124" t="s">
        <v>100</v>
      </c>
      <c r="B124">
        <f>COUNTIF([1]!teams[radiant.name], A124)
+
COUNTIF([1]!teams[dire.name],A124)</f>
        <v>1</v>
      </c>
      <c r="C124">
        <f>COUNTIFS([1]!teams[radiant.name],A124,[2]!main_metadata[radiant_win],TRUE)</f>
        <v>0</v>
      </c>
      <c r="D124" s="1">
        <f t="shared" si="2"/>
        <v>0</v>
      </c>
      <c r="E124" t="str">
        <f t="shared" si="3"/>
        <v>No</v>
      </c>
    </row>
    <row r="125" spans="1:5" x14ac:dyDescent="0.3">
      <c r="A125" t="s">
        <v>26</v>
      </c>
      <c r="B125">
        <f>COUNTIF([1]!teams[radiant.name], A125)
+
COUNTIF([1]!teams[dire.name],A125)</f>
        <v>1</v>
      </c>
      <c r="C125">
        <f>COUNTIFS([1]!teams[radiant.name],A125,[2]!main_metadata[radiant_win],TRUE)</f>
        <v>1</v>
      </c>
      <c r="D125" s="1">
        <f t="shared" si="2"/>
        <v>1</v>
      </c>
      <c r="E125" t="str">
        <f t="shared" si="3"/>
        <v>No</v>
      </c>
    </row>
    <row r="126" spans="1:5" x14ac:dyDescent="0.3">
      <c r="A126" t="s">
        <v>127</v>
      </c>
      <c r="B126">
        <f>COUNTIF([1]!teams[radiant.name], A126)
+
COUNTIF([1]!teams[dire.name],A126)</f>
        <v>1</v>
      </c>
      <c r="C126">
        <f>COUNTIFS([1]!teams[radiant.name],A126,[2]!main_metadata[radiant_win],TRUE)</f>
        <v>1</v>
      </c>
      <c r="D126" s="1">
        <f t="shared" si="2"/>
        <v>1</v>
      </c>
      <c r="E126" t="str">
        <f t="shared" si="3"/>
        <v>No</v>
      </c>
    </row>
    <row r="127" spans="1:5" x14ac:dyDescent="0.3">
      <c r="A127" t="s">
        <v>229</v>
      </c>
      <c r="B127">
        <f>COUNTIF([1]!teams[radiant.name], A127)
+
COUNTIF([1]!teams[dire.name],A127)</f>
        <v>2</v>
      </c>
      <c r="C127">
        <f>COUNTIFS([1]!teams[radiant.name],A127,[2]!main_metadata[radiant_win],TRUE)</f>
        <v>1</v>
      </c>
      <c r="D127" s="1">
        <f t="shared" si="2"/>
        <v>0.5</v>
      </c>
      <c r="E127" t="str">
        <f t="shared" si="3"/>
        <v>No</v>
      </c>
    </row>
    <row r="128" spans="1:5" x14ac:dyDescent="0.3">
      <c r="A128" t="s">
        <v>207</v>
      </c>
      <c r="B128">
        <f>COUNTIF([1]!teams[radiant.name], A128)
+
COUNTIF([1]!teams[dire.name],A128)</f>
        <v>3</v>
      </c>
      <c r="C128">
        <f>COUNTIFS([1]!teams[radiant.name],A128,[2]!main_metadata[radiant_win],TRUE)</f>
        <v>0</v>
      </c>
      <c r="D128" s="1">
        <f t="shared" si="2"/>
        <v>0</v>
      </c>
      <c r="E128" t="str">
        <f t="shared" si="3"/>
        <v>No</v>
      </c>
    </row>
    <row r="129" spans="1:5" x14ac:dyDescent="0.3">
      <c r="A129" t="s">
        <v>249</v>
      </c>
      <c r="B129">
        <f>COUNTIF([1]!teams[radiant.name], A129)
+
COUNTIF([1]!teams[dire.name],A129)</f>
        <v>1</v>
      </c>
      <c r="C129">
        <f>COUNTIFS([1]!teams[radiant.name],A129,[2]!main_metadata[radiant_win],TRUE)</f>
        <v>1</v>
      </c>
      <c r="D129" s="1">
        <f t="shared" si="2"/>
        <v>1</v>
      </c>
      <c r="E129" t="str">
        <f t="shared" si="3"/>
        <v>No</v>
      </c>
    </row>
    <row r="130" spans="1:5" x14ac:dyDescent="0.3">
      <c r="A130" t="s">
        <v>120</v>
      </c>
      <c r="B130">
        <f>COUNTIF([1]!teams[radiant.name], A130)
+
COUNTIF([1]!teams[dire.name],A130)</f>
        <v>4</v>
      </c>
      <c r="C130">
        <f>COUNTIFS([1]!teams[radiant.name],A130,[2]!main_metadata[radiant_win],TRUE)</f>
        <v>2</v>
      </c>
      <c r="D130" s="1">
        <f t="shared" si="2"/>
        <v>0.5</v>
      </c>
      <c r="E130" t="str">
        <f t="shared" si="3"/>
        <v>No</v>
      </c>
    </row>
    <row r="131" spans="1:5" x14ac:dyDescent="0.3">
      <c r="A131" t="s">
        <v>157</v>
      </c>
      <c r="B131">
        <f>COUNTIF([1]!teams[radiant.name], A131)
+
COUNTIF([1]!teams[dire.name],A131)</f>
        <v>2</v>
      </c>
      <c r="C131">
        <f>COUNTIFS([1]!teams[radiant.name],A131,[2]!main_metadata[radiant_win],TRUE)</f>
        <v>1</v>
      </c>
      <c r="D131" s="1">
        <f t="shared" ref="D131:D194" si="4">C131/B131</f>
        <v>0.5</v>
      </c>
      <c r="E131" t="str">
        <f t="shared" ref="E131:E194" si="5">IF(B131&gt;=10, "Yes", "No")</f>
        <v>No</v>
      </c>
    </row>
    <row r="132" spans="1:5" x14ac:dyDescent="0.3">
      <c r="A132" t="s">
        <v>224</v>
      </c>
      <c r="B132">
        <f>COUNTIF([1]!teams[radiant.name], A132)
+
COUNTIF([1]!teams[dire.name],A132)</f>
        <v>6</v>
      </c>
      <c r="C132">
        <f>COUNTIFS([1]!teams[radiant.name],A132,[2]!main_metadata[radiant_win],TRUE)</f>
        <v>1</v>
      </c>
      <c r="D132" s="1">
        <f t="shared" si="4"/>
        <v>0.16666666666666666</v>
      </c>
      <c r="E132" t="str">
        <f t="shared" si="5"/>
        <v>No</v>
      </c>
    </row>
    <row r="133" spans="1:5" x14ac:dyDescent="0.3">
      <c r="A133" t="s">
        <v>167</v>
      </c>
      <c r="B133">
        <f>COUNTIF([1]!teams[radiant.name], A133)
+
COUNTIF([1]!teams[dire.name],A133)</f>
        <v>2</v>
      </c>
      <c r="C133">
        <f>COUNTIFS([1]!teams[radiant.name],A133,[2]!main_metadata[radiant_win],TRUE)</f>
        <v>1</v>
      </c>
      <c r="D133" s="1">
        <f t="shared" si="4"/>
        <v>0.5</v>
      </c>
      <c r="E133" t="str">
        <f t="shared" si="5"/>
        <v>No</v>
      </c>
    </row>
    <row r="134" spans="1:5" x14ac:dyDescent="0.3">
      <c r="A134" t="s">
        <v>232</v>
      </c>
      <c r="B134">
        <f>COUNTIF([1]!teams[radiant.name], A134)
+
COUNTIF([1]!teams[dire.name],A134)</f>
        <v>9</v>
      </c>
      <c r="C134">
        <f>COUNTIFS([1]!teams[radiant.name],A134,[2]!main_metadata[radiant_win],TRUE)</f>
        <v>3</v>
      </c>
      <c r="D134" s="1">
        <f t="shared" si="4"/>
        <v>0.33333333333333331</v>
      </c>
      <c r="E134" t="str">
        <f t="shared" si="5"/>
        <v>No</v>
      </c>
    </row>
    <row r="135" spans="1:5" x14ac:dyDescent="0.3">
      <c r="A135" t="s">
        <v>77</v>
      </c>
      <c r="B135">
        <f>COUNTIF([1]!teams[radiant.name], A135)
+
COUNTIF([1]!teams[dire.name],A135)</f>
        <v>6</v>
      </c>
      <c r="C135">
        <f>COUNTIFS([1]!teams[radiant.name],A135,[2]!main_metadata[radiant_win],TRUE)</f>
        <v>3</v>
      </c>
      <c r="D135" s="1">
        <f t="shared" si="4"/>
        <v>0.5</v>
      </c>
      <c r="E135" t="str">
        <f t="shared" si="5"/>
        <v>No</v>
      </c>
    </row>
    <row r="136" spans="1:5" x14ac:dyDescent="0.3">
      <c r="A136" t="s">
        <v>131</v>
      </c>
      <c r="B136">
        <f>COUNTIF([1]!teams[radiant.name], A136)
+
COUNTIF([1]!teams[dire.name],A136)</f>
        <v>3</v>
      </c>
      <c r="C136">
        <f>COUNTIFS([1]!teams[radiant.name],A136,[2]!main_metadata[radiant_win],TRUE)</f>
        <v>1</v>
      </c>
      <c r="D136" s="1">
        <f t="shared" si="4"/>
        <v>0.33333333333333331</v>
      </c>
      <c r="E136" t="str">
        <f t="shared" si="5"/>
        <v>No</v>
      </c>
    </row>
    <row r="137" spans="1:5" x14ac:dyDescent="0.3">
      <c r="A137" t="s">
        <v>148</v>
      </c>
      <c r="B137">
        <f>COUNTIF([1]!teams[radiant.name], A137)
+
COUNTIF([1]!teams[dire.name],A137)</f>
        <v>13</v>
      </c>
      <c r="C137">
        <f>COUNTIFS([1]!teams[radiant.name],A137,[2]!main_metadata[radiant_win],TRUE)</f>
        <v>5</v>
      </c>
      <c r="D137" s="1">
        <f t="shared" si="4"/>
        <v>0.38461538461538464</v>
      </c>
      <c r="E137" t="str">
        <f t="shared" si="5"/>
        <v>Yes</v>
      </c>
    </row>
    <row r="138" spans="1:5" x14ac:dyDescent="0.3">
      <c r="A138" t="s">
        <v>255</v>
      </c>
      <c r="B138">
        <f>COUNTIF([1]!teams[radiant.name], A138)
+
COUNTIF([1]!teams[dire.name],A138)</f>
        <v>4</v>
      </c>
      <c r="C138">
        <f>COUNTIFS([1]!teams[radiant.name],A138,[2]!main_metadata[radiant_win],TRUE)</f>
        <v>0</v>
      </c>
      <c r="D138" s="1">
        <f t="shared" si="4"/>
        <v>0</v>
      </c>
      <c r="E138" t="str">
        <f t="shared" si="5"/>
        <v>No</v>
      </c>
    </row>
    <row r="139" spans="1:5" x14ac:dyDescent="0.3">
      <c r="A139" t="s">
        <v>160</v>
      </c>
      <c r="B139">
        <f>COUNTIF([1]!teams[radiant.name], A139)
+
COUNTIF([1]!teams[dire.name],A139)</f>
        <v>6</v>
      </c>
      <c r="C139">
        <f>COUNTIFS([1]!teams[radiant.name],A139,[2]!main_metadata[radiant_win],TRUE)</f>
        <v>1</v>
      </c>
      <c r="D139" s="1">
        <f t="shared" si="4"/>
        <v>0.16666666666666666</v>
      </c>
      <c r="E139" t="str">
        <f t="shared" si="5"/>
        <v>No</v>
      </c>
    </row>
    <row r="140" spans="1:5" x14ac:dyDescent="0.3">
      <c r="A140" t="s">
        <v>235</v>
      </c>
      <c r="B140">
        <f>COUNTIF([1]!teams[radiant.name], A140)
+
COUNTIF([1]!teams[dire.name],A140)</f>
        <v>23</v>
      </c>
      <c r="C140">
        <f>COUNTIFS([1]!teams[radiant.name],A140,[2]!main_metadata[radiant_win],TRUE)</f>
        <v>3</v>
      </c>
      <c r="D140" s="1">
        <f t="shared" si="4"/>
        <v>0.13043478260869565</v>
      </c>
      <c r="E140" t="str">
        <f t="shared" si="5"/>
        <v>Yes</v>
      </c>
    </row>
    <row r="141" spans="1:5" x14ac:dyDescent="0.3">
      <c r="A141" t="s">
        <v>61</v>
      </c>
      <c r="B141">
        <f>COUNTIF([1]!teams[radiant.name], A141)
+
COUNTIF([1]!teams[dire.name],A141)</f>
        <v>45</v>
      </c>
      <c r="C141">
        <f>COUNTIFS([1]!teams[radiant.name],A141,[2]!main_metadata[radiant_win],TRUE)</f>
        <v>9</v>
      </c>
      <c r="D141" s="1">
        <f t="shared" si="4"/>
        <v>0.2</v>
      </c>
      <c r="E141" t="str">
        <f t="shared" si="5"/>
        <v>Yes</v>
      </c>
    </row>
    <row r="142" spans="1:5" x14ac:dyDescent="0.3">
      <c r="A142" t="s">
        <v>198</v>
      </c>
      <c r="B142">
        <f>COUNTIF([1]!teams[radiant.name], A142)
+
COUNTIF([1]!teams[dire.name],A142)</f>
        <v>68</v>
      </c>
      <c r="C142">
        <f>COUNTIFS([1]!teams[radiant.name],A142,[2]!main_metadata[radiant_win],TRUE)</f>
        <v>27</v>
      </c>
      <c r="D142" s="1">
        <f t="shared" si="4"/>
        <v>0.39705882352941174</v>
      </c>
      <c r="E142" t="str">
        <f t="shared" si="5"/>
        <v>Yes</v>
      </c>
    </row>
    <row r="143" spans="1:5" x14ac:dyDescent="0.3">
      <c r="A143" t="s">
        <v>31</v>
      </c>
      <c r="B143">
        <f>COUNTIF([1]!teams[radiant.name], A143)
+
COUNTIF([1]!teams[dire.name],A143)</f>
        <v>24</v>
      </c>
      <c r="C143">
        <f>COUNTIFS([1]!teams[radiant.name],A143,[2]!main_metadata[radiant_win],TRUE)</f>
        <v>4</v>
      </c>
      <c r="D143" s="1">
        <f t="shared" si="4"/>
        <v>0.16666666666666666</v>
      </c>
      <c r="E143" t="str">
        <f t="shared" si="5"/>
        <v>Yes</v>
      </c>
    </row>
    <row r="144" spans="1:5" x14ac:dyDescent="0.3">
      <c r="A144" t="s">
        <v>145</v>
      </c>
      <c r="B144">
        <f>COUNTIF([1]!teams[radiant.name], A144)
+
COUNTIF([1]!teams[dire.name],A144)</f>
        <v>21</v>
      </c>
      <c r="C144">
        <f>COUNTIFS([1]!teams[radiant.name],A144,[2]!main_metadata[radiant_win],TRUE)</f>
        <v>3</v>
      </c>
      <c r="D144" s="1">
        <f t="shared" si="4"/>
        <v>0.14285714285714285</v>
      </c>
      <c r="E144" t="str">
        <f t="shared" si="5"/>
        <v>Yes</v>
      </c>
    </row>
    <row r="145" spans="1:5" x14ac:dyDescent="0.3">
      <c r="A145" t="s">
        <v>141</v>
      </c>
      <c r="B145">
        <f>COUNTIF([1]!teams[radiant.name], A145)
+
COUNTIF([1]!teams[dire.name],A145)</f>
        <v>4</v>
      </c>
      <c r="C145">
        <f>COUNTIFS([1]!teams[radiant.name],A145,[2]!main_metadata[radiant_win],TRUE)</f>
        <v>4</v>
      </c>
      <c r="D145" s="1">
        <f t="shared" si="4"/>
        <v>1</v>
      </c>
      <c r="E145" t="str">
        <f t="shared" si="5"/>
        <v>No</v>
      </c>
    </row>
    <row r="146" spans="1:5" x14ac:dyDescent="0.3">
      <c r="A146" t="s">
        <v>35</v>
      </c>
      <c r="B146">
        <f>COUNTIF([1]!teams[radiant.name], A146)
+
COUNTIF([1]!teams[dire.name],A146)</f>
        <v>7</v>
      </c>
      <c r="C146">
        <f>COUNTIFS([1]!teams[radiant.name],A146,[2]!main_metadata[radiant_win],TRUE)</f>
        <v>0</v>
      </c>
      <c r="D146" s="1">
        <f t="shared" si="4"/>
        <v>0</v>
      </c>
      <c r="E146" t="str">
        <f t="shared" si="5"/>
        <v>No</v>
      </c>
    </row>
    <row r="147" spans="1:5" x14ac:dyDescent="0.3">
      <c r="A147" t="s">
        <v>139</v>
      </c>
      <c r="B147">
        <f>COUNTIF([1]!teams[radiant.name], A147)
+
COUNTIF([1]!teams[dire.name],A147)</f>
        <v>8</v>
      </c>
      <c r="C147">
        <f>COUNTIFS([1]!teams[radiant.name],A147,[2]!main_metadata[radiant_win],TRUE)</f>
        <v>4</v>
      </c>
      <c r="D147" s="1">
        <f t="shared" si="4"/>
        <v>0.5</v>
      </c>
      <c r="E147" t="str">
        <f t="shared" si="5"/>
        <v>No</v>
      </c>
    </row>
    <row r="148" spans="1:5" x14ac:dyDescent="0.3">
      <c r="A148" t="s">
        <v>96</v>
      </c>
      <c r="B148">
        <f>COUNTIF([1]!teams[radiant.name], A148)
+
COUNTIF([1]!teams[dire.name],A148)</f>
        <v>6</v>
      </c>
      <c r="C148">
        <f>COUNTIFS([1]!teams[radiant.name],A148,[2]!main_metadata[radiant_win],TRUE)</f>
        <v>1</v>
      </c>
      <c r="D148" s="1">
        <f t="shared" si="4"/>
        <v>0.16666666666666666</v>
      </c>
      <c r="E148" t="str">
        <f t="shared" si="5"/>
        <v>No</v>
      </c>
    </row>
    <row r="149" spans="1:5" x14ac:dyDescent="0.3">
      <c r="A149" t="s">
        <v>41</v>
      </c>
      <c r="B149">
        <f>COUNTIF([1]!teams[radiant.name], A149)
+
COUNTIF([1]!teams[dire.name],A149)</f>
        <v>11</v>
      </c>
      <c r="C149">
        <f>COUNTIFS([1]!teams[radiant.name],A149,[2]!main_metadata[radiant_win],TRUE)</f>
        <v>4</v>
      </c>
      <c r="D149" s="1">
        <f t="shared" si="4"/>
        <v>0.36363636363636365</v>
      </c>
      <c r="E149" t="str">
        <f t="shared" si="5"/>
        <v>Yes</v>
      </c>
    </row>
    <row r="150" spans="1:5" x14ac:dyDescent="0.3">
      <c r="A150" t="s">
        <v>23</v>
      </c>
      <c r="B150">
        <f>COUNTIF([1]!teams[radiant.name], A150)
+
COUNTIF([1]!teams[dire.name],A150)</f>
        <v>34</v>
      </c>
      <c r="C150">
        <f>COUNTIFS([1]!teams[radiant.name],A150,[2]!main_metadata[radiant_win],TRUE)</f>
        <v>14</v>
      </c>
      <c r="D150" s="1">
        <f t="shared" si="4"/>
        <v>0.41176470588235292</v>
      </c>
      <c r="E150" t="str">
        <f t="shared" si="5"/>
        <v>Yes</v>
      </c>
    </row>
    <row r="151" spans="1:5" x14ac:dyDescent="0.3">
      <c r="A151" t="s">
        <v>203</v>
      </c>
      <c r="B151">
        <f>COUNTIF([1]!teams[radiant.name], A151)
+
COUNTIF([1]!teams[dire.name],A151)</f>
        <v>11</v>
      </c>
      <c r="C151">
        <f>COUNTIFS([1]!teams[radiant.name],A151,[2]!main_metadata[radiant_win],TRUE)</f>
        <v>5</v>
      </c>
      <c r="D151" s="1">
        <f t="shared" si="4"/>
        <v>0.45454545454545453</v>
      </c>
      <c r="E151" t="str">
        <f t="shared" si="5"/>
        <v>Yes</v>
      </c>
    </row>
    <row r="152" spans="1:5" x14ac:dyDescent="0.3">
      <c r="A152" t="s">
        <v>14</v>
      </c>
      <c r="B152">
        <f>COUNTIF([1]!teams[radiant.name], A152)
+
COUNTIF([1]!teams[dire.name],A152)</f>
        <v>6</v>
      </c>
      <c r="C152">
        <f>COUNTIFS([1]!teams[radiant.name],A152,[2]!main_metadata[radiant_win],TRUE)</f>
        <v>0</v>
      </c>
      <c r="D152" s="1">
        <f t="shared" si="4"/>
        <v>0</v>
      </c>
      <c r="E152" t="str">
        <f t="shared" si="5"/>
        <v>No</v>
      </c>
    </row>
    <row r="153" spans="1:5" x14ac:dyDescent="0.3">
      <c r="A153" t="s">
        <v>143</v>
      </c>
      <c r="B153">
        <f>COUNTIF([1]!teams[radiant.name], A153)
+
COUNTIF([1]!teams[dire.name],A153)</f>
        <v>35</v>
      </c>
      <c r="C153">
        <f>COUNTIFS([1]!teams[radiant.name],A153,[2]!main_metadata[radiant_win],TRUE)</f>
        <v>6</v>
      </c>
      <c r="D153" s="1">
        <f t="shared" si="4"/>
        <v>0.17142857142857143</v>
      </c>
      <c r="E153" t="str">
        <f t="shared" si="5"/>
        <v>Yes</v>
      </c>
    </row>
    <row r="154" spans="1:5" x14ac:dyDescent="0.3">
      <c r="A154" t="s">
        <v>169</v>
      </c>
      <c r="B154">
        <f>COUNTIF([1]!teams[radiant.name], A154)
+
COUNTIF([1]!teams[dire.name],A154)</f>
        <v>9</v>
      </c>
      <c r="C154">
        <f>COUNTIFS([1]!teams[radiant.name],A154,[2]!main_metadata[radiant_win],TRUE)</f>
        <v>5</v>
      </c>
      <c r="D154" s="1">
        <f t="shared" si="4"/>
        <v>0.55555555555555558</v>
      </c>
      <c r="E154" t="str">
        <f t="shared" si="5"/>
        <v>No</v>
      </c>
    </row>
    <row r="155" spans="1:5" x14ac:dyDescent="0.3">
      <c r="A155" t="s">
        <v>13</v>
      </c>
      <c r="B155">
        <f>COUNTIF([1]!teams[radiant.name], A155)
+
COUNTIF([1]!teams[dire.name],A155)</f>
        <v>43</v>
      </c>
      <c r="C155">
        <f>COUNTIFS([1]!teams[radiant.name],A155,[2]!main_metadata[radiant_win],TRUE)</f>
        <v>2</v>
      </c>
      <c r="D155" s="1">
        <f t="shared" si="4"/>
        <v>4.6511627906976744E-2</v>
      </c>
      <c r="E155" t="str">
        <f t="shared" si="5"/>
        <v>Yes</v>
      </c>
    </row>
    <row r="156" spans="1:5" x14ac:dyDescent="0.3">
      <c r="A156" t="s">
        <v>196</v>
      </c>
      <c r="B156">
        <f>COUNTIF([1]!teams[radiant.name], A156)
+
COUNTIF([1]!teams[dire.name],A156)</f>
        <v>15</v>
      </c>
      <c r="C156">
        <f>COUNTIFS([1]!teams[radiant.name],A156,[2]!main_metadata[radiant_win],TRUE)</f>
        <v>2</v>
      </c>
      <c r="D156" s="1">
        <f t="shared" si="4"/>
        <v>0.13333333333333333</v>
      </c>
      <c r="E156" t="str">
        <f t="shared" si="5"/>
        <v>Yes</v>
      </c>
    </row>
    <row r="157" spans="1:5" x14ac:dyDescent="0.3">
      <c r="A157" t="s">
        <v>73</v>
      </c>
      <c r="B157">
        <f>COUNTIF([1]!teams[radiant.name], A157)
+
COUNTIF([1]!teams[dire.name],A157)</f>
        <v>37</v>
      </c>
      <c r="C157">
        <f>COUNTIFS([1]!teams[radiant.name],A157,[2]!main_metadata[radiant_win],TRUE)</f>
        <v>4</v>
      </c>
      <c r="D157" s="1">
        <f t="shared" si="4"/>
        <v>0.10810810810810811</v>
      </c>
      <c r="E157" t="str">
        <f t="shared" si="5"/>
        <v>Yes</v>
      </c>
    </row>
    <row r="158" spans="1:5" x14ac:dyDescent="0.3">
      <c r="A158" t="s">
        <v>254</v>
      </c>
      <c r="B158">
        <f>COUNTIF([1]!teams[radiant.name], A158)
+
COUNTIF([1]!teams[dire.name],A158)</f>
        <v>1</v>
      </c>
      <c r="C158">
        <f>COUNTIFS([1]!teams[radiant.name],A158,[2]!main_metadata[radiant_win],TRUE)</f>
        <v>0</v>
      </c>
      <c r="D158" s="1">
        <f t="shared" si="4"/>
        <v>0</v>
      </c>
      <c r="E158" t="str">
        <f t="shared" si="5"/>
        <v>No</v>
      </c>
    </row>
    <row r="159" spans="1:5" x14ac:dyDescent="0.3">
      <c r="A159" t="s">
        <v>204</v>
      </c>
      <c r="B159">
        <f>COUNTIF([1]!teams[radiant.name], A159)
+
COUNTIF([1]!teams[dire.name],A159)</f>
        <v>21</v>
      </c>
      <c r="C159">
        <f>COUNTIFS([1]!teams[radiant.name],A159,[2]!main_metadata[radiant_win],TRUE)</f>
        <v>7</v>
      </c>
      <c r="D159" s="1">
        <f t="shared" si="4"/>
        <v>0.33333333333333331</v>
      </c>
      <c r="E159" t="str">
        <f t="shared" si="5"/>
        <v>Yes</v>
      </c>
    </row>
    <row r="160" spans="1:5" x14ac:dyDescent="0.3">
      <c r="A160" t="s">
        <v>222</v>
      </c>
      <c r="B160">
        <f>COUNTIF([1]!teams[radiant.name], A160)
+
COUNTIF([1]!teams[dire.name],A160)</f>
        <v>7</v>
      </c>
      <c r="C160">
        <f>COUNTIFS([1]!teams[radiant.name],A160,[2]!main_metadata[radiant_win],TRUE)</f>
        <v>1</v>
      </c>
      <c r="D160" s="1">
        <f t="shared" si="4"/>
        <v>0.14285714285714285</v>
      </c>
      <c r="E160" t="str">
        <f t="shared" si="5"/>
        <v>No</v>
      </c>
    </row>
    <row r="161" spans="1:5" x14ac:dyDescent="0.3">
      <c r="A161" t="s">
        <v>230</v>
      </c>
      <c r="B161">
        <f>COUNTIF([1]!teams[radiant.name], A161)
+
COUNTIF([1]!teams[dire.name],A161)</f>
        <v>9</v>
      </c>
      <c r="C161">
        <f>COUNTIFS([1]!teams[radiant.name],A161,[2]!main_metadata[radiant_win],TRUE)</f>
        <v>1</v>
      </c>
      <c r="D161" s="1">
        <f t="shared" si="4"/>
        <v>0.1111111111111111</v>
      </c>
      <c r="E161" t="str">
        <f t="shared" si="5"/>
        <v>No</v>
      </c>
    </row>
    <row r="162" spans="1:5" x14ac:dyDescent="0.3">
      <c r="A162" t="s">
        <v>164</v>
      </c>
      <c r="B162">
        <f>COUNTIF([1]!teams[radiant.name], A162)
+
COUNTIF([1]!teams[dire.name],A162)</f>
        <v>6</v>
      </c>
      <c r="C162">
        <f>COUNTIFS([1]!teams[radiant.name],A162,[2]!main_metadata[radiant_win],TRUE)</f>
        <v>4</v>
      </c>
      <c r="D162" s="1">
        <f t="shared" si="4"/>
        <v>0.66666666666666663</v>
      </c>
      <c r="E162" t="str">
        <f t="shared" si="5"/>
        <v>No</v>
      </c>
    </row>
    <row r="163" spans="1:5" x14ac:dyDescent="0.3">
      <c r="A163" t="s">
        <v>116</v>
      </c>
      <c r="B163">
        <f>COUNTIF([1]!teams[radiant.name], A163)
+
COUNTIF([1]!teams[dire.name],A163)</f>
        <v>39</v>
      </c>
      <c r="C163">
        <f>COUNTIFS([1]!teams[radiant.name],A163,[2]!main_metadata[radiant_win],TRUE)</f>
        <v>11</v>
      </c>
      <c r="D163" s="1">
        <f t="shared" si="4"/>
        <v>0.28205128205128205</v>
      </c>
      <c r="E163" t="str">
        <f t="shared" si="5"/>
        <v>Yes</v>
      </c>
    </row>
    <row r="164" spans="1:5" x14ac:dyDescent="0.3">
      <c r="A164" t="s">
        <v>246</v>
      </c>
      <c r="B164">
        <f>COUNTIF([1]!teams[radiant.name], A164)
+
COUNTIF([1]!teams[dire.name],A164)</f>
        <v>17</v>
      </c>
      <c r="C164">
        <f>COUNTIFS([1]!teams[radiant.name],A164,[2]!main_metadata[radiant_win],TRUE)</f>
        <v>4</v>
      </c>
      <c r="D164" s="1">
        <f t="shared" si="4"/>
        <v>0.23529411764705882</v>
      </c>
      <c r="E164" t="str">
        <f t="shared" si="5"/>
        <v>Yes</v>
      </c>
    </row>
    <row r="165" spans="1:5" x14ac:dyDescent="0.3">
      <c r="A165" t="s">
        <v>101</v>
      </c>
      <c r="B165">
        <f>COUNTIF([1]!teams[radiant.name], A165)
+
COUNTIF([1]!teams[dire.name],A165)</f>
        <v>21</v>
      </c>
      <c r="C165">
        <f>COUNTIFS([1]!teams[radiant.name],A165,[2]!main_metadata[radiant_win],TRUE)</f>
        <v>4</v>
      </c>
      <c r="D165" s="1">
        <f t="shared" si="4"/>
        <v>0.19047619047619047</v>
      </c>
      <c r="E165" t="str">
        <f t="shared" si="5"/>
        <v>Yes</v>
      </c>
    </row>
    <row r="166" spans="1:5" x14ac:dyDescent="0.3">
      <c r="A166" t="s">
        <v>166</v>
      </c>
      <c r="B166">
        <f>COUNTIF([1]!teams[radiant.name], A166)
+
COUNTIF([1]!teams[dire.name],A166)</f>
        <v>2</v>
      </c>
      <c r="C166">
        <f>COUNTIFS([1]!teams[radiant.name],A166,[2]!main_metadata[radiant_win],TRUE)</f>
        <v>0</v>
      </c>
      <c r="D166" s="1">
        <f t="shared" si="4"/>
        <v>0</v>
      </c>
      <c r="E166" t="str">
        <f t="shared" si="5"/>
        <v>No</v>
      </c>
    </row>
    <row r="167" spans="1:5" x14ac:dyDescent="0.3">
      <c r="A167" t="s">
        <v>241</v>
      </c>
      <c r="B167">
        <f>COUNTIF([1]!teams[radiant.name], A167)
+
COUNTIF([1]!teams[dire.name],A167)</f>
        <v>1</v>
      </c>
      <c r="C167">
        <f>COUNTIFS([1]!teams[radiant.name],A167,[2]!main_metadata[radiant_win],TRUE)</f>
        <v>0</v>
      </c>
      <c r="D167" s="1">
        <f t="shared" si="4"/>
        <v>0</v>
      </c>
      <c r="E167" t="str">
        <f t="shared" si="5"/>
        <v>No</v>
      </c>
    </row>
    <row r="168" spans="1:5" x14ac:dyDescent="0.3">
      <c r="A168" t="s">
        <v>158</v>
      </c>
      <c r="B168">
        <f>COUNTIF([1]!teams[radiant.name], A168)
+
COUNTIF([1]!teams[dire.name],A168)</f>
        <v>1</v>
      </c>
      <c r="C168">
        <f>COUNTIFS([1]!teams[radiant.name],A168,[2]!main_metadata[radiant_win],TRUE)</f>
        <v>0</v>
      </c>
      <c r="D168" s="1">
        <f t="shared" si="4"/>
        <v>0</v>
      </c>
      <c r="E168" t="str">
        <f t="shared" si="5"/>
        <v>No</v>
      </c>
    </row>
    <row r="169" spans="1:5" x14ac:dyDescent="0.3">
      <c r="A169" t="s">
        <v>221</v>
      </c>
      <c r="B169">
        <f>COUNTIF([1]!teams[radiant.name], A169)
+
COUNTIF([1]!teams[dire.name],A169)</f>
        <v>1</v>
      </c>
      <c r="C169">
        <f>COUNTIFS([1]!teams[radiant.name],A169,[2]!main_metadata[radiant_win],TRUE)</f>
        <v>0</v>
      </c>
      <c r="D169" s="1">
        <f t="shared" si="4"/>
        <v>0</v>
      </c>
      <c r="E169" t="str">
        <f t="shared" si="5"/>
        <v>No</v>
      </c>
    </row>
    <row r="170" spans="1:5" x14ac:dyDescent="0.3">
      <c r="A170" t="s">
        <v>43</v>
      </c>
      <c r="B170">
        <f>COUNTIF([1]!teams[radiant.name], A170)
+
COUNTIF([1]!teams[dire.name],A170)</f>
        <v>2</v>
      </c>
      <c r="C170">
        <f>COUNTIFS([1]!teams[radiant.name],A170,[2]!main_metadata[radiant_win],TRUE)</f>
        <v>1</v>
      </c>
      <c r="D170" s="1">
        <f t="shared" si="4"/>
        <v>0.5</v>
      </c>
      <c r="E170" t="str">
        <f t="shared" si="5"/>
        <v>No</v>
      </c>
    </row>
    <row r="171" spans="1:5" x14ac:dyDescent="0.3">
      <c r="A171" t="s">
        <v>6</v>
      </c>
      <c r="B171">
        <f>COUNTIF([1]!teams[radiant.name], A171)
+
COUNTIF([1]!teams[dire.name],A171)</f>
        <v>1</v>
      </c>
      <c r="C171">
        <f>COUNTIFS([1]!teams[radiant.name],A171,[2]!main_metadata[radiant_win],TRUE)</f>
        <v>0</v>
      </c>
      <c r="D171" s="1">
        <f t="shared" si="4"/>
        <v>0</v>
      </c>
      <c r="E171" t="str">
        <f t="shared" si="5"/>
        <v>No</v>
      </c>
    </row>
    <row r="172" spans="1:5" x14ac:dyDescent="0.3">
      <c r="A172" t="s">
        <v>219</v>
      </c>
      <c r="B172">
        <f>COUNTIF([1]!teams[radiant.name], A172)
+
COUNTIF([1]!teams[dire.name],A172)</f>
        <v>1</v>
      </c>
      <c r="C172">
        <f>COUNTIFS([1]!teams[radiant.name],A172,[2]!main_metadata[radiant_win],TRUE)</f>
        <v>0</v>
      </c>
      <c r="D172" s="1">
        <f t="shared" si="4"/>
        <v>0</v>
      </c>
      <c r="E172" t="str">
        <f t="shared" si="5"/>
        <v>No</v>
      </c>
    </row>
    <row r="173" spans="1:5" x14ac:dyDescent="0.3">
      <c r="A173">
        <v>22312</v>
      </c>
      <c r="B173">
        <f>COUNTIF([1]!teams[radiant.name], A173)
+
COUNTIF([1]!teams[dire.name],A173)</f>
        <v>2</v>
      </c>
      <c r="C173">
        <f>COUNTIFS([1]!teams[radiant.name],A173,[2]!main_metadata[radiant_win],TRUE)</f>
        <v>1</v>
      </c>
      <c r="D173" s="1">
        <f t="shared" si="4"/>
        <v>0.5</v>
      </c>
      <c r="E173" t="str">
        <f t="shared" si="5"/>
        <v>No</v>
      </c>
    </row>
    <row r="174" spans="1:5" x14ac:dyDescent="0.3">
      <c r="A174" t="s">
        <v>179</v>
      </c>
      <c r="B174">
        <f>COUNTIF([1]!teams[radiant.name], A174)
+
COUNTIF([1]!teams[dire.name],A174)</f>
        <v>2</v>
      </c>
      <c r="C174">
        <f>COUNTIFS([1]!teams[radiant.name],A174,[2]!main_metadata[radiant_win],TRUE)</f>
        <v>1</v>
      </c>
      <c r="D174" s="1">
        <f t="shared" si="4"/>
        <v>0.5</v>
      </c>
      <c r="E174" t="str">
        <f t="shared" si="5"/>
        <v>No</v>
      </c>
    </row>
    <row r="175" spans="1:5" x14ac:dyDescent="0.3">
      <c r="A175" t="s">
        <v>214</v>
      </c>
      <c r="B175">
        <f>COUNTIF([1]!teams[radiant.name], A175)
+
COUNTIF([1]!teams[dire.name],A175)</f>
        <v>4</v>
      </c>
      <c r="C175">
        <f>COUNTIFS([1]!teams[radiant.name],A175,[2]!main_metadata[radiant_win],TRUE)</f>
        <v>1</v>
      </c>
      <c r="D175" s="1">
        <f t="shared" si="4"/>
        <v>0.25</v>
      </c>
      <c r="E175" t="str">
        <f t="shared" si="5"/>
        <v>No</v>
      </c>
    </row>
    <row r="176" spans="1:5" x14ac:dyDescent="0.3">
      <c r="A176" t="s">
        <v>50</v>
      </c>
      <c r="B176">
        <f>COUNTIF([1]!teams[radiant.name], A176)
+
COUNTIF([1]!teams[dire.name],A176)</f>
        <v>7</v>
      </c>
      <c r="C176">
        <f>COUNTIFS([1]!teams[radiant.name],A176,[2]!main_metadata[radiant_win],TRUE)</f>
        <v>4</v>
      </c>
      <c r="D176" s="1">
        <f t="shared" si="4"/>
        <v>0.5714285714285714</v>
      </c>
      <c r="E176" t="str">
        <f t="shared" si="5"/>
        <v>No</v>
      </c>
    </row>
    <row r="177" spans="1:5" x14ac:dyDescent="0.3">
      <c r="A177" t="s">
        <v>51</v>
      </c>
      <c r="B177">
        <f>COUNTIF([1]!teams[radiant.name], A177)
+
COUNTIF([1]!teams[dire.name],A177)</f>
        <v>7</v>
      </c>
      <c r="C177">
        <f>COUNTIFS([1]!teams[radiant.name],A177,[2]!main_metadata[radiant_win],TRUE)</f>
        <v>2</v>
      </c>
      <c r="D177" s="1">
        <f t="shared" si="4"/>
        <v>0.2857142857142857</v>
      </c>
      <c r="E177" t="str">
        <f t="shared" si="5"/>
        <v>No</v>
      </c>
    </row>
    <row r="178" spans="1:5" x14ac:dyDescent="0.3">
      <c r="A178" t="s">
        <v>190</v>
      </c>
      <c r="B178">
        <f>COUNTIF([1]!teams[radiant.name], A178)
+
COUNTIF([1]!teams[dire.name],A178)</f>
        <v>9</v>
      </c>
      <c r="C178">
        <f>COUNTIFS([1]!teams[radiant.name],A178,[2]!main_metadata[radiant_win],TRUE)</f>
        <v>2</v>
      </c>
      <c r="D178" s="1">
        <f t="shared" si="4"/>
        <v>0.22222222222222221</v>
      </c>
      <c r="E178" t="str">
        <f t="shared" si="5"/>
        <v>No</v>
      </c>
    </row>
    <row r="179" spans="1:5" x14ac:dyDescent="0.3">
      <c r="A179" t="s">
        <v>193</v>
      </c>
      <c r="B179">
        <f>COUNTIF([1]!teams[radiant.name], A179)
+
COUNTIF([1]!teams[dire.name],A179)</f>
        <v>4</v>
      </c>
      <c r="C179">
        <f>COUNTIFS([1]!teams[radiant.name],A179,[2]!main_metadata[radiant_win],TRUE)</f>
        <v>0</v>
      </c>
      <c r="D179" s="1">
        <f t="shared" si="4"/>
        <v>0</v>
      </c>
      <c r="E179" t="str">
        <f t="shared" si="5"/>
        <v>No</v>
      </c>
    </row>
    <row r="180" spans="1:5" x14ac:dyDescent="0.3">
      <c r="A180" t="s">
        <v>5</v>
      </c>
      <c r="B180">
        <f>COUNTIF([1]!teams[radiant.name], A180)
+
COUNTIF([1]!teams[dire.name],A180)</f>
        <v>8</v>
      </c>
      <c r="C180">
        <f>COUNTIFS([1]!teams[radiant.name],A180,[2]!main_metadata[radiant_win],TRUE)</f>
        <v>3</v>
      </c>
      <c r="D180" s="1">
        <f t="shared" si="4"/>
        <v>0.375</v>
      </c>
      <c r="E180" t="str">
        <f t="shared" si="5"/>
        <v>No</v>
      </c>
    </row>
    <row r="181" spans="1:5" x14ac:dyDescent="0.3">
      <c r="A181" t="s">
        <v>211</v>
      </c>
      <c r="B181">
        <f>COUNTIF([1]!teams[radiant.name], A181)
+
COUNTIF([1]!teams[dire.name],A181)</f>
        <v>7</v>
      </c>
      <c r="C181">
        <f>COUNTIFS([1]!teams[radiant.name],A181,[2]!main_metadata[radiant_win],TRUE)</f>
        <v>1</v>
      </c>
      <c r="D181" s="1">
        <f t="shared" si="4"/>
        <v>0.14285714285714285</v>
      </c>
      <c r="E181" t="str">
        <f t="shared" si="5"/>
        <v>No</v>
      </c>
    </row>
    <row r="182" spans="1:5" x14ac:dyDescent="0.3">
      <c r="A182" t="s">
        <v>15</v>
      </c>
      <c r="B182">
        <f>COUNTIF([1]!teams[radiant.name], A182)
+
COUNTIF([1]!teams[dire.name],A182)</f>
        <v>6</v>
      </c>
      <c r="C182">
        <f>COUNTIFS([1]!teams[radiant.name],A182,[2]!main_metadata[radiant_win],TRUE)</f>
        <v>1</v>
      </c>
      <c r="D182" s="1">
        <f t="shared" si="4"/>
        <v>0.16666666666666666</v>
      </c>
      <c r="E182" t="str">
        <f t="shared" si="5"/>
        <v>No</v>
      </c>
    </row>
    <row r="183" spans="1:5" x14ac:dyDescent="0.3">
      <c r="A183" t="s">
        <v>86</v>
      </c>
      <c r="B183">
        <f>COUNTIF([1]!teams[radiant.name], A183)
+
COUNTIF([1]!teams[dire.name],A183)</f>
        <v>1</v>
      </c>
      <c r="C183">
        <f>COUNTIFS([1]!teams[radiant.name],A183,[2]!main_metadata[radiant_win],TRUE)</f>
        <v>1</v>
      </c>
      <c r="D183" s="1">
        <f t="shared" si="4"/>
        <v>1</v>
      </c>
      <c r="E183" t="str">
        <f t="shared" si="5"/>
        <v>No</v>
      </c>
    </row>
    <row r="184" spans="1:5" x14ac:dyDescent="0.3">
      <c r="A184" t="s">
        <v>191</v>
      </c>
      <c r="B184">
        <f>COUNTIF([1]!teams[radiant.name], A184)
+
COUNTIF([1]!teams[dire.name],A184)</f>
        <v>3</v>
      </c>
      <c r="C184">
        <f>COUNTIFS([1]!teams[radiant.name],A184,[2]!main_metadata[radiant_win],TRUE)</f>
        <v>1</v>
      </c>
      <c r="D184" s="1">
        <f t="shared" si="4"/>
        <v>0.33333333333333331</v>
      </c>
      <c r="E184" t="str">
        <f t="shared" si="5"/>
        <v>No</v>
      </c>
    </row>
    <row r="185" spans="1:5" x14ac:dyDescent="0.3">
      <c r="A185" t="s">
        <v>153</v>
      </c>
      <c r="B185">
        <f>COUNTIF([1]!teams[radiant.name], A185)
+
COUNTIF([1]!teams[dire.name],A185)</f>
        <v>6</v>
      </c>
      <c r="C185">
        <f>COUNTIFS([1]!teams[radiant.name],A185,[2]!main_metadata[radiant_win],TRUE)</f>
        <v>1</v>
      </c>
      <c r="D185" s="1">
        <f t="shared" si="4"/>
        <v>0.16666666666666666</v>
      </c>
      <c r="E185" t="str">
        <f t="shared" si="5"/>
        <v>No</v>
      </c>
    </row>
    <row r="186" spans="1:5" x14ac:dyDescent="0.3">
      <c r="A186" t="s">
        <v>70</v>
      </c>
      <c r="B186">
        <f>COUNTIF([1]!teams[radiant.name], A186)
+
COUNTIF([1]!teams[dire.name],A186)</f>
        <v>0</v>
      </c>
      <c r="C186">
        <f>COUNTIFS([1]!teams[radiant.name],A186,[2]!main_metadata[radiant_win],TRUE)</f>
        <v>0</v>
      </c>
      <c r="D186" s="1" t="e">
        <f t="shared" si="4"/>
        <v>#DIV/0!</v>
      </c>
      <c r="E186" t="str">
        <f t="shared" si="5"/>
        <v>No</v>
      </c>
    </row>
    <row r="187" spans="1:5" x14ac:dyDescent="0.3">
      <c r="A187" t="s">
        <v>150</v>
      </c>
      <c r="B187">
        <f>COUNTIF([1]!teams[radiant.name], A187)
+
COUNTIF([1]!teams[dire.name],A187)</f>
        <v>3</v>
      </c>
      <c r="C187">
        <f>COUNTIFS([1]!teams[radiant.name],A187,[2]!main_metadata[radiant_win],TRUE)</f>
        <v>0</v>
      </c>
      <c r="D187" s="1">
        <f t="shared" si="4"/>
        <v>0</v>
      </c>
      <c r="E187" t="str">
        <f t="shared" si="5"/>
        <v>No</v>
      </c>
    </row>
    <row r="188" spans="1:5" x14ac:dyDescent="0.3">
      <c r="A188" t="s">
        <v>95</v>
      </c>
      <c r="B188">
        <f>COUNTIF([1]!teams[radiant.name], A188)
+
COUNTIF([1]!teams[dire.name],A188)</f>
        <v>6</v>
      </c>
      <c r="C188">
        <f>COUNTIFS([1]!teams[radiant.name],A188,[2]!main_metadata[radiant_win],TRUE)</f>
        <v>2</v>
      </c>
      <c r="D188" s="1">
        <f t="shared" si="4"/>
        <v>0.33333333333333331</v>
      </c>
      <c r="E188" t="str">
        <f t="shared" si="5"/>
        <v>No</v>
      </c>
    </row>
    <row r="189" spans="1:5" x14ac:dyDescent="0.3">
      <c r="A189" t="s">
        <v>37</v>
      </c>
      <c r="B189">
        <f>COUNTIF([1]!teams[radiant.name], A189)
+
COUNTIF([1]!teams[dire.name],A189)</f>
        <v>6</v>
      </c>
      <c r="C189">
        <f>COUNTIFS([1]!teams[radiant.name],A189,[2]!main_metadata[radiant_win],TRUE)</f>
        <v>1</v>
      </c>
      <c r="D189" s="1">
        <f t="shared" si="4"/>
        <v>0.16666666666666666</v>
      </c>
      <c r="E189" t="str">
        <f t="shared" si="5"/>
        <v>No</v>
      </c>
    </row>
    <row r="190" spans="1:5" x14ac:dyDescent="0.3">
      <c r="A190" t="s">
        <v>63</v>
      </c>
      <c r="B190">
        <f>COUNTIF([1]!teams[radiant.name], A190)
+
COUNTIF([1]!teams[dire.name],A190)</f>
        <v>1</v>
      </c>
      <c r="C190">
        <f>COUNTIFS([1]!teams[radiant.name],A190,[2]!main_metadata[radiant_win],TRUE)</f>
        <v>0</v>
      </c>
      <c r="D190" s="1">
        <f t="shared" si="4"/>
        <v>0</v>
      </c>
      <c r="E190" t="str">
        <f t="shared" si="5"/>
        <v>No</v>
      </c>
    </row>
    <row r="191" spans="1:5" x14ac:dyDescent="0.3">
      <c r="A191" t="s">
        <v>48</v>
      </c>
      <c r="B191">
        <f>COUNTIF([1]!teams[radiant.name], A191)
+
COUNTIF([1]!teams[dire.name],A191)</f>
        <v>9</v>
      </c>
      <c r="C191">
        <f>COUNTIFS([1]!teams[radiant.name],A191,[2]!main_metadata[radiant_win],TRUE)</f>
        <v>2</v>
      </c>
      <c r="D191" s="1">
        <f t="shared" si="4"/>
        <v>0.22222222222222221</v>
      </c>
      <c r="E191" t="str">
        <f t="shared" si="5"/>
        <v>No</v>
      </c>
    </row>
    <row r="192" spans="1:5" x14ac:dyDescent="0.3">
      <c r="A192" t="s">
        <v>130</v>
      </c>
      <c r="B192">
        <f>COUNTIF([1]!teams[radiant.name], A192)
+
COUNTIF([1]!teams[dire.name],A192)</f>
        <v>7</v>
      </c>
      <c r="C192">
        <f>COUNTIFS([1]!teams[radiant.name],A192,[2]!main_metadata[radiant_win],TRUE)</f>
        <v>3</v>
      </c>
      <c r="D192" s="1">
        <f t="shared" si="4"/>
        <v>0.42857142857142855</v>
      </c>
      <c r="E192" t="str">
        <f t="shared" si="5"/>
        <v>No</v>
      </c>
    </row>
    <row r="193" spans="1:5" x14ac:dyDescent="0.3">
      <c r="A193" t="s">
        <v>218</v>
      </c>
      <c r="B193">
        <f>COUNTIF([1]!teams[radiant.name], A193)
+
COUNTIF([1]!teams[dire.name],A193)</f>
        <v>3</v>
      </c>
      <c r="C193">
        <f>COUNTIFS([1]!teams[radiant.name],A193,[2]!main_metadata[radiant_win],TRUE)</f>
        <v>0</v>
      </c>
      <c r="D193" s="1">
        <f t="shared" si="4"/>
        <v>0</v>
      </c>
      <c r="E193" t="str">
        <f t="shared" si="5"/>
        <v>No</v>
      </c>
    </row>
    <row r="194" spans="1:5" x14ac:dyDescent="0.3">
      <c r="A194" t="s">
        <v>117</v>
      </c>
      <c r="B194">
        <f>COUNTIF([1]!teams[radiant.name], A194)
+
COUNTIF([1]!teams[dire.name],A194)</f>
        <v>39</v>
      </c>
      <c r="C194">
        <f>COUNTIFS([1]!teams[radiant.name],A194,[2]!main_metadata[radiant_win],TRUE)</f>
        <v>11</v>
      </c>
      <c r="D194" s="1">
        <f t="shared" si="4"/>
        <v>0.28205128205128205</v>
      </c>
      <c r="E194" t="str">
        <f t="shared" si="5"/>
        <v>Yes</v>
      </c>
    </row>
    <row r="195" spans="1:5" x14ac:dyDescent="0.3">
      <c r="A195" t="s">
        <v>126</v>
      </c>
      <c r="B195">
        <f>COUNTIF([1]!teams[radiant.name], A195)
+
COUNTIF([1]!teams[dire.name],A195)</f>
        <v>2</v>
      </c>
      <c r="C195">
        <f>COUNTIFS([1]!teams[radiant.name],A195,[2]!main_metadata[radiant_win],TRUE)</f>
        <v>1</v>
      </c>
      <c r="D195" s="1">
        <f t="shared" ref="D195:D258" si="6">C195/B195</f>
        <v>0.5</v>
      </c>
      <c r="E195" t="str">
        <f t="shared" ref="E195:E258" si="7">IF(B195&gt;=10, "Yes", "No")</f>
        <v>No</v>
      </c>
    </row>
    <row r="196" spans="1:5" x14ac:dyDescent="0.3">
      <c r="A196" t="s">
        <v>233</v>
      </c>
      <c r="B196">
        <f>COUNTIF([1]!teams[radiant.name], A196)
+
COUNTIF([1]!teams[dire.name],A196)</f>
        <v>2</v>
      </c>
      <c r="C196">
        <f>COUNTIFS([1]!teams[radiant.name],A196,[2]!main_metadata[radiant_win],TRUE)</f>
        <v>0</v>
      </c>
      <c r="D196" s="1">
        <f t="shared" si="6"/>
        <v>0</v>
      </c>
      <c r="E196" t="str">
        <f t="shared" si="7"/>
        <v>No</v>
      </c>
    </row>
    <row r="197" spans="1:5" x14ac:dyDescent="0.3">
      <c r="A197" t="s">
        <v>187</v>
      </c>
      <c r="B197">
        <f>COUNTIF([1]!teams[radiant.name], A197)
+
COUNTIF([1]!teams[dire.name],A197)</f>
        <v>1</v>
      </c>
      <c r="C197">
        <f>COUNTIFS([1]!teams[radiant.name],A197,[2]!main_metadata[radiant_win],TRUE)</f>
        <v>0</v>
      </c>
      <c r="D197" s="1">
        <f t="shared" si="6"/>
        <v>0</v>
      </c>
      <c r="E197" t="str">
        <f t="shared" si="7"/>
        <v>No</v>
      </c>
    </row>
    <row r="198" spans="1:5" x14ac:dyDescent="0.3">
      <c r="A198" t="s">
        <v>2</v>
      </c>
      <c r="B198">
        <f>COUNTIF([1]!teams[radiant.name], A198)
+
COUNTIF([1]!teams[dire.name],A198)</f>
        <v>2</v>
      </c>
      <c r="C198">
        <f>COUNTIFS([1]!teams[radiant.name],A198,[2]!main_metadata[radiant_win],TRUE)</f>
        <v>0</v>
      </c>
      <c r="D198" s="1">
        <f t="shared" si="6"/>
        <v>0</v>
      </c>
      <c r="E198" t="str">
        <f t="shared" si="7"/>
        <v>No</v>
      </c>
    </row>
    <row r="199" spans="1:5" x14ac:dyDescent="0.3">
      <c r="A199" t="s">
        <v>206</v>
      </c>
      <c r="B199">
        <f>COUNTIF([1]!teams[radiant.name], A199)
+
COUNTIF([1]!teams[dire.name],A199)</f>
        <v>1</v>
      </c>
      <c r="C199">
        <f>COUNTIFS([1]!teams[radiant.name],A199,[2]!main_metadata[radiant_win],TRUE)</f>
        <v>0</v>
      </c>
      <c r="D199" s="1">
        <f t="shared" si="6"/>
        <v>0</v>
      </c>
      <c r="E199" t="str">
        <f t="shared" si="7"/>
        <v>No</v>
      </c>
    </row>
    <row r="200" spans="1:5" x14ac:dyDescent="0.3">
      <c r="A200" t="s">
        <v>250</v>
      </c>
      <c r="B200">
        <f>COUNTIF([1]!teams[radiant.name], A200)
+
COUNTIF([1]!teams[dire.name],A200)</f>
        <v>1</v>
      </c>
      <c r="C200">
        <f>COUNTIFS([1]!teams[radiant.name],A200,[2]!main_metadata[radiant_win],TRUE)</f>
        <v>0</v>
      </c>
      <c r="D200" s="1">
        <f t="shared" si="6"/>
        <v>0</v>
      </c>
      <c r="E200" t="str">
        <f t="shared" si="7"/>
        <v>No</v>
      </c>
    </row>
    <row r="201" spans="1:5" x14ac:dyDescent="0.3">
      <c r="A201" t="s">
        <v>136</v>
      </c>
      <c r="B201">
        <f>COUNTIF([1]!teams[radiant.name], A201)
+
COUNTIF([1]!teams[dire.name],A201)</f>
        <v>1</v>
      </c>
      <c r="C201">
        <f>COUNTIFS([1]!teams[radiant.name],A201,[2]!main_metadata[radiant_win],TRUE)</f>
        <v>0</v>
      </c>
      <c r="D201" s="1">
        <f t="shared" si="6"/>
        <v>0</v>
      </c>
      <c r="E201" t="str">
        <f t="shared" si="7"/>
        <v>No</v>
      </c>
    </row>
    <row r="202" spans="1:5" x14ac:dyDescent="0.3">
      <c r="A202" t="s">
        <v>46</v>
      </c>
      <c r="B202">
        <f>COUNTIF([1]!teams[radiant.name], A202)
+
COUNTIF([1]!teams[dire.name],A202)</f>
        <v>1</v>
      </c>
      <c r="C202">
        <f>COUNTIFS([1]!teams[radiant.name],A202,[2]!main_metadata[radiant_win],TRUE)</f>
        <v>0</v>
      </c>
      <c r="D202" s="1">
        <f t="shared" si="6"/>
        <v>0</v>
      </c>
      <c r="E202" t="str">
        <f t="shared" si="7"/>
        <v>No</v>
      </c>
    </row>
    <row r="203" spans="1:5" x14ac:dyDescent="0.3">
      <c r="A203" t="s">
        <v>87</v>
      </c>
      <c r="B203">
        <f>COUNTIF([1]!teams[radiant.name], A203)
+
COUNTIF([1]!teams[dire.name],A203)</f>
        <v>1</v>
      </c>
      <c r="C203">
        <f>COUNTIFS([1]!teams[radiant.name],A203,[2]!main_metadata[radiant_win],TRUE)</f>
        <v>0</v>
      </c>
      <c r="D203" s="1">
        <f t="shared" si="6"/>
        <v>0</v>
      </c>
      <c r="E203" t="str">
        <f t="shared" si="7"/>
        <v>No</v>
      </c>
    </row>
    <row r="204" spans="1:5" x14ac:dyDescent="0.3">
      <c r="A204" t="s">
        <v>257</v>
      </c>
      <c r="B204">
        <f>COUNTIF([1]!teams[radiant.name], A204)
+
COUNTIF([1]!teams[dire.name],A204)</f>
        <v>1</v>
      </c>
      <c r="C204">
        <f>COUNTIFS([1]!teams[radiant.name],A204,[2]!main_metadata[radiant_win],TRUE)</f>
        <v>0</v>
      </c>
      <c r="D204" s="1">
        <f t="shared" si="6"/>
        <v>0</v>
      </c>
      <c r="E204" t="str">
        <f t="shared" si="7"/>
        <v>No</v>
      </c>
    </row>
    <row r="205" spans="1:5" x14ac:dyDescent="0.3">
      <c r="A205" t="s">
        <v>199</v>
      </c>
      <c r="B205">
        <f>COUNTIF([1]!teams[radiant.name], A205)
+
COUNTIF([1]!teams[dire.name],A205)</f>
        <v>2</v>
      </c>
      <c r="C205">
        <f>COUNTIFS([1]!teams[radiant.name],A205,[2]!main_metadata[radiant_win],TRUE)</f>
        <v>0</v>
      </c>
      <c r="D205" s="1">
        <f t="shared" si="6"/>
        <v>0</v>
      </c>
      <c r="E205" t="str">
        <f t="shared" si="7"/>
        <v>No</v>
      </c>
    </row>
    <row r="206" spans="1:5" x14ac:dyDescent="0.3">
      <c r="A206" t="s">
        <v>7</v>
      </c>
      <c r="B206">
        <f>COUNTIF([1]!teams[radiant.name], A206)
+
COUNTIF([1]!teams[dire.name],A206)</f>
        <v>1</v>
      </c>
      <c r="C206">
        <f>COUNTIFS([1]!teams[radiant.name],A206,[2]!main_metadata[radiant_win],TRUE)</f>
        <v>0</v>
      </c>
      <c r="D206" s="1">
        <f t="shared" si="6"/>
        <v>0</v>
      </c>
      <c r="E206" t="str">
        <f t="shared" si="7"/>
        <v>No</v>
      </c>
    </row>
    <row r="207" spans="1:5" x14ac:dyDescent="0.3">
      <c r="A207" t="s">
        <v>176</v>
      </c>
      <c r="B207">
        <f>COUNTIF([1]!teams[radiant.name], A207)
+
COUNTIF([1]!teams[dire.name],A207)</f>
        <v>1</v>
      </c>
      <c r="C207">
        <f>COUNTIFS([1]!teams[radiant.name],A207,[2]!main_metadata[radiant_win],TRUE)</f>
        <v>0</v>
      </c>
      <c r="D207" s="1">
        <f t="shared" si="6"/>
        <v>0</v>
      </c>
      <c r="E207" t="str">
        <f t="shared" si="7"/>
        <v>No</v>
      </c>
    </row>
    <row r="208" spans="1:5" x14ac:dyDescent="0.3">
      <c r="A208" t="s">
        <v>170</v>
      </c>
      <c r="B208">
        <f>COUNTIF([1]!teams[radiant.name], A208)
+
COUNTIF([1]!teams[dire.name],A208)</f>
        <v>1</v>
      </c>
      <c r="C208">
        <f>COUNTIFS([1]!teams[radiant.name],A208,[2]!main_metadata[radiant_win],TRUE)</f>
        <v>0</v>
      </c>
      <c r="D208" s="1">
        <f t="shared" si="6"/>
        <v>0</v>
      </c>
      <c r="E208" t="str">
        <f t="shared" si="7"/>
        <v>No</v>
      </c>
    </row>
    <row r="209" spans="1:5" x14ac:dyDescent="0.3">
      <c r="A209" t="s">
        <v>195</v>
      </c>
      <c r="B209">
        <f>COUNTIF([1]!teams[radiant.name], A209)
+
COUNTIF([1]!teams[dire.name],A209)</f>
        <v>6</v>
      </c>
      <c r="C209">
        <f>COUNTIFS([1]!teams[radiant.name],A209,[2]!main_metadata[radiant_win],TRUE)</f>
        <v>3</v>
      </c>
      <c r="D209" s="1">
        <f t="shared" si="6"/>
        <v>0.5</v>
      </c>
      <c r="E209" t="str">
        <f t="shared" si="7"/>
        <v>No</v>
      </c>
    </row>
    <row r="210" spans="1:5" x14ac:dyDescent="0.3">
      <c r="A210" t="s">
        <v>181</v>
      </c>
      <c r="B210">
        <f>COUNTIF([1]!teams[radiant.name], A210)
+
COUNTIF([1]!teams[dire.name],A210)</f>
        <v>1</v>
      </c>
      <c r="C210">
        <f>COUNTIFS([1]!teams[radiant.name],A210,[2]!main_metadata[radiant_win],TRUE)</f>
        <v>0</v>
      </c>
      <c r="D210" s="1">
        <f t="shared" si="6"/>
        <v>0</v>
      </c>
      <c r="E210" t="str">
        <f t="shared" si="7"/>
        <v>No</v>
      </c>
    </row>
    <row r="211" spans="1:5" x14ac:dyDescent="0.3">
      <c r="A211" t="s">
        <v>24</v>
      </c>
      <c r="B211">
        <f>COUNTIF([1]!teams[radiant.name], A211)
+
COUNTIF([1]!teams[dire.name],A211)</f>
        <v>1</v>
      </c>
      <c r="C211">
        <f>COUNTIFS([1]!teams[radiant.name],A211,[2]!main_metadata[radiant_win],TRUE)</f>
        <v>0</v>
      </c>
      <c r="D211" s="1">
        <f t="shared" si="6"/>
        <v>0</v>
      </c>
      <c r="E211" t="str">
        <f t="shared" si="7"/>
        <v>No</v>
      </c>
    </row>
    <row r="212" spans="1:5" x14ac:dyDescent="0.3">
      <c r="A212" t="s">
        <v>119</v>
      </c>
      <c r="B212">
        <f>COUNTIF([1]!teams[radiant.name], A212)
+
COUNTIF([1]!teams[dire.name],A212)</f>
        <v>1</v>
      </c>
      <c r="C212">
        <f>COUNTIFS([1]!teams[radiant.name],A212,[2]!main_metadata[radiant_win],TRUE)</f>
        <v>0</v>
      </c>
      <c r="D212" s="1">
        <f t="shared" si="6"/>
        <v>0</v>
      </c>
      <c r="E212" t="str">
        <f t="shared" si="7"/>
        <v>No</v>
      </c>
    </row>
    <row r="213" spans="1:5" x14ac:dyDescent="0.3">
      <c r="A213" t="s">
        <v>3</v>
      </c>
      <c r="B213">
        <f>COUNTIF([1]!teams[radiant.name], A213)
+
COUNTIF([1]!teams[dire.name],A213)</f>
        <v>1</v>
      </c>
      <c r="C213">
        <f>COUNTIFS([1]!teams[radiant.name],A213,[2]!main_metadata[radiant_win],TRUE)</f>
        <v>0</v>
      </c>
      <c r="D213" s="1">
        <f t="shared" si="6"/>
        <v>0</v>
      </c>
      <c r="E213" t="str">
        <f t="shared" si="7"/>
        <v>No</v>
      </c>
    </row>
    <row r="214" spans="1:5" x14ac:dyDescent="0.3">
      <c r="A214" t="s">
        <v>54</v>
      </c>
      <c r="B214">
        <f>COUNTIF([1]!teams[radiant.name], A214)
+
COUNTIF([1]!teams[dire.name],A214)</f>
        <v>1</v>
      </c>
      <c r="C214">
        <f>COUNTIFS([1]!teams[radiant.name],A214,[2]!main_metadata[radiant_win],TRUE)</f>
        <v>0</v>
      </c>
      <c r="D214" s="1">
        <f t="shared" si="6"/>
        <v>0</v>
      </c>
      <c r="E214" t="str">
        <f t="shared" si="7"/>
        <v>No</v>
      </c>
    </row>
    <row r="215" spans="1:5" x14ac:dyDescent="0.3">
      <c r="A215" t="s">
        <v>129</v>
      </c>
      <c r="B215">
        <f>COUNTIF([1]!teams[radiant.name], A215)
+
COUNTIF([1]!teams[dire.name],A215)</f>
        <v>2</v>
      </c>
      <c r="C215">
        <f>COUNTIFS([1]!teams[radiant.name],A215,[2]!main_metadata[radiant_win],TRUE)</f>
        <v>0</v>
      </c>
      <c r="D215" s="1">
        <f t="shared" si="6"/>
        <v>0</v>
      </c>
      <c r="E215" t="str">
        <f t="shared" si="7"/>
        <v>No</v>
      </c>
    </row>
    <row r="216" spans="1:5" x14ac:dyDescent="0.3">
      <c r="A216" t="s">
        <v>200</v>
      </c>
      <c r="B216">
        <f>COUNTIF([1]!teams[radiant.name], A216)
+
COUNTIF([1]!teams[dire.name],A216)</f>
        <v>1</v>
      </c>
      <c r="C216">
        <f>COUNTIFS([1]!teams[radiant.name],A216,[2]!main_metadata[radiant_win],TRUE)</f>
        <v>0</v>
      </c>
      <c r="D216" s="1">
        <f t="shared" si="6"/>
        <v>0</v>
      </c>
      <c r="E216" t="str">
        <f t="shared" si="7"/>
        <v>No</v>
      </c>
    </row>
    <row r="217" spans="1:5" x14ac:dyDescent="0.3">
      <c r="A217" t="s">
        <v>121</v>
      </c>
      <c r="B217">
        <f>COUNTIF([1]!teams[radiant.name], A217)
+
COUNTIF([1]!teams[dire.name],A217)</f>
        <v>2</v>
      </c>
      <c r="C217">
        <f>COUNTIFS([1]!teams[radiant.name],A217,[2]!main_metadata[radiant_win],TRUE)</f>
        <v>0</v>
      </c>
      <c r="D217" s="1">
        <f t="shared" si="6"/>
        <v>0</v>
      </c>
      <c r="E217" t="str">
        <f t="shared" si="7"/>
        <v>No</v>
      </c>
    </row>
    <row r="218" spans="1:5" x14ac:dyDescent="0.3">
      <c r="A218" t="s">
        <v>33</v>
      </c>
      <c r="B218">
        <f>COUNTIF([1]!teams[radiant.name], A218)
+
COUNTIF([1]!teams[dire.name],A218)</f>
        <v>1</v>
      </c>
      <c r="C218">
        <f>COUNTIFS([1]!teams[radiant.name],A218,[2]!main_metadata[radiant_win],TRUE)</f>
        <v>0</v>
      </c>
      <c r="D218" s="1">
        <f t="shared" si="6"/>
        <v>0</v>
      </c>
      <c r="E218" t="str">
        <f t="shared" si="7"/>
        <v>No</v>
      </c>
    </row>
    <row r="219" spans="1:5" x14ac:dyDescent="0.3">
      <c r="A219" t="s">
        <v>124</v>
      </c>
      <c r="B219">
        <f>COUNTIF([1]!teams[radiant.name], A219)
+
COUNTIF([1]!teams[dire.name],A219)</f>
        <v>2</v>
      </c>
      <c r="C219">
        <f>COUNTIFS([1]!teams[radiant.name],A219,[2]!main_metadata[radiant_win],TRUE)</f>
        <v>0</v>
      </c>
      <c r="D219" s="1">
        <f t="shared" si="6"/>
        <v>0</v>
      </c>
      <c r="E219" t="str">
        <f t="shared" si="7"/>
        <v>No</v>
      </c>
    </row>
    <row r="220" spans="1:5" x14ac:dyDescent="0.3">
      <c r="A220" t="s">
        <v>165</v>
      </c>
      <c r="B220">
        <f>COUNTIF([1]!teams[radiant.name], A220)
+
COUNTIF([1]!teams[dire.name],A220)</f>
        <v>3</v>
      </c>
      <c r="C220">
        <f>COUNTIFS([1]!teams[radiant.name],A220,[2]!main_metadata[radiant_win],TRUE)</f>
        <v>0</v>
      </c>
      <c r="D220" s="1">
        <f t="shared" si="6"/>
        <v>0</v>
      </c>
      <c r="E220" t="str">
        <f t="shared" si="7"/>
        <v>No</v>
      </c>
    </row>
    <row r="221" spans="1:5" x14ac:dyDescent="0.3">
      <c r="A221" t="s">
        <v>137</v>
      </c>
      <c r="B221">
        <f>COUNTIF([1]!teams[radiant.name], A221)
+
COUNTIF([1]!teams[dire.name],A221)</f>
        <v>3</v>
      </c>
      <c r="C221">
        <f>COUNTIFS([1]!teams[radiant.name],A221,[2]!main_metadata[radiant_win],TRUE)</f>
        <v>0</v>
      </c>
      <c r="D221" s="1">
        <f t="shared" si="6"/>
        <v>0</v>
      </c>
      <c r="E221" t="str">
        <f t="shared" si="7"/>
        <v>No</v>
      </c>
    </row>
    <row r="222" spans="1:5" x14ac:dyDescent="0.3">
      <c r="A222" t="s">
        <v>57</v>
      </c>
      <c r="B222">
        <f>COUNTIF([1]!teams[radiant.name], A222)
+
COUNTIF([1]!teams[dire.name],A222)</f>
        <v>3</v>
      </c>
      <c r="C222">
        <f>COUNTIFS([1]!teams[radiant.name],A222,[2]!main_metadata[radiant_win],TRUE)</f>
        <v>0</v>
      </c>
      <c r="D222" s="1">
        <f t="shared" si="6"/>
        <v>0</v>
      </c>
      <c r="E222" t="str">
        <f t="shared" si="7"/>
        <v>No</v>
      </c>
    </row>
    <row r="223" spans="1:5" x14ac:dyDescent="0.3">
      <c r="A223" t="s">
        <v>242</v>
      </c>
      <c r="B223">
        <f>COUNTIF([1]!teams[radiant.name], A223)
+
COUNTIF([1]!teams[dire.name],A223)</f>
        <v>1</v>
      </c>
      <c r="C223">
        <f>COUNTIFS([1]!teams[radiant.name],A223,[2]!main_metadata[radiant_win],TRUE)</f>
        <v>0</v>
      </c>
      <c r="D223" s="1">
        <f t="shared" si="6"/>
        <v>0</v>
      </c>
      <c r="E223" t="str">
        <f t="shared" si="7"/>
        <v>No</v>
      </c>
    </row>
    <row r="224" spans="1:5" x14ac:dyDescent="0.3">
      <c r="A224" t="s">
        <v>171</v>
      </c>
      <c r="B224">
        <f>COUNTIF([1]!teams[radiant.name], A224)
+
COUNTIF([1]!teams[dire.name],A224)</f>
        <v>1</v>
      </c>
      <c r="C224">
        <f>COUNTIFS([1]!teams[radiant.name],A224,[2]!main_metadata[radiant_win],TRUE)</f>
        <v>0</v>
      </c>
      <c r="D224" s="1">
        <f t="shared" si="6"/>
        <v>0</v>
      </c>
      <c r="E224" t="str">
        <f t="shared" si="7"/>
        <v>No</v>
      </c>
    </row>
    <row r="225" spans="1:5" x14ac:dyDescent="0.3">
      <c r="A225" t="s">
        <v>36</v>
      </c>
      <c r="B225">
        <f>COUNTIF([1]!teams[radiant.name], A225)
+
COUNTIF([1]!teams[dire.name],A225)</f>
        <v>1</v>
      </c>
      <c r="C225">
        <f>COUNTIFS([1]!teams[radiant.name],A225,[2]!main_metadata[radiant_win],TRUE)</f>
        <v>0</v>
      </c>
      <c r="D225" s="1">
        <f t="shared" si="6"/>
        <v>0</v>
      </c>
      <c r="E225" t="str">
        <f t="shared" si="7"/>
        <v>No</v>
      </c>
    </row>
    <row r="226" spans="1:5" x14ac:dyDescent="0.3">
      <c r="A226" t="s">
        <v>16</v>
      </c>
      <c r="B226">
        <f>COUNTIF([1]!teams[radiant.name], A226)
+
COUNTIF([1]!teams[dire.name],A226)</f>
        <v>1</v>
      </c>
      <c r="C226">
        <f>COUNTIFS([1]!teams[radiant.name],A226,[2]!main_metadata[radiant_win],TRUE)</f>
        <v>0</v>
      </c>
      <c r="D226" s="1">
        <f t="shared" si="6"/>
        <v>0</v>
      </c>
      <c r="E226" t="str">
        <f t="shared" si="7"/>
        <v>No</v>
      </c>
    </row>
    <row r="227" spans="1:5" x14ac:dyDescent="0.3">
      <c r="A227" t="s">
        <v>22</v>
      </c>
      <c r="B227">
        <f>COUNTIF([1]!teams[radiant.name], A227)
+
COUNTIF([1]!teams[dire.name],A227)</f>
        <v>1</v>
      </c>
      <c r="C227">
        <f>COUNTIFS([1]!teams[radiant.name],A227,[2]!main_metadata[radiant_win],TRUE)</f>
        <v>0</v>
      </c>
      <c r="D227" s="1">
        <f t="shared" si="6"/>
        <v>0</v>
      </c>
      <c r="E227" t="str">
        <f t="shared" si="7"/>
        <v>No</v>
      </c>
    </row>
    <row r="228" spans="1:5" x14ac:dyDescent="0.3">
      <c r="A228" t="s">
        <v>132</v>
      </c>
      <c r="B228">
        <f>COUNTIF([1]!teams[radiant.name], A228)
+
COUNTIF([1]!teams[dire.name],A228)</f>
        <v>1</v>
      </c>
      <c r="C228">
        <f>COUNTIFS([1]!teams[radiant.name],A228,[2]!main_metadata[radiant_win],TRUE)</f>
        <v>0</v>
      </c>
      <c r="D228" s="1">
        <f t="shared" si="6"/>
        <v>0</v>
      </c>
      <c r="E228" t="str">
        <f t="shared" si="7"/>
        <v>No</v>
      </c>
    </row>
    <row r="229" spans="1:5" x14ac:dyDescent="0.3">
      <c r="A229" t="s">
        <v>109</v>
      </c>
      <c r="B229">
        <f>COUNTIF([1]!teams[radiant.name], A229)
+
COUNTIF([1]!teams[dire.name],A229)</f>
        <v>1</v>
      </c>
      <c r="C229">
        <f>COUNTIFS([1]!teams[radiant.name],A229,[2]!main_metadata[radiant_win],TRUE)</f>
        <v>0</v>
      </c>
      <c r="D229" s="1">
        <f t="shared" si="6"/>
        <v>0</v>
      </c>
      <c r="E229" t="str">
        <f t="shared" si="7"/>
        <v>No</v>
      </c>
    </row>
    <row r="230" spans="1:5" x14ac:dyDescent="0.3">
      <c r="A230" t="s">
        <v>67</v>
      </c>
      <c r="B230">
        <f>COUNTIF([1]!teams[radiant.name], A230)
+
COUNTIF([1]!teams[dire.name],A230)</f>
        <v>1</v>
      </c>
      <c r="C230">
        <f>COUNTIFS([1]!teams[radiant.name],A230,[2]!main_metadata[radiant_win],TRUE)</f>
        <v>0</v>
      </c>
      <c r="D230" s="1">
        <f t="shared" si="6"/>
        <v>0</v>
      </c>
      <c r="E230" t="str">
        <f t="shared" si="7"/>
        <v>No</v>
      </c>
    </row>
    <row r="231" spans="1:5" x14ac:dyDescent="0.3">
      <c r="A231" t="s">
        <v>123</v>
      </c>
      <c r="B231">
        <f>COUNTIF([1]!teams[radiant.name], A231)
+
COUNTIF([1]!teams[dire.name],A231)</f>
        <v>1</v>
      </c>
      <c r="C231">
        <f>COUNTIFS([1]!teams[radiant.name],A231,[2]!main_metadata[radiant_win],TRUE)</f>
        <v>0</v>
      </c>
      <c r="D231" s="1">
        <f t="shared" si="6"/>
        <v>0</v>
      </c>
      <c r="E231" t="str">
        <f t="shared" si="7"/>
        <v>No</v>
      </c>
    </row>
    <row r="232" spans="1:5" x14ac:dyDescent="0.3">
      <c r="A232" t="s">
        <v>89</v>
      </c>
      <c r="B232">
        <f>COUNTIF([1]!teams[radiant.name], A232)
+
COUNTIF([1]!teams[dire.name],A232)</f>
        <v>1</v>
      </c>
      <c r="C232">
        <f>COUNTIFS([1]!teams[radiant.name],A232,[2]!main_metadata[radiant_win],TRUE)</f>
        <v>0</v>
      </c>
      <c r="D232" s="1">
        <f t="shared" si="6"/>
        <v>0</v>
      </c>
      <c r="E232" t="str">
        <f t="shared" si="7"/>
        <v>No</v>
      </c>
    </row>
    <row r="233" spans="1:5" x14ac:dyDescent="0.3">
      <c r="A233" t="s">
        <v>90</v>
      </c>
      <c r="B233">
        <f>COUNTIF([1]!teams[radiant.name], A233)
+
COUNTIF([1]!teams[dire.name],A233)</f>
        <v>1</v>
      </c>
      <c r="C233">
        <f>COUNTIFS([1]!teams[radiant.name],A233,[2]!main_metadata[radiant_win],TRUE)</f>
        <v>0</v>
      </c>
      <c r="D233" s="1">
        <f t="shared" si="6"/>
        <v>0</v>
      </c>
      <c r="E233" t="str">
        <f t="shared" si="7"/>
        <v>No</v>
      </c>
    </row>
    <row r="234" spans="1:5" x14ac:dyDescent="0.3">
      <c r="A234" t="s">
        <v>91</v>
      </c>
      <c r="B234">
        <f>COUNTIF([1]!teams[radiant.name], A234)
+
COUNTIF([1]!teams[dire.name],A234)</f>
        <v>2</v>
      </c>
      <c r="C234">
        <f>COUNTIFS([1]!teams[radiant.name],A234,[2]!main_metadata[radiant_win],TRUE)</f>
        <v>0</v>
      </c>
      <c r="D234" s="1">
        <f t="shared" si="6"/>
        <v>0</v>
      </c>
      <c r="E234" t="str">
        <f t="shared" si="7"/>
        <v>No</v>
      </c>
    </row>
    <row r="235" spans="1:5" x14ac:dyDescent="0.3">
      <c r="A235" t="s">
        <v>243</v>
      </c>
      <c r="B235">
        <f>COUNTIF([1]!teams[radiant.name], A235)
+
COUNTIF([1]!teams[dire.name],A235)</f>
        <v>1</v>
      </c>
      <c r="C235">
        <f>COUNTIFS([1]!teams[radiant.name],A235,[2]!main_metadata[radiant_win],TRUE)</f>
        <v>0</v>
      </c>
      <c r="D235" s="1">
        <f t="shared" si="6"/>
        <v>0</v>
      </c>
      <c r="E235" t="str">
        <f t="shared" si="7"/>
        <v>No</v>
      </c>
    </row>
    <row r="236" spans="1:5" x14ac:dyDescent="0.3">
      <c r="A236" t="s">
        <v>80</v>
      </c>
      <c r="B236">
        <f>COUNTIF([1]!teams[radiant.name], A236)
+
COUNTIF([1]!teams[dire.name],A236)</f>
        <v>1</v>
      </c>
      <c r="C236">
        <f>COUNTIFS([1]!teams[radiant.name],A236,[2]!main_metadata[radiant_win],TRUE)</f>
        <v>0</v>
      </c>
      <c r="D236" s="1">
        <f t="shared" si="6"/>
        <v>0</v>
      </c>
      <c r="E236" t="str">
        <f t="shared" si="7"/>
        <v>No</v>
      </c>
    </row>
    <row r="237" spans="1:5" x14ac:dyDescent="0.3">
      <c r="A237" t="s">
        <v>105</v>
      </c>
      <c r="B237">
        <f>COUNTIF([1]!teams[radiant.name], A237)
+
COUNTIF([1]!teams[dire.name],A237)</f>
        <v>1</v>
      </c>
      <c r="C237">
        <f>COUNTIFS([1]!teams[radiant.name],A237,[2]!main_metadata[radiant_win],TRUE)</f>
        <v>0</v>
      </c>
      <c r="D237" s="1">
        <f t="shared" si="6"/>
        <v>0</v>
      </c>
      <c r="E237" t="str">
        <f t="shared" si="7"/>
        <v>No</v>
      </c>
    </row>
    <row r="238" spans="1:5" x14ac:dyDescent="0.3">
      <c r="A238" t="s">
        <v>115</v>
      </c>
      <c r="B238">
        <f>COUNTIF([1]!teams[radiant.name], A238)
+
COUNTIF([1]!teams[dire.name],A238)</f>
        <v>1</v>
      </c>
      <c r="C238">
        <f>COUNTIFS([1]!teams[radiant.name],A238,[2]!main_metadata[radiant_win],TRUE)</f>
        <v>0</v>
      </c>
      <c r="D238" s="1">
        <f t="shared" si="6"/>
        <v>0</v>
      </c>
      <c r="E238" t="str">
        <f t="shared" si="7"/>
        <v>No</v>
      </c>
    </row>
    <row r="239" spans="1:5" x14ac:dyDescent="0.3">
      <c r="A239" t="s">
        <v>62</v>
      </c>
      <c r="B239">
        <f>COUNTIF([1]!teams[radiant.name], A239)
+
COUNTIF([1]!teams[dire.name],A239)</f>
        <v>1</v>
      </c>
      <c r="C239">
        <f>COUNTIFS([1]!teams[radiant.name],A239,[2]!main_metadata[radiant_win],TRUE)</f>
        <v>0</v>
      </c>
      <c r="D239" s="1">
        <f t="shared" si="6"/>
        <v>0</v>
      </c>
      <c r="E239" t="str">
        <f t="shared" si="7"/>
        <v>No</v>
      </c>
    </row>
    <row r="240" spans="1:5" x14ac:dyDescent="0.3">
      <c r="A240" t="s">
        <v>197</v>
      </c>
      <c r="B240">
        <f>COUNTIF([1]!teams[radiant.name], A240)
+
COUNTIF([1]!teams[dire.name],A240)</f>
        <v>1</v>
      </c>
      <c r="C240">
        <f>COUNTIFS([1]!teams[radiant.name],A240,[2]!main_metadata[radiant_win],TRUE)</f>
        <v>0</v>
      </c>
      <c r="D240" s="1">
        <f t="shared" si="6"/>
        <v>0</v>
      </c>
      <c r="E240" t="str">
        <f t="shared" si="7"/>
        <v>No</v>
      </c>
    </row>
    <row r="241" spans="1:5" x14ac:dyDescent="0.3">
      <c r="A241" t="s">
        <v>252</v>
      </c>
      <c r="B241">
        <f>COUNTIF([1]!teams[radiant.name], A241)
+
COUNTIF([1]!teams[dire.name],A241)</f>
        <v>1</v>
      </c>
      <c r="C241">
        <f>COUNTIFS([1]!teams[radiant.name],A241,[2]!main_metadata[radiant_win],TRUE)</f>
        <v>0</v>
      </c>
      <c r="D241" s="1">
        <f t="shared" si="6"/>
        <v>0</v>
      </c>
      <c r="E241" t="str">
        <f t="shared" si="7"/>
        <v>No</v>
      </c>
    </row>
    <row r="242" spans="1:5" x14ac:dyDescent="0.3">
      <c r="A242" t="s">
        <v>162</v>
      </c>
      <c r="B242">
        <f>COUNTIF([1]!teams[radiant.name], A242)
+
COUNTIF([1]!teams[dire.name],A242)</f>
        <v>6</v>
      </c>
      <c r="C242">
        <f>COUNTIFS([1]!teams[radiant.name],A242,[2]!main_metadata[radiant_win],TRUE)</f>
        <v>0</v>
      </c>
      <c r="D242" s="1">
        <f t="shared" si="6"/>
        <v>0</v>
      </c>
      <c r="E242" t="str">
        <f t="shared" si="7"/>
        <v>No</v>
      </c>
    </row>
    <row r="243" spans="1:5" x14ac:dyDescent="0.3">
      <c r="A243" t="s">
        <v>156</v>
      </c>
      <c r="B243">
        <f>COUNTIF([1]!teams[radiant.name], A243)
+
COUNTIF([1]!teams[dire.name],A243)</f>
        <v>9</v>
      </c>
      <c r="C243">
        <f>COUNTIFS([1]!teams[radiant.name],A243,[2]!main_metadata[radiant_win],TRUE)</f>
        <v>0</v>
      </c>
      <c r="D243" s="1">
        <f t="shared" si="6"/>
        <v>0</v>
      </c>
      <c r="E243" t="str">
        <f t="shared" si="7"/>
        <v>No</v>
      </c>
    </row>
    <row r="244" spans="1:5" x14ac:dyDescent="0.3">
      <c r="A244" t="s">
        <v>58</v>
      </c>
      <c r="B244">
        <f>COUNTIF([1]!teams[radiant.name], A244)
+
COUNTIF([1]!teams[dire.name],A244)</f>
        <v>5</v>
      </c>
      <c r="C244">
        <f>COUNTIFS([1]!teams[radiant.name],A244,[2]!main_metadata[radiant_win],TRUE)</f>
        <v>0</v>
      </c>
      <c r="D244" s="1">
        <f t="shared" si="6"/>
        <v>0</v>
      </c>
      <c r="E244" t="str">
        <f t="shared" si="7"/>
        <v>No</v>
      </c>
    </row>
    <row r="245" spans="1:5" x14ac:dyDescent="0.3">
      <c r="A245" t="s">
        <v>248</v>
      </c>
      <c r="B245">
        <f>COUNTIF([1]!teams[radiant.name], A245)
+
COUNTIF([1]!teams[dire.name],A245)</f>
        <v>6</v>
      </c>
      <c r="C245">
        <f>COUNTIFS([1]!teams[radiant.name],A245,[2]!main_metadata[radiant_win],TRUE)</f>
        <v>0</v>
      </c>
      <c r="D245" s="1">
        <f t="shared" si="6"/>
        <v>0</v>
      </c>
      <c r="E245" t="str">
        <f t="shared" si="7"/>
        <v>No</v>
      </c>
    </row>
    <row r="246" spans="1:5" x14ac:dyDescent="0.3">
      <c r="A246" t="s">
        <v>74</v>
      </c>
      <c r="B246">
        <f>COUNTIF([1]!teams[radiant.name], A246)
+
COUNTIF([1]!teams[dire.name],A246)</f>
        <v>12</v>
      </c>
      <c r="C246">
        <f>COUNTIFS([1]!teams[radiant.name],A246,[2]!main_metadata[radiant_win],TRUE)</f>
        <v>0</v>
      </c>
      <c r="D246" s="1">
        <f t="shared" si="6"/>
        <v>0</v>
      </c>
      <c r="E246" t="str">
        <f t="shared" si="7"/>
        <v>Yes</v>
      </c>
    </row>
    <row r="247" spans="1:5" x14ac:dyDescent="0.3">
      <c r="A247" t="s">
        <v>144</v>
      </c>
      <c r="B247">
        <f>COUNTIF([1]!teams[radiant.name], A247)
+
COUNTIF([1]!teams[dire.name],A247)</f>
        <v>1</v>
      </c>
      <c r="C247">
        <f>COUNTIFS([1]!teams[radiant.name],A247,[2]!main_metadata[radiant_win],TRUE)</f>
        <v>0</v>
      </c>
      <c r="D247" s="1">
        <f t="shared" si="6"/>
        <v>0</v>
      </c>
      <c r="E247" t="str">
        <f t="shared" si="7"/>
        <v>No</v>
      </c>
    </row>
    <row r="248" spans="1:5" x14ac:dyDescent="0.3">
      <c r="A248" t="s">
        <v>202</v>
      </c>
      <c r="B248">
        <f>COUNTIF([1]!teams[radiant.name], A248)
+
COUNTIF([1]!teams[dire.name],A248)</f>
        <v>2</v>
      </c>
      <c r="C248">
        <f>COUNTIFS([1]!teams[radiant.name],A248,[2]!main_metadata[radiant_win],TRUE)</f>
        <v>0</v>
      </c>
      <c r="D248" s="1">
        <f t="shared" si="6"/>
        <v>0</v>
      </c>
      <c r="E248" t="str">
        <f t="shared" si="7"/>
        <v>No</v>
      </c>
    </row>
    <row r="249" spans="1:5" x14ac:dyDescent="0.3">
      <c r="A249" t="s">
        <v>138</v>
      </c>
      <c r="B249">
        <f>COUNTIF([1]!teams[radiant.name], A249)
+
COUNTIF([1]!teams[dire.name],A249)</f>
        <v>1</v>
      </c>
      <c r="C249">
        <f>COUNTIFS([1]!teams[radiant.name],A249,[2]!main_metadata[radiant_win],TRUE)</f>
        <v>0</v>
      </c>
      <c r="D249" s="1">
        <f t="shared" si="6"/>
        <v>0</v>
      </c>
      <c r="E249" t="str">
        <f t="shared" si="7"/>
        <v>No</v>
      </c>
    </row>
    <row r="250" spans="1:5" x14ac:dyDescent="0.3">
      <c r="A250" t="s">
        <v>27</v>
      </c>
      <c r="B250">
        <f>COUNTIF([1]!teams[radiant.name], A250)
+
COUNTIF([1]!teams[dire.name],A250)</f>
        <v>2</v>
      </c>
      <c r="C250">
        <f>COUNTIFS([1]!teams[radiant.name],A250,[2]!main_metadata[radiant_win],TRUE)</f>
        <v>0</v>
      </c>
      <c r="D250" s="1">
        <f t="shared" si="6"/>
        <v>0</v>
      </c>
      <c r="E250" t="str">
        <f t="shared" si="7"/>
        <v>No</v>
      </c>
    </row>
    <row r="251" spans="1:5" x14ac:dyDescent="0.3">
      <c r="A251" t="s">
        <v>113</v>
      </c>
      <c r="B251">
        <f>COUNTIF([1]!teams[radiant.name], A251)
+
COUNTIF([1]!teams[dire.name],A251)</f>
        <v>1</v>
      </c>
      <c r="C251">
        <f>COUNTIFS([1]!teams[radiant.name],A251,[2]!main_metadata[radiant_win],TRUE)</f>
        <v>0</v>
      </c>
      <c r="D251" s="1">
        <f t="shared" si="6"/>
        <v>0</v>
      </c>
      <c r="E251" t="str">
        <f t="shared" si="7"/>
        <v>No</v>
      </c>
    </row>
    <row r="252" spans="1:5" x14ac:dyDescent="0.3">
      <c r="A252" t="s">
        <v>53</v>
      </c>
      <c r="B252">
        <f>COUNTIF([1]!teams[radiant.name], A252)
+
COUNTIF([1]!teams[dire.name],A252)</f>
        <v>2</v>
      </c>
      <c r="C252">
        <f>COUNTIFS([1]!teams[radiant.name],A252,[2]!main_metadata[radiant_win],TRUE)</f>
        <v>0</v>
      </c>
      <c r="D252" s="1">
        <f t="shared" si="6"/>
        <v>0</v>
      </c>
      <c r="E252" t="str">
        <f t="shared" si="7"/>
        <v>No</v>
      </c>
    </row>
    <row r="253" spans="1:5" x14ac:dyDescent="0.3">
      <c r="A253" t="s">
        <v>78</v>
      </c>
      <c r="B253">
        <f>COUNTIF([1]!teams[radiant.name], A253)
+
COUNTIF([1]!teams[dire.name],A253)</f>
        <v>1</v>
      </c>
      <c r="C253">
        <f>COUNTIFS([1]!teams[radiant.name],A253,[2]!main_metadata[radiant_win],TRUE)</f>
        <v>0</v>
      </c>
      <c r="D253" s="1">
        <f t="shared" si="6"/>
        <v>0</v>
      </c>
      <c r="E253" t="str">
        <f t="shared" si="7"/>
        <v>No</v>
      </c>
    </row>
    <row r="254" spans="1:5" x14ac:dyDescent="0.3">
      <c r="A254" t="s">
        <v>104</v>
      </c>
      <c r="B254">
        <f>COUNTIF([1]!teams[radiant.name], A254)
+
COUNTIF([1]!teams[dire.name],A254)</f>
        <v>1</v>
      </c>
      <c r="C254">
        <f>COUNTIFS([1]!teams[radiant.name],A254,[2]!main_metadata[radiant_win],TRUE)</f>
        <v>0</v>
      </c>
      <c r="D254" s="1">
        <f t="shared" si="6"/>
        <v>0</v>
      </c>
      <c r="E254" t="str">
        <f t="shared" si="7"/>
        <v>No</v>
      </c>
    </row>
    <row r="255" spans="1:5" x14ac:dyDescent="0.3">
      <c r="A255" t="s">
        <v>99</v>
      </c>
      <c r="B255">
        <f>COUNTIF([1]!teams[radiant.name], A255)
+
COUNTIF([1]!teams[dire.name],A255)</f>
        <v>1</v>
      </c>
      <c r="C255">
        <f>COUNTIFS([1]!teams[radiant.name],A255,[2]!main_metadata[radiant_win],TRUE)</f>
        <v>0</v>
      </c>
      <c r="D255" s="1">
        <f t="shared" si="6"/>
        <v>0</v>
      </c>
      <c r="E255" t="str">
        <f t="shared" si="7"/>
        <v>No</v>
      </c>
    </row>
    <row r="256" spans="1:5" x14ac:dyDescent="0.3">
      <c r="A256" t="s">
        <v>178</v>
      </c>
      <c r="B256">
        <f>COUNTIF([1]!teams[radiant.name], A256)
+
COUNTIF([1]!teams[dire.name],A256)</f>
        <v>1</v>
      </c>
      <c r="C256">
        <f>COUNTIFS([1]!teams[radiant.name],A256,[2]!main_metadata[radiant_win],TRUE)</f>
        <v>0</v>
      </c>
      <c r="D256" s="1">
        <f t="shared" si="6"/>
        <v>0</v>
      </c>
      <c r="E256" t="str">
        <f t="shared" si="7"/>
        <v>No</v>
      </c>
    </row>
    <row r="257" spans="1:5" x14ac:dyDescent="0.3">
      <c r="A257" t="s">
        <v>45</v>
      </c>
      <c r="B257">
        <f>COUNTIF([1]!teams[radiant.name], A257)
+
COUNTIF([1]!teams[dire.name],A257)</f>
        <v>1</v>
      </c>
      <c r="C257">
        <f>COUNTIFS([1]!teams[radiant.name],A257,[2]!main_metadata[radiant_win],TRUE)</f>
        <v>0</v>
      </c>
      <c r="D257" s="1">
        <f t="shared" si="6"/>
        <v>0</v>
      </c>
      <c r="E257" t="str">
        <f t="shared" si="7"/>
        <v>No</v>
      </c>
    </row>
    <row r="258" spans="1:5" x14ac:dyDescent="0.3">
      <c r="A258" t="s">
        <v>49</v>
      </c>
      <c r="B258">
        <f>COUNTIF([1]!teams[radiant.name], A258)
+
COUNTIF([1]!teams[dire.name],A258)</f>
        <v>2</v>
      </c>
      <c r="C258">
        <f>COUNTIFS([1]!teams[radiant.name],A258,[2]!main_metadata[radiant_win],TRUE)</f>
        <v>0</v>
      </c>
      <c r="D258" s="1">
        <f t="shared" si="6"/>
        <v>0</v>
      </c>
      <c r="E258" t="str">
        <f t="shared" si="7"/>
        <v>No</v>
      </c>
    </row>
    <row r="259" spans="1:5" x14ac:dyDescent="0.3">
      <c r="A259" t="s">
        <v>201</v>
      </c>
      <c r="B259">
        <f>COUNTIF([1]!teams[radiant.name], A259)
+
COUNTIF([1]!teams[dire.name],A259)</f>
        <v>1</v>
      </c>
      <c r="C259">
        <f>COUNTIFS([1]!teams[radiant.name],A259,[2]!main_metadata[radiant_win],TRUE)</f>
        <v>0</v>
      </c>
      <c r="D259" s="1">
        <f t="shared" ref="D259:D261" si="8">C259/B259</f>
        <v>0</v>
      </c>
      <c r="E259" t="str">
        <f t="shared" ref="E259:E261" si="9">IF(B259&gt;=10, "Yes", "No")</f>
        <v>No</v>
      </c>
    </row>
    <row r="260" spans="1:5" x14ac:dyDescent="0.3">
      <c r="A260" t="s">
        <v>60</v>
      </c>
      <c r="B260">
        <f>COUNTIF([1]!teams[radiant.name], A260)
+
COUNTIF([1]!teams[dire.name],A260)</f>
        <v>3</v>
      </c>
      <c r="C260">
        <f>COUNTIFS([1]!teams[radiant.name],A260,[2]!main_metadata[radiant_win],TRUE)</f>
        <v>0</v>
      </c>
      <c r="D260" s="1">
        <f t="shared" si="8"/>
        <v>0</v>
      </c>
      <c r="E260" t="str">
        <f t="shared" si="9"/>
        <v>No</v>
      </c>
    </row>
    <row r="261" spans="1:5" x14ac:dyDescent="0.3">
      <c r="A261" t="s">
        <v>213</v>
      </c>
      <c r="B261">
        <f>COUNTIF([1]!teams[radiant.name], A261)
+
COUNTIF([1]!teams[dire.name],A261)</f>
        <v>1</v>
      </c>
      <c r="C261">
        <f>COUNTIFS([1]!teams[radiant.name],A261,[2]!main_metadata[radiant_win],TRUE)</f>
        <v>0</v>
      </c>
      <c r="D261" s="1">
        <f t="shared" si="8"/>
        <v>0</v>
      </c>
      <c r="E261" t="str">
        <f t="shared" si="9"/>
        <v>No</v>
      </c>
    </row>
  </sheetData>
  <hyperlinks>
    <hyperlink ref="A47" r:id="rId1" display="http://virtus.pro/" xr:uid="{6F8D5A37-1AE3-4164-BF5C-7842D1F37F8C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F9B3-1F92-45E4-9F86-DC567399C82D}">
  <dimension ref="A1:K220"/>
  <sheetViews>
    <sheetView tabSelected="1" topLeftCell="A195" workbookViewId="0">
      <selection activeCell="K208" sqref="K208"/>
    </sheetView>
  </sheetViews>
  <sheetFormatPr defaultRowHeight="14.4" x14ac:dyDescent="0.3"/>
  <cols>
    <col min="1" max="1" width="14.109375" bestFit="1" customWidth="1"/>
    <col min="2" max="2" width="10.5546875" bestFit="1" customWidth="1"/>
    <col min="3" max="3" width="11.77734375" bestFit="1" customWidth="1"/>
    <col min="4" max="4" width="11.77734375" customWidth="1"/>
    <col min="5" max="5" width="10" bestFit="1" customWidth="1"/>
    <col min="6" max="6" width="8.21875" bestFit="1" customWidth="1"/>
    <col min="7" max="8" width="8.5546875" bestFit="1" customWidth="1"/>
  </cols>
  <sheetData>
    <row r="1" spans="1:11" x14ac:dyDescent="0.3">
      <c r="A1" t="s">
        <v>264</v>
      </c>
      <c r="B1" t="s">
        <v>271</v>
      </c>
      <c r="C1" t="s">
        <v>260</v>
      </c>
      <c r="D1" t="s">
        <v>266</v>
      </c>
      <c r="E1" t="s">
        <v>261</v>
      </c>
      <c r="F1" t="s">
        <v>262</v>
      </c>
      <c r="G1" t="s">
        <v>267</v>
      </c>
      <c r="H1" t="s">
        <v>268</v>
      </c>
      <c r="J1" t="s">
        <v>269</v>
      </c>
      <c r="K1" t="s">
        <v>270</v>
      </c>
    </row>
    <row r="2" spans="1:11" x14ac:dyDescent="0.3">
      <c r="A2" cm="1">
        <f t="array" ref="A2:A220">_xlfn._xlws.SORT(_xlfn.UNIQUE(player_hero_summary!A2:A2319))</f>
        <v>423</v>
      </c>
      <c r="B2" t="str" cm="1">
        <f t="array" ref="B2" xml:space="preserve">
_xlfn.XLOOKUP(
1,
(player_hero_summary!A:A=A2)*(player_hero_summary!D:D=_xlfn.MAXIFS(player_hero_summary!D:D, player_hero_summary!A:A, A2)),
player_hero_summary!B:B
)</f>
        <v>Terrorblade</v>
      </c>
      <c r="C2">
        <f>COUNTIFS([3]!players[name],A2)</f>
        <v>27</v>
      </c>
      <c r="D2" t="str" cm="1">
        <f t="array" ref="D2" xml:space="preserve">
_xlfn.XLOOKUP(
1,
(player_hero_summary!A:A=A2)*(player_hero_summary!D:D=_xlfn.MAXIFS(player_hero_summary!D:D, player_hero_summary!A:A, A2)),
player_hero_summary!C:C
)</f>
        <v>Carry</v>
      </c>
      <c r="E2">
        <f>COUNTIFS([3]!players[name],A2, [3]!players[win], 1)</f>
        <v>19</v>
      </c>
      <c r="F2" s="1">
        <f>E2/C2</f>
        <v>0.70370370370370372</v>
      </c>
      <c r="G2" s="2">
        <f>AVERAGEIFS([3]!players[gold_per_min], [3]!players[name],A2)</f>
        <v>758.81481481481478</v>
      </c>
      <c r="H2" s="2">
        <f>AVERAGEIFS([3]!players[xp_per_min], [3]!players[name],A2)</f>
        <v>846.55555555555554</v>
      </c>
      <c r="J2" t="str" cm="1">
        <f t="array" ref="J2:J3">_xlfn.UNIQUE(_xlfn._xlws.FILTER([3]!players[lane_name],[3]!players[name]=A2))</f>
        <v>Carry</v>
      </c>
    </row>
    <row r="3" spans="1:11" x14ac:dyDescent="0.3">
      <c r="A3">
        <v>999</v>
      </c>
      <c r="B3" t="str" cm="1">
        <f t="array" ref="B3" xml:space="preserve">
_xlfn.XLOOKUP(1, (player_hero_summary!A:A=A3)*(player_hero_summary!D:D=_xlfn.MAXIFS(player_hero_summary!D:D, player_hero_summary!A:A, A3)),player_hero_summary!B:B
)</f>
        <v>Tusk</v>
      </c>
      <c r="C3">
        <f>COUNTIFS([3]!players[name],A3)</f>
        <v>21</v>
      </c>
      <c r="D3" t="str" cm="1">
        <f t="array" ref="D3" xml:space="preserve">
_xlfn.XLOOKUP(
1,
(player_hero_summary!A:A=A3)*(player_hero_summary!D:D=_xlfn.MAXIFS(player_hero_summary!D:D, player_hero_summary!A:A, A3)),
player_hero_summary!C:C
)</f>
        <v>Hard Support</v>
      </c>
      <c r="E3">
        <f>COUNTIFS([3]!players[name],A3, [3]!players[win], 1)</f>
        <v>11</v>
      </c>
      <c r="F3" s="1">
        <f t="shared" ref="F3:F66" si="0">E3/C3</f>
        <v>0.52380952380952384</v>
      </c>
      <c r="G3" s="2">
        <f>AVERAGEIFS([3]!players[gold_per_min], [3]!players[name],A3)</f>
        <v>305.90476190476193</v>
      </c>
      <c r="H3" s="2">
        <f>AVERAGEIFS([3]!players[xp_per_min], [3]!players[name],A3)</f>
        <v>427.33333333333331</v>
      </c>
      <c r="J3" t="str">
        <v>Off Lane</v>
      </c>
    </row>
    <row r="4" spans="1:11" x14ac:dyDescent="0.3">
      <c r="A4" t="str">
        <v xml:space="preserve"> chipikao</v>
      </c>
      <c r="B4" t="str" cm="1">
        <f t="array" ref="B4" xml:space="preserve">
_xlfn.XLOOKUP(1, (player_hero_summary!A:A=A4)*(player_hero_summary!D:D=_xlfn.MAXIFS(player_hero_summary!D:D, player_hero_summary!A:A, A4)),player_hero_summary!B:B
)</f>
        <v>Bristleback</v>
      </c>
      <c r="C4">
        <f>COUNTIFS([3]!players[name],A4)</f>
        <v>13</v>
      </c>
      <c r="D4" t="str" cm="1">
        <f t="array" ref="D4" xml:space="preserve">
_xlfn.XLOOKUP(
1,
(player_hero_summary!A:A=A4)*(player_hero_summary!D:D=_xlfn.MAXIFS(player_hero_summary!D:D, player_hero_summary!A:A, A4)),
player_hero_summary!C:C
)</f>
        <v>Off Lane</v>
      </c>
      <c r="E4">
        <f>COUNTIFS([3]!players[name],A4, [3]!players[win], 1)</f>
        <v>4</v>
      </c>
      <c r="F4" s="1">
        <f t="shared" si="0"/>
        <v>0.30769230769230771</v>
      </c>
      <c r="G4" s="2">
        <f>AVERAGEIFS([3]!players[gold_per_min], [3]!players[name],A4)</f>
        <v>536.38461538461536</v>
      </c>
      <c r="H4" s="2">
        <f>AVERAGEIFS([3]!players[xp_per_min], [3]!players[name],A4)</f>
        <v>643.15384615384619</v>
      </c>
    </row>
    <row r="5" spans="1:11" x14ac:dyDescent="0.3">
      <c r="A5" t="str">
        <v>23savage</v>
      </c>
      <c r="B5" t="str" cm="1">
        <f t="array" ref="B5" xml:space="preserve">
_xlfn.XLOOKUP(1, (player_hero_summary!A:A=A5)*(player_hero_summary!D:D=_xlfn.MAXIFS(player_hero_summary!D:D, player_hero_summary!A:A, A5)),player_hero_summary!B:B
)</f>
        <v>Ursa</v>
      </c>
      <c r="C5">
        <f>COUNTIFS([3]!players[name],A5)</f>
        <v>18</v>
      </c>
      <c r="D5" t="str" cm="1">
        <f t="array" ref="D5" xml:space="preserve">
_xlfn.XLOOKUP(
1,
(player_hero_summary!A:A=A5)*(player_hero_summary!D:D=_xlfn.MAXIFS(player_hero_summary!D:D, player_hero_summary!A:A, A5)),
player_hero_summary!C:C
)</f>
        <v>Carry</v>
      </c>
      <c r="E5">
        <f>COUNTIFS([3]!players[name],A5, [3]!players[win], 1)</f>
        <v>12</v>
      </c>
      <c r="F5" s="1">
        <f t="shared" si="0"/>
        <v>0.66666666666666663</v>
      </c>
      <c r="G5" s="2">
        <f>AVERAGEIFS([3]!players[gold_per_min], [3]!players[name],A5)</f>
        <v>698.77777777777783</v>
      </c>
      <c r="H5" s="2">
        <f>AVERAGEIFS([3]!players[xp_per_min], [3]!players[name],A5)</f>
        <v>855</v>
      </c>
    </row>
    <row r="6" spans="1:11" x14ac:dyDescent="0.3">
      <c r="A6" t="str">
        <v>7eeeeeee</v>
      </c>
      <c r="B6" t="str" cm="1">
        <f t="array" ref="B6" xml:space="preserve">
_xlfn.XLOOKUP(1, (player_hero_summary!A:A=A6)*(player_hero_summary!D:D=_xlfn.MAXIFS(player_hero_summary!D:D, player_hero_summary!A:A, A6)),player_hero_summary!B:B
)</f>
        <v>Beastmaster</v>
      </c>
      <c r="C6">
        <f>COUNTIFS([3]!players[name],A6)</f>
        <v>21</v>
      </c>
      <c r="D6" t="str" cm="1">
        <f t="array" ref="D6" xml:space="preserve">
_xlfn.XLOOKUP(
1,
(player_hero_summary!A:A=A6)*(player_hero_summary!D:D=_xlfn.MAXIFS(player_hero_summary!D:D, player_hero_summary!A:A, A6)),
player_hero_summary!C:C
)</f>
        <v>Mid</v>
      </c>
      <c r="E6">
        <f>COUNTIFS([3]!players[name],A6, [3]!players[win], 1)</f>
        <v>11</v>
      </c>
      <c r="F6" s="1">
        <f t="shared" si="0"/>
        <v>0.52380952380952384</v>
      </c>
      <c r="G6" s="2">
        <f>AVERAGEIFS([3]!players[gold_per_min], [3]!players[name],A6)</f>
        <v>521.47619047619048</v>
      </c>
      <c r="H6" s="2">
        <f>AVERAGEIFS([3]!players[xp_per_min], [3]!players[name],A6)</f>
        <v>671.61904761904759</v>
      </c>
    </row>
    <row r="7" spans="1:11" x14ac:dyDescent="0.3">
      <c r="A7" t="str">
        <v>9Class</v>
      </c>
      <c r="B7" t="str" cm="1">
        <f t="array" ref="B7" xml:space="preserve">
_xlfn.XLOOKUP(1, (player_hero_summary!A:A=A7)*(player_hero_summary!D:D=_xlfn.MAXIFS(player_hero_summary!D:D, player_hero_summary!A:A, A7)),player_hero_summary!B:B
)</f>
        <v>Keeper of the Light</v>
      </c>
      <c r="C7">
        <f>COUNTIFS([3]!players[name],A7)</f>
        <v>31</v>
      </c>
      <c r="D7" t="str" cm="1">
        <f t="array" ref="D7" xml:space="preserve">
_xlfn.XLOOKUP(
1,
(player_hero_summary!A:A=A7)*(player_hero_summary!D:D=_xlfn.MAXIFS(player_hero_summary!D:D, player_hero_summary!A:A, A7)),
player_hero_summary!C:C
)</f>
        <v>Roam</v>
      </c>
      <c r="E7">
        <f>COUNTIFS([3]!players[name],A7, [3]!players[win], 1)</f>
        <v>23</v>
      </c>
      <c r="F7" s="1">
        <f t="shared" si="0"/>
        <v>0.74193548387096775</v>
      </c>
      <c r="G7" s="2">
        <f>AVERAGEIFS([3]!players[gold_per_min], [3]!players[name],A7)</f>
        <v>402.90322580645159</v>
      </c>
      <c r="H7" s="2">
        <f>AVERAGEIFS([3]!players[xp_per_min], [3]!players[name],A7)</f>
        <v>511.38709677419354</v>
      </c>
    </row>
    <row r="8" spans="1:11" x14ac:dyDescent="0.3">
      <c r="A8" t="str">
        <v>å‘½é‹ reinprince</v>
      </c>
      <c r="B8" t="str" cm="1">
        <f t="array" ref="B8" xml:space="preserve">
_xlfn.XLOOKUP(1, (player_hero_summary!A:A=A8)*(player_hero_summary!D:D=_xlfn.MAXIFS(player_hero_summary!D:D, player_hero_summary!A:A, A8)),player_hero_summary!B:B
)</f>
        <v>Venomancer</v>
      </c>
      <c r="C8">
        <f>COUNTIFS([3]!players[name],A8)</f>
        <v>50</v>
      </c>
      <c r="D8" t="str" cm="1">
        <f t="array" ref="D8" xml:space="preserve">
_xlfn.XLOOKUP(
1,
(player_hero_summary!A:A=A8)*(player_hero_summary!D:D=_xlfn.MAXIFS(player_hero_summary!D:D, player_hero_summary!A:A, A8)),
player_hero_summary!C:C
)</f>
        <v>Soft Support</v>
      </c>
      <c r="E8">
        <f>COUNTIFS([3]!players[name],A8, [3]!players[win], 1)</f>
        <v>24</v>
      </c>
      <c r="F8" s="1">
        <f t="shared" si="0"/>
        <v>0.48</v>
      </c>
      <c r="G8" s="2">
        <f>AVERAGEIFS([3]!players[gold_per_min], [3]!players[name],A8)</f>
        <v>354.46</v>
      </c>
      <c r="H8" s="2">
        <f>AVERAGEIFS([3]!players[xp_per_min], [3]!players[name],A8)</f>
        <v>421.66</v>
      </c>
    </row>
    <row r="9" spans="1:11" x14ac:dyDescent="0.3">
      <c r="A9" t="str">
        <v>Abed</v>
      </c>
      <c r="B9" t="str" cm="1">
        <f t="array" ref="B9" xml:space="preserve">
_xlfn.XLOOKUP(1, (player_hero_summary!A:A=A9)*(player_hero_summary!D:D=_xlfn.MAXIFS(player_hero_summary!D:D, player_hero_summary!A:A, A9)),player_hero_summary!B:B
)</f>
        <v>Void Spirit</v>
      </c>
      <c r="C9">
        <f>COUNTIFS([3]!players[name],A9)</f>
        <v>19</v>
      </c>
      <c r="D9" t="str" cm="1">
        <f t="array" ref="D9" xml:space="preserve">
_xlfn.XLOOKUP(
1,
(player_hero_summary!A:A=A9)*(player_hero_summary!D:D=_xlfn.MAXIFS(player_hero_summary!D:D, player_hero_summary!A:A, A9)),
player_hero_summary!C:C
)</f>
        <v>Mid</v>
      </c>
      <c r="E9">
        <f>COUNTIFS([3]!players[name],A9, [3]!players[win], 1)</f>
        <v>7</v>
      </c>
      <c r="F9" s="1">
        <f t="shared" si="0"/>
        <v>0.36842105263157893</v>
      </c>
      <c r="G9" s="2">
        <f>AVERAGEIFS([3]!players[gold_per_min], [3]!players[name],A9)</f>
        <v>563.10526315789468</v>
      </c>
      <c r="H9" s="2">
        <f>AVERAGEIFS([3]!players[xp_per_min], [3]!players[name],A9)</f>
        <v>702.89473684210532</v>
      </c>
    </row>
    <row r="10" spans="1:11" x14ac:dyDescent="0.3">
      <c r="A10" t="str">
        <v>AbyssWalker</v>
      </c>
      <c r="B10" t="str" cm="1">
        <f t="array" ref="B10" xml:space="preserve">
_xlfn.XLOOKUP(1, (player_hero_summary!A:A=A10)*(player_hero_summary!D:D=_xlfn.MAXIFS(player_hero_summary!D:D, player_hero_summary!A:A, A10)),player_hero_summary!B:B
)</f>
        <v>Ogre Magi</v>
      </c>
      <c r="C10">
        <f>COUNTIFS([3]!players[name],A10)</f>
        <v>117</v>
      </c>
      <c r="D10" t="str" cm="1">
        <f t="array" ref="D10" xml:space="preserve">
_xlfn.XLOOKUP(
1,
(player_hero_summary!A:A=A10)*(player_hero_summary!D:D=_xlfn.MAXIFS(player_hero_summary!D:D, player_hero_summary!A:A, A10)),
player_hero_summary!C:C
)</f>
        <v>Hard Support</v>
      </c>
      <c r="E10">
        <f>COUNTIFS([3]!players[name],A10, [3]!players[win], 1)</f>
        <v>61</v>
      </c>
      <c r="F10" s="1">
        <f t="shared" si="0"/>
        <v>0.5213675213675214</v>
      </c>
      <c r="G10" s="2">
        <f>AVERAGEIFS([3]!players[gold_per_min], [3]!players[name],A10)</f>
        <v>309.08547008547009</v>
      </c>
      <c r="H10" s="2">
        <f>AVERAGEIFS([3]!players[xp_per_min], [3]!players[name],A10)</f>
        <v>461.89743589743591</v>
      </c>
    </row>
    <row r="11" spans="1:11" x14ac:dyDescent="0.3">
      <c r="A11" t="str">
        <v>Ace â™ </v>
      </c>
      <c r="B11" t="str" cm="1">
        <f t="array" ref="B11" xml:space="preserve">
_xlfn.XLOOKUP(1, (player_hero_summary!A:A=A11)*(player_hero_summary!D:D=_xlfn.MAXIFS(player_hero_summary!D:D, player_hero_summary!A:A, A11)),player_hero_summary!B:B
)</f>
        <v>Pangolier</v>
      </c>
      <c r="C11">
        <f>COUNTIFS([3]!players[name],A11)</f>
        <v>38</v>
      </c>
      <c r="D11" t="str" cm="1">
        <f t="array" ref="D11" xml:space="preserve">
_xlfn.XLOOKUP(
1,
(player_hero_summary!A:A=A11)*(player_hero_summary!D:D=_xlfn.MAXIFS(player_hero_summary!D:D, player_hero_summary!A:A, A11)),
player_hero_summary!C:C
)</f>
        <v>Off Lane</v>
      </c>
      <c r="E11">
        <f>COUNTIFS([3]!players[name],A11, [3]!players[win], 1)</f>
        <v>23</v>
      </c>
      <c r="F11" s="1">
        <f t="shared" si="0"/>
        <v>0.60526315789473684</v>
      </c>
      <c r="G11" s="2">
        <f>AVERAGEIFS([3]!players[gold_per_min], [3]!players[name],A11)</f>
        <v>579.5</v>
      </c>
      <c r="H11" s="2">
        <f>AVERAGEIFS([3]!players[xp_per_min], [3]!players[name],A11)</f>
        <v>799.26315789473688</v>
      </c>
    </row>
    <row r="12" spans="1:11" x14ac:dyDescent="0.3">
      <c r="A12" t="str">
        <v>æ¥¼</v>
      </c>
      <c r="B12" t="str" cm="1">
        <f t="array" ref="B12" xml:space="preserve">
_xlfn.XLOOKUP(1, (player_hero_summary!A:A=A12)*(player_hero_summary!D:D=_xlfn.MAXIFS(player_hero_summary!D:D, player_hero_summary!A:A, A12)),player_hero_summary!B:B
)</f>
        <v>Kez</v>
      </c>
      <c r="C12">
        <f>COUNTIFS([3]!players[name],A12)</f>
        <v>11</v>
      </c>
      <c r="D12" t="str" cm="1">
        <f t="array" ref="D12" xml:space="preserve">
_xlfn.XLOOKUP(
1,
(player_hero_summary!A:A=A12)*(player_hero_summary!D:D=_xlfn.MAXIFS(player_hero_summary!D:D, player_hero_summary!A:A, A12)),
player_hero_summary!C:C
)</f>
        <v>Carry</v>
      </c>
      <c r="E12">
        <f>COUNTIFS([3]!players[name],A12, [3]!players[win], 1)</f>
        <v>5</v>
      </c>
      <c r="F12" s="1">
        <f t="shared" si="0"/>
        <v>0.45454545454545453</v>
      </c>
      <c r="G12" s="2">
        <f>AVERAGEIFS([3]!players[gold_per_min], [3]!players[name],A12)</f>
        <v>740.63636363636363</v>
      </c>
      <c r="H12" s="2">
        <f>AVERAGEIFS([3]!players[xp_per_min], [3]!players[name],A12)</f>
        <v>804.90909090909088</v>
      </c>
    </row>
    <row r="13" spans="1:11" x14ac:dyDescent="0.3">
      <c r="A13" t="str">
        <v>aik</v>
      </c>
      <c r="B13" t="str" cm="1">
        <f t="array" ref="B13" xml:space="preserve">
_xlfn.XLOOKUP(1, (player_hero_summary!A:A=A13)*(player_hero_summary!D:D=_xlfn.MAXIFS(player_hero_summary!D:D, player_hero_summary!A:A, A13)),player_hero_summary!B:B
)</f>
        <v>Phoenix</v>
      </c>
      <c r="C13">
        <f>COUNTIFS([3]!players[name],A13)</f>
        <v>35</v>
      </c>
      <c r="D13" t="str" cm="1">
        <f t="array" ref="D13" xml:space="preserve">
_xlfn.XLOOKUP(
1,
(player_hero_summary!A:A=A13)*(player_hero_summary!D:D=_xlfn.MAXIFS(player_hero_summary!D:D, player_hero_summary!A:A, A13)),
player_hero_summary!C:C
)</f>
        <v>Soft Support</v>
      </c>
      <c r="E13">
        <f>COUNTIFS([3]!players[name],A13, [3]!players[win], 1)</f>
        <v>15</v>
      </c>
      <c r="F13" s="1">
        <f t="shared" si="0"/>
        <v>0.42857142857142855</v>
      </c>
      <c r="G13" s="2">
        <f>AVERAGEIFS([3]!players[gold_per_min], [3]!players[name],A13)</f>
        <v>379.97142857142859</v>
      </c>
      <c r="H13" s="2">
        <f>AVERAGEIFS([3]!players[xp_per_min], [3]!players[name],A13)</f>
        <v>483.05714285714288</v>
      </c>
    </row>
    <row r="14" spans="1:11" x14ac:dyDescent="0.3">
      <c r="A14" t="str">
        <v>Ainkrad</v>
      </c>
      <c r="B14" t="str" cm="1">
        <f t="array" ref="B14" xml:space="preserve">
_xlfn.XLOOKUP(1, (player_hero_summary!A:A=A14)*(player_hero_summary!D:D=_xlfn.MAXIFS(player_hero_summary!D:D, player_hero_summary!A:A, A14)),player_hero_summary!B:B
)</f>
        <v>Puck</v>
      </c>
      <c r="C14">
        <f>COUNTIFS([3]!players[name],A14)</f>
        <v>3</v>
      </c>
      <c r="D14" t="str" cm="1">
        <f t="array" ref="D14" xml:space="preserve">
_xlfn.XLOOKUP(
1,
(player_hero_summary!A:A=A14)*(player_hero_summary!D:D=_xlfn.MAXIFS(player_hero_summary!D:D, player_hero_summary!A:A, A14)),
player_hero_summary!C:C
)</f>
        <v>Mid</v>
      </c>
      <c r="E14">
        <f>COUNTIFS([3]!players[name],A14, [3]!players[win], 1)</f>
        <v>1</v>
      </c>
      <c r="F14" s="1">
        <f t="shared" si="0"/>
        <v>0.33333333333333331</v>
      </c>
      <c r="G14" s="2">
        <f>AVERAGEIFS([3]!players[gold_per_min], [3]!players[name],A14)</f>
        <v>511.66666666666669</v>
      </c>
      <c r="H14" s="2">
        <f>AVERAGEIFS([3]!players[xp_per_min], [3]!players[name],A14)</f>
        <v>599</v>
      </c>
    </row>
    <row r="15" spans="1:11" x14ac:dyDescent="0.3">
      <c r="A15" t="str">
        <v>Akamu</v>
      </c>
      <c r="B15" t="str" cm="1">
        <f t="array" ref="B15" xml:space="preserve">
_xlfn.XLOOKUP(1, (player_hero_summary!A:A=A15)*(player_hero_summary!D:D=_xlfn.MAXIFS(player_hero_summary!D:D, player_hero_summary!A:A, A15)),player_hero_summary!B:B
)</f>
        <v>Jakiro</v>
      </c>
      <c r="C15">
        <f>COUNTIFS([3]!players[name],A15)</f>
        <v>13</v>
      </c>
      <c r="D15" t="str" cm="1">
        <f t="array" ref="D15" xml:space="preserve">
_xlfn.XLOOKUP(
1,
(player_hero_summary!A:A=A15)*(player_hero_summary!D:D=_xlfn.MAXIFS(player_hero_summary!D:D, player_hero_summary!A:A, A15)),
player_hero_summary!C:C
)</f>
        <v>Hard Support</v>
      </c>
      <c r="E15">
        <f>COUNTIFS([3]!players[name],A15, [3]!players[win], 1)</f>
        <v>4</v>
      </c>
      <c r="F15" s="1">
        <f t="shared" si="0"/>
        <v>0.30769230769230771</v>
      </c>
      <c r="G15" s="2">
        <f>AVERAGEIFS([3]!players[gold_per_min], [3]!players[name],A15)</f>
        <v>344.23076923076923</v>
      </c>
      <c r="H15" s="2">
        <f>AVERAGEIFS([3]!players[xp_per_min], [3]!players[name],A15)</f>
        <v>433.61538461538464</v>
      </c>
    </row>
    <row r="16" spans="1:11" x14ac:dyDescent="0.3">
      <c r="A16" t="str">
        <v>Akashi</v>
      </c>
      <c r="B16" t="str" cm="1">
        <f t="array" ref="B16" xml:space="preserve">
_xlfn.XLOOKUP(1, (player_hero_summary!A:A=A16)*(player_hero_summary!D:D=_xlfn.MAXIFS(player_hero_summary!D:D, player_hero_summary!A:A, A16)),player_hero_summary!B:B
)</f>
        <v>Kez</v>
      </c>
      <c r="C16">
        <f>COUNTIFS([3]!players[name],A16)</f>
        <v>11</v>
      </c>
      <c r="D16" t="str" cm="1">
        <f t="array" ref="D16" xml:space="preserve">
_xlfn.XLOOKUP(
1,
(player_hero_summary!A:A=A16)*(player_hero_summary!D:D=_xlfn.MAXIFS(player_hero_summary!D:D, player_hero_summary!A:A, A16)),
player_hero_summary!C:C
)</f>
        <v>Carry</v>
      </c>
      <c r="E16">
        <f>COUNTIFS([3]!players[name],A16, [3]!players[win], 1)</f>
        <v>5</v>
      </c>
      <c r="F16" s="1">
        <f t="shared" si="0"/>
        <v>0.45454545454545453</v>
      </c>
      <c r="G16" s="2">
        <f>AVERAGEIFS([3]!players[gold_per_min], [3]!players[name],A16)</f>
        <v>668</v>
      </c>
      <c r="H16" s="2">
        <f>AVERAGEIFS([3]!players[xp_per_min], [3]!players[name],A16)</f>
        <v>751.72727272727275</v>
      </c>
    </row>
    <row r="17" spans="1:8" x14ac:dyDescent="0.3">
      <c r="A17" t="str">
        <v>alberkaaa</v>
      </c>
      <c r="B17" t="str" cm="1">
        <f t="array" ref="B17" xml:space="preserve">
_xlfn.XLOOKUP(1, (player_hero_summary!A:A=A17)*(player_hero_summary!D:D=_xlfn.MAXIFS(player_hero_summary!D:D, player_hero_summary!A:A, A17)),player_hero_summary!B:B
)</f>
        <v>Bristleback</v>
      </c>
      <c r="C17">
        <f>COUNTIFS([3]!players[name],A17)</f>
        <v>44</v>
      </c>
      <c r="D17" t="str" cm="1">
        <f t="array" ref="D17" xml:space="preserve">
_xlfn.XLOOKUP(
1,
(player_hero_summary!A:A=A17)*(player_hero_summary!D:D=_xlfn.MAXIFS(player_hero_summary!D:D, player_hero_summary!A:A, A17)),
player_hero_summary!C:C
)</f>
        <v>Off Lane</v>
      </c>
      <c r="E17">
        <f>COUNTIFS([3]!players[name],A17, [3]!players[win], 1)</f>
        <v>22</v>
      </c>
      <c r="F17" s="1">
        <f t="shared" si="0"/>
        <v>0.5</v>
      </c>
      <c r="G17" s="2">
        <f>AVERAGEIFS([3]!players[gold_per_min], [3]!players[name],A17)</f>
        <v>536.52272727272725</v>
      </c>
      <c r="H17" s="2">
        <f>AVERAGEIFS([3]!players[xp_per_min], [3]!players[name],A17)</f>
        <v>684.93181818181813</v>
      </c>
    </row>
    <row r="18" spans="1:8" x14ac:dyDescent="0.3">
      <c r="A18" t="str">
        <v>Ame</v>
      </c>
      <c r="B18" t="str" cm="1">
        <f t="array" ref="B18" xml:space="preserve">
_xlfn.XLOOKUP(1, (player_hero_summary!A:A=A18)*(player_hero_summary!D:D=_xlfn.MAXIFS(player_hero_summary!D:D, player_hero_summary!A:A, A18)),player_hero_summary!B:B
)</f>
        <v>Monkey King</v>
      </c>
      <c r="C18">
        <f>COUNTIFS([3]!players[name],A18)</f>
        <v>18</v>
      </c>
      <c r="D18" t="str" cm="1">
        <f t="array" ref="D18" xml:space="preserve">
_xlfn.XLOOKUP(
1,
(player_hero_summary!A:A=A18)*(player_hero_summary!D:D=_xlfn.MAXIFS(player_hero_summary!D:D, player_hero_summary!A:A, A18)),
player_hero_summary!C:C
)</f>
        <v>Carry</v>
      </c>
      <c r="E18">
        <f>COUNTIFS([3]!players[name],A18, [3]!players[win], 1)</f>
        <v>12</v>
      </c>
      <c r="F18" s="1">
        <f t="shared" si="0"/>
        <v>0.66666666666666663</v>
      </c>
      <c r="G18" s="2">
        <f>AVERAGEIFS([3]!players[gold_per_min], [3]!players[name],A18)</f>
        <v>713.72222222222217</v>
      </c>
      <c r="H18" s="2">
        <f>AVERAGEIFS([3]!players[xp_per_min], [3]!players[name],A18)</f>
        <v>804.5</v>
      </c>
    </row>
    <row r="19" spans="1:8" x14ac:dyDescent="0.3">
      <c r="A19" t="str">
        <v>AMMAR_THE_F</v>
      </c>
      <c r="B19" t="str" cm="1">
        <f t="array" ref="B19" xml:space="preserve">
_xlfn.XLOOKUP(1, (player_hero_summary!A:A=A19)*(player_hero_summary!D:D=_xlfn.MAXIFS(player_hero_summary!D:D, player_hero_summary!A:A, A19)),player_hero_summary!B:B
)</f>
        <v>Tidehunter</v>
      </c>
      <c r="C19">
        <f>COUNTIFS([3]!players[name],A19)</f>
        <v>30</v>
      </c>
      <c r="D19" t="str" cm="1">
        <f t="array" ref="D19" xml:space="preserve">
_xlfn.XLOOKUP(
1,
(player_hero_summary!A:A=A19)*(player_hero_summary!D:D=_xlfn.MAXIFS(player_hero_summary!D:D, player_hero_summary!A:A, A19)),
player_hero_summary!C:C
)</f>
        <v>Off Lane</v>
      </c>
      <c r="E19">
        <f>COUNTIFS([3]!players[name],A19, [3]!players[win], 1)</f>
        <v>18</v>
      </c>
      <c r="F19" s="1">
        <f t="shared" si="0"/>
        <v>0.6</v>
      </c>
      <c r="G19" s="2">
        <f>AVERAGEIFS([3]!players[gold_per_min], [3]!players[name],A19)</f>
        <v>636.20000000000005</v>
      </c>
      <c r="H19" s="2">
        <f>AVERAGEIFS([3]!players[xp_per_min], [3]!players[name],A19)</f>
        <v>850</v>
      </c>
    </row>
    <row r="20" spans="1:8" x14ac:dyDescent="0.3">
      <c r="A20" t="str">
        <v>ani-san</v>
      </c>
      <c r="B20" t="str" cm="1">
        <f t="array" ref="B20" xml:space="preserve">
_xlfn.XLOOKUP(1, (player_hero_summary!A:A=A20)*(player_hero_summary!D:D=_xlfn.MAXIFS(player_hero_summary!D:D, player_hero_summary!A:A, A20)),player_hero_summary!B:B
)</f>
        <v>Hoodwink</v>
      </c>
      <c r="C20">
        <f>COUNTIFS([3]!players[name],A20)</f>
        <v>40</v>
      </c>
      <c r="D20" t="str" cm="1">
        <f t="array" ref="D20" xml:space="preserve">
_xlfn.XLOOKUP(
1,
(player_hero_summary!A:A=A20)*(player_hero_summary!D:D=_xlfn.MAXIFS(player_hero_summary!D:D, player_hero_summary!A:A, A20)),
player_hero_summary!C:C
)</f>
        <v>Roam</v>
      </c>
      <c r="E20">
        <f>COUNTIFS([3]!players[name],A20, [3]!players[win], 1)</f>
        <v>17</v>
      </c>
      <c r="F20" s="1">
        <f t="shared" si="0"/>
        <v>0.42499999999999999</v>
      </c>
      <c r="G20" s="2">
        <f>AVERAGEIFS([3]!players[gold_per_min], [3]!players[name],A20)</f>
        <v>313.45</v>
      </c>
      <c r="H20" s="2">
        <f>AVERAGEIFS([3]!players[xp_per_min], [3]!players[name],A20)</f>
        <v>430.7</v>
      </c>
    </row>
    <row r="21" spans="1:8" x14ac:dyDescent="0.3">
      <c r="A21" t="str">
        <v>Artemis</v>
      </c>
      <c r="B21" t="str" cm="1">
        <f t="array" ref="B21" xml:space="preserve">
_xlfn.XLOOKUP(1, (player_hero_summary!A:A=A21)*(player_hero_summary!D:D=_xlfn.MAXIFS(player_hero_summary!D:D, player_hero_summary!A:A, A21)),player_hero_summary!B:B
)</f>
        <v>Jakiro</v>
      </c>
      <c r="C21">
        <f>COUNTIFS([3]!players[name],A21)</f>
        <v>14</v>
      </c>
      <c r="D21" t="str" cm="1">
        <f t="array" ref="D21" xml:space="preserve">
_xlfn.XLOOKUP(
1,
(player_hero_summary!A:A=A21)*(player_hero_summary!D:D=_xlfn.MAXIFS(player_hero_summary!D:D, player_hero_summary!A:A, A21)),
player_hero_summary!C:C
)</f>
        <v>Hard Support</v>
      </c>
      <c r="E21">
        <f>COUNTIFS([3]!players[name],A21, [3]!players[win], 1)</f>
        <v>9</v>
      </c>
      <c r="F21" s="1">
        <f t="shared" si="0"/>
        <v>0.6428571428571429</v>
      </c>
      <c r="G21" s="2">
        <f>AVERAGEIFS([3]!players[gold_per_min], [3]!players[name],A21)</f>
        <v>312.07142857142856</v>
      </c>
      <c r="H21" s="2">
        <f>AVERAGEIFS([3]!players[xp_per_min], [3]!players[name],A21)</f>
        <v>425.85714285714283</v>
      </c>
    </row>
    <row r="22" spans="1:8" x14ac:dyDescent="0.3">
      <c r="A22" t="str">
        <v>ArzenT</v>
      </c>
      <c r="B22" t="str" cm="1">
        <f t="array" ref="B22" xml:space="preserve">
_xlfn.XLOOKUP(1, (player_hero_summary!A:A=A22)*(player_hero_summary!D:D=_xlfn.MAXIFS(player_hero_summary!D:D, player_hero_summary!A:A, A22)),player_hero_summary!B:B
)</f>
        <v>Weaver</v>
      </c>
      <c r="C22">
        <f>COUNTIFS([3]!players[name],A22)</f>
        <v>22</v>
      </c>
      <c r="D22" t="str" cm="1">
        <f t="array" ref="D22" xml:space="preserve">
_xlfn.XLOOKUP(
1,
(player_hero_summary!A:A=A22)*(player_hero_summary!D:D=_xlfn.MAXIFS(player_hero_summary!D:D, player_hero_summary!A:A, A22)),
player_hero_summary!C:C
)</f>
        <v>Off Lane</v>
      </c>
      <c r="E22">
        <f>COUNTIFS([3]!players[name],A22, [3]!players[win], 1)</f>
        <v>13</v>
      </c>
      <c r="F22" s="1">
        <f t="shared" si="0"/>
        <v>0.59090909090909094</v>
      </c>
      <c r="G22" s="2">
        <f>AVERAGEIFS([3]!players[gold_per_min], [3]!players[name],A22)</f>
        <v>551.13636363636363</v>
      </c>
      <c r="H22" s="2">
        <f>AVERAGEIFS([3]!players[xp_per_min], [3]!players[name],A22)</f>
        <v>696.68181818181813</v>
      </c>
    </row>
    <row r="23" spans="1:8" x14ac:dyDescent="0.3">
      <c r="A23" t="str">
        <v>asdekor_r</v>
      </c>
      <c r="B23" t="str" cm="1">
        <f t="array" ref="B23" xml:space="preserve">
_xlfn.XLOOKUP(1, (player_hero_summary!A:A=A23)*(player_hero_summary!D:D=_xlfn.MAXIFS(player_hero_summary!D:D, player_hero_summary!A:A, A23)),player_hero_summary!B:B
)</f>
        <v>Chen</v>
      </c>
      <c r="C23">
        <f>COUNTIFS([3]!players[name],A23)</f>
        <v>37</v>
      </c>
      <c r="D23" t="str" cm="1">
        <f t="array" ref="D23" xml:space="preserve">
_xlfn.XLOOKUP(
1,
(player_hero_summary!A:A=A23)*(player_hero_summary!D:D=_xlfn.MAXIFS(player_hero_summary!D:D, player_hero_summary!A:A, A23)),
player_hero_summary!C:C
)</f>
        <v>Soft Support</v>
      </c>
      <c r="E23">
        <f>COUNTIFS([3]!players[name],A23, [3]!players[win], 1)</f>
        <v>20</v>
      </c>
      <c r="F23" s="1">
        <f t="shared" si="0"/>
        <v>0.54054054054054057</v>
      </c>
      <c r="G23" s="2">
        <f>AVERAGEIFS([3]!players[gold_per_min], [3]!players[name],A23)</f>
        <v>312.56756756756755</v>
      </c>
      <c r="H23" s="2">
        <f>AVERAGEIFS([3]!players[xp_per_min], [3]!players[name],A23)</f>
        <v>463.7837837837838</v>
      </c>
    </row>
    <row r="24" spans="1:8" x14ac:dyDescent="0.3">
      <c r="A24" t="str">
        <v>Bach</v>
      </c>
      <c r="B24" t="str" cm="1">
        <f t="array" ref="B24" xml:space="preserve">
_xlfn.XLOOKUP(1, (player_hero_summary!A:A=A24)*(player_hero_summary!D:D=_xlfn.MAXIFS(player_hero_summary!D:D, player_hero_summary!A:A, A24)),player_hero_summary!B:B
)</f>
        <v>Slardar</v>
      </c>
      <c r="C24">
        <f>COUNTIFS([3]!players[name],A24)</f>
        <v>23</v>
      </c>
      <c r="D24" t="str" cm="1">
        <f t="array" ref="D24" xml:space="preserve">
_xlfn.XLOOKUP(
1,
(player_hero_summary!A:A=A24)*(player_hero_summary!D:D=_xlfn.MAXIFS(player_hero_summary!D:D, player_hero_summary!A:A, A24)),
player_hero_summary!C:C
)</f>
        <v>Off Lane</v>
      </c>
      <c r="E24">
        <f>COUNTIFS([3]!players[name],A24, [3]!players[win], 1)</f>
        <v>14</v>
      </c>
      <c r="F24" s="1">
        <f t="shared" si="0"/>
        <v>0.60869565217391308</v>
      </c>
      <c r="G24" s="2">
        <f>AVERAGEIFS([3]!players[gold_per_min], [3]!players[name],A24)</f>
        <v>540.95652173913038</v>
      </c>
      <c r="H24" s="2">
        <f>AVERAGEIFS([3]!players[xp_per_min], [3]!players[name],A24)</f>
        <v>692.304347826087</v>
      </c>
    </row>
    <row r="25" spans="1:8" x14ac:dyDescent="0.3">
      <c r="A25" t="str">
        <v>BEEBIE</v>
      </c>
      <c r="B25" t="str" cm="1">
        <f t="array" ref="B25" xml:space="preserve">
_xlfn.XLOOKUP(1, (player_hero_summary!A:A=A25)*(player_hero_summary!D:D=_xlfn.MAXIFS(player_hero_summary!D:D, player_hero_summary!A:A, A25)),player_hero_summary!B:B
)</f>
        <v>Ember Spirit</v>
      </c>
      <c r="C25">
        <f>COUNTIFS([3]!players[name],A25)</f>
        <v>16</v>
      </c>
      <c r="D25" t="str" cm="1">
        <f t="array" ref="D25" xml:space="preserve">
_xlfn.XLOOKUP(
1,
(player_hero_summary!A:A=A25)*(player_hero_summary!D:D=_xlfn.MAXIFS(player_hero_summary!D:D, player_hero_summary!A:A, A25)),
player_hero_summary!C:C
)</f>
        <v>Mid</v>
      </c>
      <c r="E25">
        <f>COUNTIFS([3]!players[name],A25, [3]!players[win], 1)</f>
        <v>6</v>
      </c>
      <c r="F25" s="1">
        <f t="shared" si="0"/>
        <v>0.375</v>
      </c>
      <c r="G25" s="2">
        <f>AVERAGEIFS([3]!players[gold_per_min], [3]!players[name],A25)</f>
        <v>526.25</v>
      </c>
      <c r="H25" s="2">
        <f>AVERAGEIFS([3]!players[xp_per_min], [3]!players[name],A25)</f>
        <v>680.9375</v>
      </c>
    </row>
    <row r="26" spans="1:8" x14ac:dyDescent="0.3">
      <c r="A26" t="str">
        <v>Beyond</v>
      </c>
      <c r="B26" t="str" cm="1">
        <f t="array" ref="B26" xml:space="preserve">
_xlfn.XLOOKUP(1, (player_hero_summary!A:A=A26)*(player_hero_summary!D:D=_xlfn.MAXIFS(player_hero_summary!D:D, player_hero_summary!A:A, A26)),player_hero_summary!B:B
)</f>
        <v>Dawnbreaker</v>
      </c>
      <c r="C26">
        <f>COUNTIFS([3]!players[name],A26)</f>
        <v>18</v>
      </c>
      <c r="D26" t="str" cm="1">
        <f t="array" ref="D26" xml:space="preserve">
_xlfn.XLOOKUP(
1,
(player_hero_summary!A:A=A26)*(player_hero_summary!D:D=_xlfn.MAXIFS(player_hero_summary!D:D, player_hero_summary!A:A, A26)),
player_hero_summary!C:C
)</f>
        <v>Off Lane</v>
      </c>
      <c r="E26">
        <f>COUNTIFS([3]!players[name],A26, [3]!players[win], 1)</f>
        <v>10</v>
      </c>
      <c r="F26" s="1">
        <f t="shared" si="0"/>
        <v>0.55555555555555558</v>
      </c>
      <c r="G26" s="2">
        <f>AVERAGEIFS([3]!players[gold_per_min], [3]!players[name],A26)</f>
        <v>548.27777777777783</v>
      </c>
      <c r="H26" s="2">
        <f>AVERAGEIFS([3]!players[xp_per_min], [3]!players[name],A26)</f>
        <v>689.5</v>
      </c>
    </row>
    <row r="27" spans="1:8" x14ac:dyDescent="0.3">
      <c r="A27" t="str">
        <v>Bignum</v>
      </c>
      <c r="B27" t="str" cm="1">
        <f t="array" ref="B27" xml:space="preserve">
_xlfn.XLOOKUP(1, (player_hero_summary!A:A=A27)*(player_hero_summary!D:D=_xlfn.MAXIFS(player_hero_summary!D:D, player_hero_summary!A:A, A27)),player_hero_summary!B:B
)</f>
        <v>Rubick</v>
      </c>
      <c r="C27">
        <f>COUNTIFS([3]!players[name],A27)</f>
        <v>37</v>
      </c>
      <c r="D27" t="str" cm="1">
        <f t="array" ref="D27" xml:space="preserve">
_xlfn.XLOOKUP(
1,
(player_hero_summary!A:A=A27)*(player_hero_summary!D:D=_xlfn.MAXIFS(player_hero_summary!D:D, player_hero_summary!A:A, A27)),
player_hero_summary!C:C
)</f>
        <v>Roam</v>
      </c>
      <c r="E27">
        <f>COUNTIFS([3]!players[name],A27, [3]!players[win], 1)</f>
        <v>23</v>
      </c>
      <c r="F27" s="1">
        <f t="shared" si="0"/>
        <v>0.6216216216216216</v>
      </c>
      <c r="G27" s="2">
        <f>AVERAGEIFS([3]!players[gold_per_min], [3]!players[name],A27)</f>
        <v>334.24324324324323</v>
      </c>
      <c r="H27" s="2">
        <f>AVERAGEIFS([3]!players[xp_per_min], [3]!players[name],A27)</f>
        <v>492.24324324324323</v>
      </c>
    </row>
    <row r="28" spans="1:8" x14ac:dyDescent="0.3">
      <c r="A28" t="str">
        <v>BloodStorm</v>
      </c>
      <c r="B28" t="str" cm="1">
        <f t="array" ref="B28" xml:space="preserve">
_xlfn.XLOOKUP(1, (player_hero_summary!A:A=A28)*(player_hero_summary!D:D=_xlfn.MAXIFS(player_hero_summary!D:D, player_hero_summary!A:A, A28)),player_hero_summary!B:B
)</f>
        <v>Lion</v>
      </c>
      <c r="C28">
        <f>COUNTIFS([3]!players[name],A28)</f>
        <v>117</v>
      </c>
      <c r="D28" t="str" cm="1">
        <f t="array" ref="D28" xml:space="preserve">
_xlfn.XLOOKUP(
1,
(player_hero_summary!A:A=A28)*(player_hero_summary!D:D=_xlfn.MAXIFS(player_hero_summary!D:D, player_hero_summary!A:A, A28)),
player_hero_summary!C:C
)</f>
        <v>Soft Support</v>
      </c>
      <c r="E28">
        <f>COUNTIFS([3]!players[name],A28, [3]!players[win], 1)</f>
        <v>61</v>
      </c>
      <c r="F28" s="1">
        <f t="shared" si="0"/>
        <v>0.5213675213675214</v>
      </c>
      <c r="G28" s="2">
        <f>AVERAGEIFS([3]!players[gold_per_min], [3]!players[name],A28)</f>
        <v>286.82905982905982</v>
      </c>
      <c r="H28" s="2">
        <f>AVERAGEIFS([3]!players[xp_per_min], [3]!players[name],A28)</f>
        <v>428.43589743589746</v>
      </c>
    </row>
    <row r="29" spans="1:8" x14ac:dyDescent="0.3">
      <c r="A29" t="str">
        <v>BoBoKa</v>
      </c>
      <c r="B29" t="str" cm="1">
        <f t="array" ref="B29" xml:space="preserve">
_xlfn.XLOOKUP(1, (player_hero_summary!A:A=A29)*(player_hero_summary!D:D=_xlfn.MAXIFS(player_hero_summary!D:D, player_hero_summary!A:A, A29)),player_hero_summary!B:B
)</f>
        <v>Io</v>
      </c>
      <c r="C29">
        <f>COUNTIFS([3]!players[name],A29)</f>
        <v>14</v>
      </c>
      <c r="D29" t="str" cm="1">
        <f t="array" ref="D29" xml:space="preserve">
_xlfn.XLOOKUP(
1,
(player_hero_summary!A:A=A29)*(player_hero_summary!D:D=_xlfn.MAXIFS(player_hero_summary!D:D, player_hero_summary!A:A, A29)),
player_hero_summary!C:C
)</f>
        <v>Roam</v>
      </c>
      <c r="E29">
        <f>COUNTIFS([3]!players[name],A29, [3]!players[win], 1)</f>
        <v>6</v>
      </c>
      <c r="F29" s="1">
        <f t="shared" si="0"/>
        <v>0.42857142857142855</v>
      </c>
      <c r="G29" s="2">
        <f>AVERAGEIFS([3]!players[gold_per_min], [3]!players[name],A29)</f>
        <v>337.28571428571428</v>
      </c>
      <c r="H29" s="2">
        <f>AVERAGEIFS([3]!players[xp_per_min], [3]!players[name],A29)</f>
        <v>482.64285714285717</v>
      </c>
    </row>
    <row r="30" spans="1:8" x14ac:dyDescent="0.3">
      <c r="A30" t="str">
        <v>BOOM</v>
      </c>
      <c r="B30" t="str" cm="1">
        <f t="array" ref="B30" xml:space="preserve">
_xlfn.XLOOKUP(1, (player_hero_summary!A:A=A30)*(player_hero_summary!D:D=_xlfn.MAXIFS(player_hero_summary!D:D, player_hero_summary!A:A, A30)),player_hero_summary!B:B
)</f>
        <v>Pangolier</v>
      </c>
      <c r="C30">
        <f>COUNTIFS([3]!players[name],A30)</f>
        <v>35</v>
      </c>
      <c r="D30" t="str" cm="1">
        <f t="array" ref="D30" xml:space="preserve">
_xlfn.XLOOKUP(
1,
(player_hero_summary!A:A=A30)*(player_hero_summary!D:D=_xlfn.MAXIFS(player_hero_summary!D:D, player_hero_summary!A:A, A30)),
player_hero_summary!C:C
)</f>
        <v>Off Lane</v>
      </c>
      <c r="E30">
        <f>COUNTIFS([3]!players[name],A30, [3]!players[win], 1)</f>
        <v>15</v>
      </c>
      <c r="F30" s="1">
        <f t="shared" si="0"/>
        <v>0.42857142857142855</v>
      </c>
      <c r="G30" s="2">
        <f>AVERAGEIFS([3]!players[gold_per_min], [3]!players[name],A30)</f>
        <v>567.08571428571429</v>
      </c>
      <c r="H30" s="2">
        <f>AVERAGEIFS([3]!players[xp_per_min], [3]!players[name],A30)</f>
        <v>735.6</v>
      </c>
    </row>
    <row r="31" spans="1:8" x14ac:dyDescent="0.3">
      <c r="A31" t="str">
        <v>ButterflyEffect</v>
      </c>
      <c r="B31" t="str" cm="1">
        <f t="array" ref="B31" xml:space="preserve">
_xlfn.XLOOKUP(1, (player_hero_summary!A:A=A31)*(player_hero_summary!D:D=_xlfn.MAXIFS(player_hero_summary!D:D, player_hero_summary!A:A, A31)),player_hero_summary!B:B
)</f>
        <v>Storm Spirit</v>
      </c>
      <c r="C31">
        <f>COUNTIFS([3]!players[name],A31)</f>
        <v>39</v>
      </c>
      <c r="D31" t="str" cm="1">
        <f t="array" ref="D31" xml:space="preserve">
_xlfn.XLOOKUP(
1,
(player_hero_summary!A:A=A31)*(player_hero_summary!D:D=_xlfn.MAXIFS(player_hero_summary!D:D, player_hero_summary!A:A, A31)),
player_hero_summary!C:C
)</f>
        <v>Mid</v>
      </c>
      <c r="E31">
        <f>COUNTIFS([3]!players[name],A31, [3]!players[win], 1)</f>
        <v>16</v>
      </c>
      <c r="F31" s="1">
        <f t="shared" si="0"/>
        <v>0.41025641025641024</v>
      </c>
      <c r="G31" s="2">
        <f>AVERAGEIFS([3]!players[gold_per_min], [3]!players[name],A31)</f>
        <v>560.58974358974353</v>
      </c>
      <c r="H31" s="2">
        <f>AVERAGEIFS([3]!players[xp_per_min], [3]!players[name],A31)</f>
        <v>719.28205128205127</v>
      </c>
    </row>
    <row r="32" spans="1:8" x14ac:dyDescent="0.3">
      <c r="A32" t="str">
        <v>ç”Ÿæ­»</v>
      </c>
      <c r="B32" t="str" cm="1">
        <f t="array" ref="B32" xml:space="preserve">
_xlfn.XLOOKUP(1, (player_hero_summary!A:A=A32)*(player_hero_summary!D:D=_xlfn.MAXIFS(player_hero_summary!D:D, player_hero_summary!A:A, A32)),player_hero_summary!B:B
)</f>
        <v>Tidehunter</v>
      </c>
      <c r="C32">
        <f>COUNTIFS([3]!players[name],A32)</f>
        <v>39</v>
      </c>
      <c r="D32" t="str" cm="1">
        <f t="array" ref="D32" xml:space="preserve">
_xlfn.XLOOKUP(
1,
(player_hero_summary!A:A=A32)*(player_hero_summary!D:D=_xlfn.MAXIFS(player_hero_summary!D:D, player_hero_summary!A:A, A32)),
player_hero_summary!C:C
)</f>
        <v>Off Lane</v>
      </c>
      <c r="E32">
        <f>COUNTIFS([3]!players[name],A32, [3]!players[win], 1)</f>
        <v>16</v>
      </c>
      <c r="F32" s="1">
        <f t="shared" si="0"/>
        <v>0.41025641025641024</v>
      </c>
      <c r="G32" s="2">
        <f>AVERAGEIFS([3]!players[gold_per_min], [3]!players[name],A32)</f>
        <v>478.58974358974359</v>
      </c>
      <c r="H32" s="2">
        <f>AVERAGEIFS([3]!players[xp_per_min], [3]!players[name],A32)</f>
        <v>626.23076923076928</v>
      </c>
    </row>
    <row r="33" spans="1:8" x14ac:dyDescent="0.3">
      <c r="A33" t="str">
        <v>Çuo×Ÿâ±¯lone&lt;</v>
      </c>
      <c r="B33" t="str" cm="1">
        <f t="array" ref="B33" xml:space="preserve">
_xlfn.XLOOKUP(1, (player_hero_summary!A:A=A33)*(player_hero_summary!D:D=_xlfn.MAXIFS(player_hero_summary!D:D, player_hero_summary!A:A, A33)),player_hero_summary!B:B
)</f>
        <v>Nature's Prophet</v>
      </c>
      <c r="C33">
        <f>COUNTIFS([3]!players[name],A33)</f>
        <v>19</v>
      </c>
      <c r="D33" t="str" cm="1">
        <f t="array" ref="D33" xml:space="preserve">
_xlfn.XLOOKUP(
1,
(player_hero_summary!A:A=A33)*(player_hero_summary!D:D=_xlfn.MAXIFS(player_hero_summary!D:D, player_hero_summary!A:A, A33)),
player_hero_summary!C:C
)</f>
        <v>Mid</v>
      </c>
      <c r="E33">
        <f>COUNTIFS([3]!players[name],A33, [3]!players[win], 1)</f>
        <v>12</v>
      </c>
      <c r="F33" s="1">
        <f t="shared" si="0"/>
        <v>0.63157894736842102</v>
      </c>
      <c r="G33" s="2">
        <f>AVERAGEIFS([3]!players[gold_per_min], [3]!players[name],A33)</f>
        <v>546.42105263157896</v>
      </c>
      <c r="H33" s="2">
        <f>AVERAGEIFS([3]!players[xp_per_min], [3]!players[name],A33)</f>
        <v>748.84210526315792</v>
      </c>
    </row>
    <row r="34" spans="1:8" x14ac:dyDescent="0.3">
      <c r="A34" t="str">
        <v>Carlo</v>
      </c>
      <c r="B34" t="str" cm="1">
        <f t="array" ref="B34" xml:space="preserve">
_xlfn.XLOOKUP(1, (player_hero_summary!A:A=A34)*(player_hero_summary!D:D=_xlfn.MAXIFS(player_hero_summary!D:D, player_hero_summary!A:A, A34)),player_hero_summary!B:B
)</f>
        <v>Rubick</v>
      </c>
      <c r="C34">
        <f>COUNTIFS([3]!players[name],A34)</f>
        <v>10</v>
      </c>
      <c r="D34" t="str" cm="1">
        <f t="array" ref="D34" xml:space="preserve">
_xlfn.XLOOKUP(
1,
(player_hero_summary!A:A=A34)*(player_hero_summary!D:D=_xlfn.MAXIFS(player_hero_summary!D:D, player_hero_summary!A:A, A34)),
player_hero_summary!C:C
)</f>
        <v>Soft Support</v>
      </c>
      <c r="E34">
        <f>COUNTIFS([3]!players[name],A34, [3]!players[win], 1)</f>
        <v>7</v>
      </c>
      <c r="F34" s="1">
        <f t="shared" si="0"/>
        <v>0.7</v>
      </c>
      <c r="G34" s="2">
        <f>AVERAGEIFS([3]!players[gold_per_min], [3]!players[name],A34)</f>
        <v>381.8</v>
      </c>
      <c r="H34" s="2">
        <f>AVERAGEIFS([3]!players[xp_per_min], [3]!players[name],A34)</f>
        <v>515.70000000000005</v>
      </c>
    </row>
    <row r="35" spans="1:8" x14ac:dyDescent="0.3">
      <c r="A35" t="str">
        <v>Copy</v>
      </c>
      <c r="B35" t="str" cm="1">
        <f t="array" ref="B35" xml:space="preserve">
_xlfn.XLOOKUP(1, (player_hero_summary!A:A=A35)*(player_hero_summary!D:D=_xlfn.MAXIFS(player_hero_summary!D:D, player_hero_summary!A:A, A35)),player_hero_summary!B:B
)</f>
        <v>Queen of Pain</v>
      </c>
      <c r="C35">
        <f>COUNTIFS([3]!players[name],A35)</f>
        <v>15</v>
      </c>
      <c r="D35" t="str" cm="1">
        <f t="array" ref="D35" xml:space="preserve">
_xlfn.XLOOKUP(
1,
(player_hero_summary!A:A=A35)*(player_hero_summary!D:D=_xlfn.MAXIFS(player_hero_summary!D:D, player_hero_summary!A:A, A35)),
player_hero_summary!C:C
)</f>
        <v>Mid</v>
      </c>
      <c r="E35">
        <f>COUNTIFS([3]!players[name],A35, [3]!players[win], 1)</f>
        <v>8</v>
      </c>
      <c r="F35" s="1">
        <f t="shared" si="0"/>
        <v>0.53333333333333333</v>
      </c>
      <c r="G35" s="2">
        <f>AVERAGEIFS([3]!players[gold_per_min], [3]!players[name],A35)</f>
        <v>600.73333333333335</v>
      </c>
      <c r="H35" s="2">
        <f>AVERAGEIFS([3]!players[xp_per_min], [3]!players[name],A35)</f>
        <v>750.86666666666667</v>
      </c>
    </row>
    <row r="36" spans="1:8" x14ac:dyDescent="0.3">
      <c r="A36" t="str">
        <v>CoYoTÃ£o</v>
      </c>
      <c r="B36" t="str" cm="1">
        <f t="array" ref="B36" xml:space="preserve">
_xlfn.XLOOKUP(1, (player_hero_summary!A:A=A36)*(player_hero_summary!D:D=_xlfn.MAXIFS(player_hero_summary!D:D, player_hero_summary!A:A, A36)),player_hero_summary!B:B
)</f>
        <v>Hoodwink</v>
      </c>
      <c r="C36">
        <f>COUNTIFS([3]!players[name],A36)</f>
        <v>21</v>
      </c>
      <c r="D36" t="str" cm="1">
        <f t="array" ref="D36" xml:space="preserve">
_xlfn.XLOOKUP(
1,
(player_hero_summary!A:A=A36)*(player_hero_summary!D:D=_xlfn.MAXIFS(player_hero_summary!D:D, player_hero_summary!A:A, A36)),
player_hero_summary!C:C
)</f>
        <v>Soft Support</v>
      </c>
      <c r="E36">
        <f>COUNTIFS([3]!players[name],A36, [3]!players[win], 1)</f>
        <v>13</v>
      </c>
      <c r="F36" s="1">
        <f t="shared" si="0"/>
        <v>0.61904761904761907</v>
      </c>
      <c r="G36" s="2">
        <f>AVERAGEIFS([3]!players[gold_per_min], [3]!players[name],A36)</f>
        <v>335.8095238095238</v>
      </c>
      <c r="H36" s="2">
        <f>AVERAGEIFS([3]!players[xp_per_min], [3]!players[name],A36)</f>
        <v>467</v>
      </c>
    </row>
    <row r="37" spans="1:8" x14ac:dyDescent="0.3">
      <c r="A37" t="str">
        <v>Cr1t-</v>
      </c>
      <c r="B37" t="str" cm="1">
        <f t="array" ref="B37" xml:space="preserve">
_xlfn.XLOOKUP(1, (player_hero_summary!A:A=A37)*(player_hero_summary!D:D=_xlfn.MAXIFS(player_hero_summary!D:D, player_hero_summary!A:A, A37)),player_hero_summary!B:B
)</f>
        <v>Hoodwink</v>
      </c>
      <c r="C37">
        <f>COUNTIFS([3]!players[name],A37)</f>
        <v>21</v>
      </c>
      <c r="D37" t="str" cm="1">
        <f t="array" ref="D37" xml:space="preserve">
_xlfn.XLOOKUP(
1,
(player_hero_summary!A:A=A37)*(player_hero_summary!D:D=_xlfn.MAXIFS(player_hero_summary!D:D, player_hero_summary!A:A, A37)),
player_hero_summary!C:C
)</f>
        <v>Hard Support</v>
      </c>
      <c r="E37">
        <f>COUNTIFS([3]!players[name],A37, [3]!players[win], 1)</f>
        <v>13</v>
      </c>
      <c r="F37" s="1">
        <f t="shared" si="0"/>
        <v>0.61904761904761907</v>
      </c>
      <c r="G37" s="2">
        <f>AVERAGEIFS([3]!players[gold_per_min], [3]!players[name],A37)</f>
        <v>361.04761904761904</v>
      </c>
      <c r="H37" s="2">
        <f>AVERAGEIFS([3]!players[xp_per_min], [3]!players[name],A37)</f>
        <v>563.76190476190482</v>
      </c>
    </row>
    <row r="38" spans="1:8" x14ac:dyDescent="0.3">
      <c r="A38" t="str">
        <v>CreepSlayer</v>
      </c>
      <c r="B38" t="str" cm="1">
        <f t="array" ref="B38" xml:space="preserve">
_xlfn.XLOOKUP(1, (player_hero_summary!A:A=A38)*(player_hero_summary!D:D=_xlfn.MAXIFS(player_hero_summary!D:D, player_hero_summary!A:A, A38)),player_hero_summary!B:B
)</f>
        <v>Axe</v>
      </c>
      <c r="C38">
        <f>COUNTIFS([3]!players[name],A38)</f>
        <v>117</v>
      </c>
      <c r="D38" t="str" cm="1">
        <f t="array" ref="D38" xml:space="preserve">
_xlfn.XLOOKUP(
1,
(player_hero_summary!A:A=A38)*(player_hero_summary!D:D=_xlfn.MAXIFS(player_hero_summary!D:D, player_hero_summary!A:A, A38)),
player_hero_summary!C:C
)</f>
        <v>Off Lane</v>
      </c>
      <c r="E38">
        <f>COUNTIFS([3]!players[name],A38, [3]!players[win], 1)</f>
        <v>61</v>
      </c>
      <c r="F38" s="1">
        <f t="shared" si="0"/>
        <v>0.5213675213675214</v>
      </c>
      <c r="G38" s="2">
        <f>AVERAGEIFS([3]!players[gold_per_min], [3]!players[name],A38)</f>
        <v>588.56410256410254</v>
      </c>
      <c r="H38" s="2">
        <f>AVERAGEIFS([3]!players[xp_per_min], [3]!players[name],A38)</f>
        <v>803.51282051282055</v>
      </c>
    </row>
    <row r="39" spans="1:8" x14ac:dyDescent="0.3">
      <c r="A39" t="str">
        <v>Crystallis</v>
      </c>
      <c r="B39" t="str" cm="1">
        <f t="array" ref="B39" xml:space="preserve">
_xlfn.XLOOKUP(1, (player_hero_summary!A:A=A39)*(player_hero_summary!D:D=_xlfn.MAXIFS(player_hero_summary!D:D, player_hero_summary!A:A, A39)),player_hero_summary!B:B
)</f>
        <v>Alchemist</v>
      </c>
      <c r="C39">
        <f>COUNTIFS([3]!players[name],A39)</f>
        <v>35</v>
      </c>
      <c r="D39" t="str" cm="1">
        <f t="array" ref="D39" xml:space="preserve">
_xlfn.XLOOKUP(
1,
(player_hero_summary!A:A=A39)*(player_hero_summary!D:D=_xlfn.MAXIFS(player_hero_summary!D:D, player_hero_summary!A:A, A39)),
player_hero_summary!C:C
)</f>
        <v>Carry</v>
      </c>
      <c r="E39">
        <f>COUNTIFS([3]!players[name],A39, [3]!players[win], 1)</f>
        <v>15</v>
      </c>
      <c r="F39" s="1">
        <f t="shared" si="0"/>
        <v>0.42857142857142855</v>
      </c>
      <c r="G39" s="2">
        <f>AVERAGEIFS([3]!players[gold_per_min], [3]!players[name],A39)</f>
        <v>693.71428571428567</v>
      </c>
      <c r="H39" s="2">
        <f>AVERAGEIFS([3]!players[xp_per_min], [3]!players[name],A39)</f>
        <v>810.34285714285716</v>
      </c>
    </row>
    <row r="40" spans="1:8" x14ac:dyDescent="0.3">
      <c r="A40" t="str">
        <v>cutie</v>
      </c>
      <c r="B40" t="str" cm="1">
        <f t="array" ref="B40" xml:space="preserve">
_xlfn.XLOOKUP(1, (player_hero_summary!A:A=A40)*(player_hero_summary!D:D=_xlfn.MAXIFS(player_hero_summary!D:D, player_hero_summary!A:A, A40)),player_hero_summary!B:B
)</f>
        <v>Beastmaster</v>
      </c>
      <c r="C40">
        <f>COUNTIFS([3]!players[name],A40)</f>
        <v>27</v>
      </c>
      <c r="D40" t="str" cm="1">
        <f t="array" ref="D40" xml:space="preserve">
_xlfn.XLOOKUP(
1,
(player_hero_summary!A:A=A40)*(player_hero_summary!D:D=_xlfn.MAXIFS(player_hero_summary!D:D, player_hero_summary!A:A, A40)),
player_hero_summary!C:C
)</f>
        <v>Carry</v>
      </c>
      <c r="E40">
        <f>COUNTIFS([3]!players[name],A40, [3]!players[win], 1)</f>
        <v>8</v>
      </c>
      <c r="F40" s="1">
        <f t="shared" si="0"/>
        <v>0.29629629629629628</v>
      </c>
      <c r="G40" s="2">
        <f>AVERAGEIFS([3]!players[gold_per_min], [3]!players[name],A40)</f>
        <v>638.92592592592598</v>
      </c>
      <c r="H40" s="2">
        <f>AVERAGEIFS([3]!players[xp_per_min], [3]!players[name],A40)</f>
        <v>721.59259259259261</v>
      </c>
    </row>
    <row r="41" spans="1:8" x14ac:dyDescent="0.3">
      <c r="A41" t="str">
        <v>d1man41g</v>
      </c>
      <c r="B41" t="str" cm="1">
        <f t="array" ref="B41" xml:space="preserve">
_xlfn.XLOOKUP(1, (player_hero_summary!A:A=A41)*(player_hero_summary!D:D=_xlfn.MAXIFS(player_hero_summary!D:D, player_hero_summary!A:A, A41)),player_hero_summary!B:B
)</f>
        <v>Puck</v>
      </c>
      <c r="C41">
        <f>COUNTIFS([3]!players[name],A41)</f>
        <v>13</v>
      </c>
      <c r="D41" t="str" cm="1">
        <f t="array" ref="D41" xml:space="preserve">
_xlfn.XLOOKUP(
1,
(player_hero_summary!A:A=A41)*(player_hero_summary!D:D=_xlfn.MAXIFS(player_hero_summary!D:D, player_hero_summary!A:A, A41)),
player_hero_summary!C:C
)</f>
        <v>Mid</v>
      </c>
      <c r="E41">
        <f>COUNTIFS([3]!players[name],A41, [3]!players[win], 1)</f>
        <v>4</v>
      </c>
      <c r="F41" s="1">
        <f t="shared" si="0"/>
        <v>0.30769230769230771</v>
      </c>
      <c r="G41" s="2">
        <f>AVERAGEIFS([3]!players[gold_per_min], [3]!players[name],A41)</f>
        <v>520.15384615384619</v>
      </c>
      <c r="H41" s="2">
        <f>AVERAGEIFS([3]!players[xp_per_min], [3]!players[name],A41)</f>
        <v>678.15384615384619</v>
      </c>
    </row>
    <row r="42" spans="1:8" x14ac:dyDescent="0.3">
      <c r="A42" t="str">
        <v>dalul</v>
      </c>
      <c r="B42" t="str" cm="1">
        <f t="array" ref="B42" xml:space="preserve">
_xlfn.XLOOKUP(1, (player_hero_summary!A:A=A42)*(player_hero_summary!D:D=_xlfn.MAXIFS(player_hero_summary!D:D, player_hero_summary!A:A, A42)),player_hero_summary!B:B
)</f>
        <v>Rubick</v>
      </c>
      <c r="C42">
        <f>COUNTIFS([3]!players[name],A42)</f>
        <v>21</v>
      </c>
      <c r="D42" t="str" cm="1">
        <f t="array" ref="D42" xml:space="preserve">
_xlfn.XLOOKUP(
1,
(player_hero_summary!A:A=A42)*(player_hero_summary!D:D=_xlfn.MAXIFS(player_hero_summary!D:D, player_hero_summary!A:A, A42)),
player_hero_summary!C:C
)</f>
        <v>Roam</v>
      </c>
      <c r="E42">
        <f>COUNTIFS([3]!players[name],A42, [3]!players[win], 1)</f>
        <v>15</v>
      </c>
      <c r="F42" s="1">
        <f t="shared" si="0"/>
        <v>0.7142857142857143</v>
      </c>
      <c r="G42" s="2">
        <f>AVERAGEIFS([3]!players[gold_per_min], [3]!players[name],A42)</f>
        <v>397.04761904761904</v>
      </c>
      <c r="H42" s="2">
        <f>AVERAGEIFS([3]!players[xp_per_min], [3]!players[name],A42)</f>
        <v>562.09523809523807</v>
      </c>
    </row>
    <row r="43" spans="1:8" x14ac:dyDescent="0.3">
      <c r="A43" t="str">
        <v>Darklord^</v>
      </c>
      <c r="B43" t="str" cm="1">
        <f t="array" ref="B43" xml:space="preserve">
_xlfn.XLOOKUP(1, (player_hero_summary!A:A=A43)*(player_hero_summary!D:D=_xlfn.MAXIFS(player_hero_summary!D:D, player_hero_summary!A:A, A43)),player_hero_summary!B:B
)</f>
        <v>Monkey King</v>
      </c>
      <c r="C43">
        <f>COUNTIFS([3]!players[name],A43)</f>
        <v>37</v>
      </c>
      <c r="D43" t="str" cm="1">
        <f t="array" ref="D43" xml:space="preserve">
_xlfn.XLOOKUP(
1,
(player_hero_summary!A:A=A43)*(player_hero_summary!D:D=_xlfn.MAXIFS(player_hero_summary!D:D, player_hero_summary!A:A, A43)),
player_hero_summary!C:C
)</f>
        <v>Carry</v>
      </c>
      <c r="E43">
        <f>COUNTIFS([3]!players[name],A43, [3]!players[win], 1)</f>
        <v>20</v>
      </c>
      <c r="F43" s="1">
        <f t="shared" si="0"/>
        <v>0.54054054054054057</v>
      </c>
      <c r="G43" s="2">
        <f>AVERAGEIFS([3]!players[gold_per_min], [3]!players[name],A43)</f>
        <v>649.67567567567562</v>
      </c>
      <c r="H43" s="2">
        <f>AVERAGEIFS([3]!players[xp_per_min], [3]!players[name],A43)</f>
        <v>769.05405405405406</v>
      </c>
    </row>
    <row r="44" spans="1:8" x14ac:dyDescent="0.3">
      <c r="A44" t="str">
        <v>DarkMagoâ™¡</v>
      </c>
      <c r="B44" t="str" cm="1">
        <f t="array" ref="B44" xml:space="preserve">
_xlfn.XLOOKUP(1, (player_hero_summary!A:A=A44)*(player_hero_summary!D:D=_xlfn.MAXIFS(player_hero_summary!D:D, player_hero_summary!A:A, A44)),player_hero_summary!B:B
)</f>
        <v>Kunkka</v>
      </c>
      <c r="C44">
        <f>COUNTIFS([3]!players[name],A44)</f>
        <v>68</v>
      </c>
      <c r="D44" t="str" cm="1">
        <f t="array" ref="D44" xml:space="preserve">
_xlfn.XLOOKUP(
1,
(player_hero_summary!A:A=A44)*(player_hero_summary!D:D=_xlfn.MAXIFS(player_hero_summary!D:D, player_hero_summary!A:A, A44)),
player_hero_summary!C:C
)</f>
        <v>Mid</v>
      </c>
      <c r="E44">
        <f>COUNTIFS([3]!players[name],A44, [3]!players[win], 1)</f>
        <v>43</v>
      </c>
      <c r="F44" s="1">
        <f t="shared" si="0"/>
        <v>0.63235294117647056</v>
      </c>
      <c r="G44" s="2">
        <f>AVERAGEIFS([3]!players[gold_per_min], [3]!players[name],A44)</f>
        <v>667.45588235294122</v>
      </c>
      <c r="H44" s="2">
        <f>AVERAGEIFS([3]!players[xp_per_min], [3]!players[name],A44)</f>
        <v>872.55882352941171</v>
      </c>
    </row>
    <row r="45" spans="1:8" x14ac:dyDescent="0.3">
      <c r="A45" t="str">
        <v>Davai Lama</v>
      </c>
      <c r="B45" t="str" cm="1">
        <f t="array" ref="B45" xml:space="preserve">
_xlfn.XLOOKUP(1, (player_hero_summary!A:A=A45)*(player_hero_summary!D:D=_xlfn.MAXIFS(player_hero_summary!D:D, player_hero_summary!A:A, A45)),player_hero_summary!B:B
)</f>
        <v>Underlord</v>
      </c>
      <c r="C45">
        <f>COUNTIFS([3]!players[name],A45)</f>
        <v>47</v>
      </c>
      <c r="D45" t="str" cm="1">
        <f t="array" ref="D45" xml:space="preserve">
_xlfn.XLOOKUP(
1,
(player_hero_summary!A:A=A45)*(player_hero_summary!D:D=_xlfn.MAXIFS(player_hero_summary!D:D, player_hero_summary!A:A, A45)),
player_hero_summary!C:C
)</f>
        <v>Off Lane</v>
      </c>
      <c r="E45">
        <f>COUNTIFS([3]!players[name],A45, [3]!players[win], 1)</f>
        <v>32</v>
      </c>
      <c r="F45" s="1">
        <f t="shared" si="0"/>
        <v>0.68085106382978722</v>
      </c>
      <c r="G45" s="2">
        <f>AVERAGEIFS([3]!players[gold_per_min], [3]!players[name],A45)</f>
        <v>556.70212765957444</v>
      </c>
      <c r="H45" s="2">
        <f>AVERAGEIFS([3]!players[xp_per_min], [3]!players[name],A45)</f>
        <v>717.936170212766</v>
      </c>
    </row>
    <row r="46" spans="1:8" x14ac:dyDescent="0.3">
      <c r="A46" t="str">
        <v>daze</v>
      </c>
      <c r="B46" t="str" cm="1">
        <f t="array" ref="B46" xml:space="preserve">
_xlfn.XLOOKUP(1, (player_hero_summary!A:A=A46)*(player_hero_summary!D:D=_xlfn.MAXIFS(player_hero_summary!D:D, player_hero_summary!A:A, A46)),player_hero_summary!B:B
)</f>
        <v>Shadow Demon</v>
      </c>
      <c r="C46">
        <f>COUNTIFS([3]!players[name],A46)</f>
        <v>21</v>
      </c>
      <c r="D46" t="str" cm="1">
        <f t="array" ref="D46" xml:space="preserve">
_xlfn.XLOOKUP(
1,
(player_hero_summary!A:A=A46)*(player_hero_summary!D:D=_xlfn.MAXIFS(player_hero_summary!D:D, player_hero_summary!A:A, A46)),
player_hero_summary!C:C
)</f>
        <v>Hard Support</v>
      </c>
      <c r="E46">
        <f>COUNTIFS([3]!players[name],A46, [3]!players[win], 1)</f>
        <v>10</v>
      </c>
      <c r="F46" s="1">
        <f t="shared" si="0"/>
        <v>0.47619047619047616</v>
      </c>
      <c r="G46" s="2">
        <f>AVERAGEIFS([3]!players[gold_per_min], [3]!players[name],A46)</f>
        <v>299.23809523809524</v>
      </c>
      <c r="H46" s="2">
        <f>AVERAGEIFS([3]!players[xp_per_min], [3]!players[name],A46)</f>
        <v>406.66666666666669</v>
      </c>
    </row>
    <row r="47" spans="1:8" x14ac:dyDescent="0.3">
      <c r="A47" t="str">
        <v>DCMC</v>
      </c>
      <c r="B47" t="str" cm="1">
        <f t="array" ref="B47" xml:space="preserve">
_xlfn.XLOOKUP(1, (player_hero_summary!A:A=A47)*(player_hero_summary!D:D=_xlfn.MAXIFS(player_hero_summary!D:D, player_hero_summary!A:A, A47)),player_hero_summary!B:B
)</f>
        <v>Pudge</v>
      </c>
      <c r="C47">
        <f>COUNTIFS([3]!players[name],A47)</f>
        <v>15</v>
      </c>
      <c r="D47" t="str" cm="1">
        <f t="array" ref="D47" xml:space="preserve">
_xlfn.XLOOKUP(
1,
(player_hero_summary!A:A=A47)*(player_hero_summary!D:D=_xlfn.MAXIFS(player_hero_summary!D:D, player_hero_summary!A:A, A47)),
player_hero_summary!C:C
)</f>
        <v>Carry</v>
      </c>
      <c r="E47">
        <f>COUNTIFS([3]!players[name],A47, [3]!players[win], 1)</f>
        <v>8</v>
      </c>
      <c r="F47" s="1">
        <f t="shared" si="0"/>
        <v>0.53333333333333333</v>
      </c>
      <c r="G47" s="2">
        <f>AVERAGEIFS([3]!players[gold_per_min], [3]!players[name],A47)</f>
        <v>691</v>
      </c>
      <c r="H47" s="2">
        <f>AVERAGEIFS([3]!players[xp_per_min], [3]!players[name],A47)</f>
        <v>840.4666666666667</v>
      </c>
    </row>
    <row r="48" spans="1:8" x14ac:dyDescent="0.3">
      <c r="A48" t="str">
        <v>DJ</v>
      </c>
      <c r="B48" t="str" cm="1">
        <f t="array" ref="B48" xml:space="preserve">
_xlfn.XLOOKUP(1, (player_hero_summary!A:A=A48)*(player_hero_summary!D:D=_xlfn.MAXIFS(player_hero_summary!D:D, player_hero_summary!A:A, A48)),player_hero_summary!B:B
)</f>
        <v>Rubick</v>
      </c>
      <c r="C48">
        <f>COUNTIFS([3]!players[name],A48)</f>
        <v>11</v>
      </c>
      <c r="D48" t="str" cm="1">
        <f t="array" ref="D48" xml:space="preserve">
_xlfn.XLOOKUP(
1,
(player_hero_summary!A:A=A48)*(player_hero_summary!D:D=_xlfn.MAXIFS(player_hero_summary!D:D, player_hero_summary!A:A, A48)),
player_hero_summary!C:C
)</f>
        <v>Soft Support</v>
      </c>
      <c r="E48">
        <f>COUNTIFS([3]!players[name],A48, [3]!players[win], 1)</f>
        <v>5</v>
      </c>
      <c r="F48" s="1">
        <f t="shared" si="0"/>
        <v>0.45454545454545453</v>
      </c>
      <c r="G48" s="2">
        <f>AVERAGEIFS([3]!players[gold_per_min], [3]!players[name],A48)</f>
        <v>333.36363636363637</v>
      </c>
      <c r="H48" s="2">
        <f>AVERAGEIFS([3]!players[xp_per_min], [3]!players[name],A48)</f>
        <v>466.36363636363637</v>
      </c>
    </row>
    <row r="49" spans="1:8" x14ac:dyDescent="0.3">
      <c r="A49" t="str">
        <v>Dukalis</v>
      </c>
      <c r="B49" t="str" cm="1">
        <f t="array" ref="B49" xml:space="preserve">
_xlfn.XLOOKUP(1, (player_hero_summary!A:A=A49)*(player_hero_summary!D:D=_xlfn.MAXIFS(player_hero_summary!D:D, player_hero_summary!A:A, A49)),player_hero_summary!B:B
)</f>
        <v>Phoenix</v>
      </c>
      <c r="C49">
        <f>COUNTIFS([3]!players[name],A49)</f>
        <v>31</v>
      </c>
      <c r="D49" t="str" cm="1">
        <f t="array" ref="D49" xml:space="preserve">
_xlfn.XLOOKUP(
1,
(player_hero_summary!A:A=A49)*(player_hero_summary!D:D=_xlfn.MAXIFS(player_hero_summary!D:D, player_hero_summary!A:A, A49)),
player_hero_summary!C:C
)</f>
        <v>Hard Support</v>
      </c>
      <c r="E49">
        <f>COUNTIFS([3]!players[name],A49, [3]!players[win], 1)</f>
        <v>23</v>
      </c>
      <c r="F49" s="1">
        <f t="shared" si="0"/>
        <v>0.74193548387096775</v>
      </c>
      <c r="G49" s="2">
        <f>AVERAGEIFS([3]!players[gold_per_min], [3]!players[name],A49)</f>
        <v>359.77419354838707</v>
      </c>
      <c r="H49" s="2">
        <f>AVERAGEIFS([3]!players[xp_per_min], [3]!players[name],A49)</f>
        <v>456.32258064516128</v>
      </c>
    </row>
    <row r="50" spans="1:8" x14ac:dyDescent="0.3">
      <c r="A50" t="str">
        <v>é¡¹ç¾½</v>
      </c>
      <c r="B50" t="str" cm="1">
        <f t="array" ref="B50" xml:space="preserve">
_xlfn.XLOOKUP(1, (player_hero_summary!A:A=A50)*(player_hero_summary!D:D=_xlfn.MAXIFS(player_hero_summary!D:D, player_hero_summary!A:A, A50)),player_hero_summary!B:B
)</f>
        <v>Dawnbreaker</v>
      </c>
      <c r="C50">
        <f>COUNTIFS([3]!players[name],A50)</f>
        <v>24</v>
      </c>
      <c r="D50" t="str" cm="1">
        <f t="array" ref="D50" xml:space="preserve">
_xlfn.XLOOKUP(
1,
(player_hero_summary!A:A=A50)*(player_hero_summary!D:D=_xlfn.MAXIFS(player_hero_summary!D:D, player_hero_summary!A:A, A50)),
player_hero_summary!C:C
)</f>
        <v>Off Lane</v>
      </c>
      <c r="E50">
        <f>COUNTIFS([3]!players[name],A50, [3]!players[win], 1)</f>
        <v>9</v>
      </c>
      <c r="F50" s="1">
        <f t="shared" si="0"/>
        <v>0.375</v>
      </c>
      <c r="G50" s="2">
        <f>AVERAGEIFS([3]!players[gold_per_min], [3]!players[name],A50)</f>
        <v>571.125</v>
      </c>
      <c r="H50" s="2">
        <f>AVERAGEIFS([3]!players[xp_per_min], [3]!players[name],A50)</f>
        <v>743.20833333333337</v>
      </c>
    </row>
    <row r="51" spans="1:8" x14ac:dyDescent="0.3">
      <c r="A51" t="str">
        <v>EchozZ</v>
      </c>
      <c r="B51" t="str" cm="1">
        <f t="array" ref="B51" xml:space="preserve">
_xlfn.XLOOKUP(1, (player_hero_summary!A:A=A51)*(player_hero_summary!D:D=_xlfn.MAXIFS(player_hero_summary!D:D, player_hero_summary!A:A, A51)),player_hero_summary!B:B
)</f>
        <v>Sand King</v>
      </c>
      <c r="C51">
        <f>COUNTIFS([3]!players[name],A51)</f>
        <v>15</v>
      </c>
      <c r="D51" t="str" cm="1">
        <f t="array" ref="D51" xml:space="preserve">
_xlfn.XLOOKUP(
1,
(player_hero_summary!A:A=A51)*(player_hero_summary!D:D=_xlfn.MAXIFS(player_hero_summary!D:D, player_hero_summary!A:A, A51)),
player_hero_summary!C:C
)</f>
        <v>Mid</v>
      </c>
      <c r="E51">
        <f>COUNTIFS([3]!players[name],A51, [3]!players[win], 1)</f>
        <v>10</v>
      </c>
      <c r="F51" s="1">
        <f t="shared" si="0"/>
        <v>0.66666666666666663</v>
      </c>
      <c r="G51" s="2">
        <f>AVERAGEIFS([3]!players[gold_per_min], [3]!players[name],A51)</f>
        <v>549.33333333333337</v>
      </c>
      <c r="H51" s="2">
        <f>AVERAGEIFS([3]!players[xp_per_min], [3]!players[name],A51)</f>
        <v>693.26666666666665</v>
      </c>
    </row>
    <row r="52" spans="1:8" x14ac:dyDescent="0.3">
      <c r="A52" t="str">
        <v>Ekki</v>
      </c>
      <c r="B52" t="str" cm="1">
        <f t="array" ref="B52" xml:space="preserve">
_xlfn.XLOOKUP(1, (player_hero_summary!A:A=A52)*(player_hero_summary!D:D=_xlfn.MAXIFS(player_hero_summary!D:D, player_hero_summary!A:A, A52)),player_hero_summary!B:B
)</f>
        <v>Hoodwink</v>
      </c>
      <c r="C52">
        <f>COUNTIFS([3]!players[name],A52)</f>
        <v>38</v>
      </c>
      <c r="D52" t="str" cm="1">
        <f t="array" ref="D52" xml:space="preserve">
_xlfn.XLOOKUP(
1,
(player_hero_summary!A:A=A52)*(player_hero_summary!D:D=_xlfn.MAXIFS(player_hero_summary!D:D, player_hero_summary!A:A, A52)),
player_hero_summary!C:C
)</f>
        <v>Soft Support</v>
      </c>
      <c r="E52">
        <f>COUNTIFS([3]!players[name],A52, [3]!players[win], 1)</f>
        <v>23</v>
      </c>
      <c r="F52" s="1">
        <f t="shared" si="0"/>
        <v>0.60526315789473684</v>
      </c>
      <c r="G52" s="2">
        <f>AVERAGEIFS([3]!players[gold_per_min], [3]!players[name],A52)</f>
        <v>369.55263157894734</v>
      </c>
      <c r="H52" s="2">
        <f>AVERAGEIFS([3]!players[xp_per_min], [3]!players[name],A52)</f>
        <v>552.31578947368416</v>
      </c>
    </row>
    <row r="53" spans="1:8" x14ac:dyDescent="0.3">
      <c r="A53" t="str">
        <v>Elmisho</v>
      </c>
      <c r="B53" t="str" cm="1">
        <f t="array" ref="B53" xml:space="preserve">
_xlfn.XLOOKUP(1, (player_hero_summary!A:A=A53)*(player_hero_summary!D:D=_xlfn.MAXIFS(player_hero_summary!D:D, player_hero_summary!A:A, A53)),player_hero_summary!B:B
)</f>
        <v>Enchantress</v>
      </c>
      <c r="C53">
        <f>COUNTIFS([3]!players[name],A53)</f>
        <v>68</v>
      </c>
      <c r="D53" t="str" cm="1">
        <f t="array" ref="D53" xml:space="preserve">
_xlfn.XLOOKUP(
1,
(player_hero_summary!A:A=A53)*(player_hero_summary!D:D=_xlfn.MAXIFS(player_hero_summary!D:D, player_hero_summary!A:A, A53)),
player_hero_summary!C:C
)</f>
        <v>Soft Support</v>
      </c>
      <c r="E53">
        <f>COUNTIFS([3]!players[name],A53, [3]!players[win], 1)</f>
        <v>43</v>
      </c>
      <c r="F53" s="1">
        <f t="shared" si="0"/>
        <v>0.63235294117647056</v>
      </c>
      <c r="G53" s="2">
        <f>AVERAGEIFS([3]!players[gold_per_min], [3]!players[name],A53)</f>
        <v>367.04411764705884</v>
      </c>
      <c r="H53" s="2">
        <f>AVERAGEIFS([3]!players[xp_per_min], [3]!players[name],A53)</f>
        <v>498.73529411764707</v>
      </c>
    </row>
    <row r="54" spans="1:8" x14ac:dyDescent="0.3">
      <c r="A54" t="str">
        <v>Emo</v>
      </c>
      <c r="B54" t="str" cm="1">
        <f t="array" ref="B54" xml:space="preserve">
_xlfn.XLOOKUP(1, (player_hero_summary!A:A=A54)*(player_hero_summary!D:D=_xlfn.MAXIFS(player_hero_summary!D:D, player_hero_summary!A:A, A54)),player_hero_summary!B:B
)</f>
        <v>Storm Spirit</v>
      </c>
      <c r="C54">
        <f>COUNTIFS([3]!players[name],A54)</f>
        <v>26</v>
      </c>
      <c r="D54" t="str" cm="1">
        <f t="array" ref="D54" xml:space="preserve">
_xlfn.XLOOKUP(
1,
(player_hero_summary!A:A=A54)*(player_hero_summary!D:D=_xlfn.MAXIFS(player_hero_summary!D:D, player_hero_summary!A:A, A54)),
player_hero_summary!C:C
)</f>
        <v>Mid</v>
      </c>
      <c r="E54">
        <f>COUNTIFS([3]!players[name],A54, [3]!players[win], 1)</f>
        <v>17</v>
      </c>
      <c r="F54" s="1">
        <f t="shared" si="0"/>
        <v>0.65384615384615385</v>
      </c>
      <c r="G54" s="2">
        <f>AVERAGEIFS([3]!players[gold_per_min], [3]!players[name],A54)</f>
        <v>607.23076923076928</v>
      </c>
      <c r="H54" s="2">
        <f>AVERAGEIFS([3]!players[xp_per_min], [3]!players[name],A54)</f>
        <v>747.30769230769226</v>
      </c>
    </row>
    <row r="55" spans="1:8" x14ac:dyDescent="0.3">
      <c r="A55" t="str">
        <v>Erice</v>
      </c>
      <c r="B55" t="str" cm="1">
        <f t="array" ref="B55" xml:space="preserve">
_xlfn.XLOOKUP(1, (player_hero_summary!A:A=A55)*(player_hero_summary!D:D=_xlfn.MAXIFS(player_hero_summary!D:D, player_hero_summary!A:A, A55)),player_hero_summary!B:B
)</f>
        <v>Rubick</v>
      </c>
      <c r="C55">
        <f>COUNTIFS([3]!players[name],A55)</f>
        <v>22</v>
      </c>
      <c r="D55" t="str" cm="1">
        <f t="array" ref="D55" xml:space="preserve">
_xlfn.XLOOKUP(
1,
(player_hero_summary!A:A=A55)*(player_hero_summary!D:D=_xlfn.MAXIFS(player_hero_summary!D:D, player_hero_summary!A:A, A55)),
player_hero_summary!C:C
)</f>
        <v>Hard Support</v>
      </c>
      <c r="E55">
        <f>COUNTIFS([3]!players[name],A55, [3]!players[win], 1)</f>
        <v>14</v>
      </c>
      <c r="F55" s="1">
        <f t="shared" si="0"/>
        <v>0.63636363636363635</v>
      </c>
      <c r="G55" s="2">
        <f>AVERAGEIFS([3]!players[gold_per_min], [3]!players[name],A55)</f>
        <v>312.04545454545456</v>
      </c>
      <c r="H55" s="2">
        <f>AVERAGEIFS([3]!players[xp_per_min], [3]!players[name],A55)</f>
        <v>454.13636363636363</v>
      </c>
    </row>
    <row r="56" spans="1:8" x14ac:dyDescent="0.3">
      <c r="A56" t="str">
        <v>Ethereal</v>
      </c>
      <c r="B56" t="str" cm="1">
        <f t="array" ref="B56" xml:space="preserve">
_xlfn.XLOOKUP(1, (player_hero_summary!A:A=A56)*(player_hero_summary!D:D=_xlfn.MAXIFS(player_hero_summary!D:D, player_hero_summary!A:A, A56)),player_hero_summary!B:B
)</f>
        <v>Puck</v>
      </c>
      <c r="C56">
        <f>COUNTIFS([3]!players[name],A56)</f>
        <v>49</v>
      </c>
      <c r="D56" t="str" cm="1">
        <f t="array" ref="D56" xml:space="preserve">
_xlfn.XLOOKUP(
1,
(player_hero_summary!A:A=A56)*(player_hero_summary!D:D=_xlfn.MAXIFS(player_hero_summary!D:D, player_hero_summary!A:A, A56)),
player_hero_summary!C:C
)</f>
        <v>Mid</v>
      </c>
      <c r="E56">
        <f>COUNTIFS([3]!players[name],A56, [3]!players[win], 1)</f>
        <v>25</v>
      </c>
      <c r="F56" s="1">
        <f t="shared" si="0"/>
        <v>0.51020408163265307</v>
      </c>
      <c r="G56" s="2">
        <f>AVERAGEIFS([3]!players[gold_per_min], [3]!players[name],A56)</f>
        <v>589.69387755102036</v>
      </c>
      <c r="H56" s="2">
        <f>AVERAGEIFS([3]!players[xp_per_min], [3]!players[name],A56)</f>
        <v>743.67346938775506</v>
      </c>
    </row>
    <row r="57" spans="1:8" x14ac:dyDescent="0.3">
      <c r="A57" t="str">
        <v>Faker</v>
      </c>
      <c r="B57" t="str" cm="1">
        <f t="array" ref="B57" xml:space="preserve">
_xlfn.XLOOKUP(1, (player_hero_summary!A:A=A57)*(player_hero_summary!D:D=_xlfn.MAXIFS(player_hero_summary!D:D, player_hero_summary!A:A, A57)),player_hero_summary!B:B
)</f>
        <v>Pangolier</v>
      </c>
      <c r="C57">
        <f>COUNTIFS([3]!players[name],A57)</f>
        <v>12</v>
      </c>
      <c r="D57" t="str" cm="1">
        <f t="array" ref="D57" xml:space="preserve">
_xlfn.XLOOKUP(
1,
(player_hero_summary!A:A=A57)*(player_hero_summary!D:D=_xlfn.MAXIFS(player_hero_summary!D:D, player_hero_summary!A:A, A57)),
player_hero_summary!C:C
)</f>
        <v>Mid</v>
      </c>
      <c r="E57">
        <f>COUNTIFS([3]!players[name],A57, [3]!players[win], 1)</f>
        <v>5</v>
      </c>
      <c r="F57" s="1">
        <f t="shared" si="0"/>
        <v>0.41666666666666669</v>
      </c>
      <c r="G57" s="2">
        <f>AVERAGEIFS([3]!players[gold_per_min], [3]!players[name],A57)</f>
        <v>507.08333333333331</v>
      </c>
      <c r="H57" s="2">
        <f>AVERAGEIFS([3]!players[xp_per_min], [3]!players[name],A57)</f>
        <v>615.58333333333337</v>
      </c>
    </row>
    <row r="58" spans="1:8" x14ac:dyDescent="0.3">
      <c r="A58" t="str">
        <v>Fantassy19-</v>
      </c>
      <c r="B58" t="str" cm="1">
        <f t="array" ref="B58" xml:space="preserve">
_xlfn.XLOOKUP(1, (player_hero_summary!A:A=A58)*(player_hero_summary!D:D=_xlfn.MAXIFS(player_hero_summary!D:D, player_hero_summary!A:A, A58)),player_hero_summary!B:B
)</f>
        <v>Pangolier</v>
      </c>
      <c r="C58">
        <f>COUNTIFS([3]!players[name],A58)</f>
        <v>7</v>
      </c>
      <c r="D58" t="str" cm="1">
        <f t="array" ref="D58" xml:space="preserve">
_xlfn.XLOOKUP(
1,
(player_hero_summary!A:A=A58)*(player_hero_summary!D:D=_xlfn.MAXIFS(player_hero_summary!D:D, player_hero_summary!A:A, A58)),
player_hero_summary!C:C
)</f>
        <v>Off Lane</v>
      </c>
      <c r="E58">
        <f>COUNTIFS([3]!players[name],A58, [3]!players[win], 1)</f>
        <v>5</v>
      </c>
      <c r="F58" s="1">
        <f t="shared" si="0"/>
        <v>0.7142857142857143</v>
      </c>
      <c r="G58" s="2">
        <f>AVERAGEIFS([3]!players[gold_per_min], [3]!players[name],A58)</f>
        <v>557.28571428571433</v>
      </c>
      <c r="H58" s="2">
        <f>AVERAGEIFS([3]!players[xp_per_min], [3]!players[name],A58)</f>
        <v>686.71428571428567</v>
      </c>
    </row>
    <row r="59" spans="1:8" x14ac:dyDescent="0.3">
      <c r="A59" t="str">
        <v>Fayde</v>
      </c>
      <c r="B59" t="str" cm="1">
        <f t="array" ref="B59" xml:space="preserve">
_xlfn.XLOOKUP(1, (player_hero_summary!A:A=A59)*(player_hero_summary!D:D=_xlfn.MAXIFS(player_hero_summary!D:D, player_hero_summary!A:A, A59)),player_hero_summary!B:B
)</f>
        <v>Slardar</v>
      </c>
      <c r="C59">
        <f>COUNTIFS([3]!players[name],A59)</f>
        <v>37</v>
      </c>
      <c r="D59" t="str" cm="1">
        <f t="array" ref="D59" xml:space="preserve">
_xlfn.XLOOKUP(
1,
(player_hero_summary!A:A=A59)*(player_hero_summary!D:D=_xlfn.MAXIFS(player_hero_summary!D:D, player_hero_summary!A:A, A59)),
player_hero_summary!C:C
)</f>
        <v>Off Lane</v>
      </c>
      <c r="E59">
        <f>COUNTIFS([3]!players[name],A59, [3]!players[win], 1)</f>
        <v>23</v>
      </c>
      <c r="F59" s="1">
        <f t="shared" si="0"/>
        <v>0.6216216216216216</v>
      </c>
      <c r="G59" s="2">
        <f>AVERAGEIFS([3]!players[gold_per_min], [3]!players[name],A59)</f>
        <v>576.72972972972968</v>
      </c>
      <c r="H59" s="2">
        <f>AVERAGEIFS([3]!players[xp_per_min], [3]!players[name],A59)</f>
        <v>769.29729729729729</v>
      </c>
    </row>
    <row r="60" spans="1:8" x14ac:dyDescent="0.3">
      <c r="A60" t="str">
        <v>Fbz</v>
      </c>
      <c r="B60" t="str" cm="1">
        <f t="array" ref="B60" xml:space="preserve">
_xlfn.XLOOKUP(1, (player_hero_summary!A:A=A60)*(player_hero_summary!D:D=_xlfn.MAXIFS(player_hero_summary!D:D, player_hero_summary!A:A, A60)),player_hero_summary!B:B
)</f>
        <v>Bristleback</v>
      </c>
      <c r="C60">
        <f>COUNTIFS([3]!players[name],A60)</f>
        <v>21</v>
      </c>
      <c r="D60" t="str" cm="1">
        <f t="array" ref="D60" xml:space="preserve">
_xlfn.XLOOKUP(
1,
(player_hero_summary!A:A=A60)*(player_hero_summary!D:D=_xlfn.MAXIFS(player_hero_summary!D:D, player_hero_summary!A:A, A60)),
player_hero_summary!C:C
)</f>
        <v>Off Lane</v>
      </c>
      <c r="E60">
        <f>COUNTIFS([3]!players[name],A60, [3]!players[win], 1)</f>
        <v>15</v>
      </c>
      <c r="F60" s="1">
        <f t="shared" si="0"/>
        <v>0.7142857142857143</v>
      </c>
      <c r="G60" s="2">
        <f>AVERAGEIFS([3]!players[gold_per_min], [3]!players[name],A60)</f>
        <v>568.28571428571433</v>
      </c>
      <c r="H60" s="2">
        <f>AVERAGEIFS([3]!players[xp_per_min], [3]!players[name],A60)</f>
        <v>760.42857142857144</v>
      </c>
    </row>
    <row r="61" spans="1:8" x14ac:dyDescent="0.3">
      <c r="A61" t="str">
        <v>Fernans</v>
      </c>
      <c r="B61" t="str" cm="1">
        <f t="array" ref="B61" xml:space="preserve">
_xlfn.XLOOKUP(1, (player_hero_summary!A:A=A61)*(player_hero_summary!D:D=_xlfn.MAXIFS(player_hero_summary!D:D, player_hero_summary!A:A, A61)),player_hero_summary!B:B
)</f>
        <v>Rubick</v>
      </c>
      <c r="C61">
        <f>COUNTIFS([3]!players[name],A61)</f>
        <v>33</v>
      </c>
      <c r="D61" t="str" cm="1">
        <f t="array" ref="D61" xml:space="preserve">
_xlfn.XLOOKUP(
1,
(player_hero_summary!A:A=A61)*(player_hero_summary!D:D=_xlfn.MAXIFS(player_hero_summary!D:D, player_hero_summary!A:A, A61)),
player_hero_summary!C:C
)</f>
        <v>Soft Support</v>
      </c>
      <c r="E61">
        <f>COUNTIFS([3]!players[name],A61, [3]!players[win], 1)</f>
        <v>23</v>
      </c>
      <c r="F61" s="1">
        <f t="shared" si="0"/>
        <v>0.69696969696969702</v>
      </c>
      <c r="G61" s="2">
        <f>AVERAGEIFS([3]!players[gold_per_min], [3]!players[name],A61)</f>
        <v>348.21212121212119</v>
      </c>
      <c r="H61" s="2">
        <f>AVERAGEIFS([3]!players[xp_per_min], [3]!players[name],A61)</f>
        <v>519.06060606060601</v>
      </c>
    </row>
    <row r="62" spans="1:8" x14ac:dyDescent="0.3">
      <c r="A62" t="str">
        <v>Fly</v>
      </c>
      <c r="B62" t="str" cm="1">
        <f t="array" ref="B62" xml:space="preserve">
_xlfn.XLOOKUP(1, (player_hero_summary!A:A=A62)*(player_hero_summary!D:D=_xlfn.MAXIFS(player_hero_summary!D:D, player_hero_summary!A:A, A62)),player_hero_summary!B:B
)</f>
        <v>Jakiro</v>
      </c>
      <c r="C62">
        <f>COUNTIFS([3]!players[name],A62)</f>
        <v>27</v>
      </c>
      <c r="D62" t="str" cm="1">
        <f t="array" ref="D62" xml:space="preserve">
_xlfn.XLOOKUP(
1,
(player_hero_summary!A:A=A62)*(player_hero_summary!D:D=_xlfn.MAXIFS(player_hero_summary!D:D, player_hero_summary!A:A, A62)),
player_hero_summary!C:C
)</f>
        <v>Hard Support</v>
      </c>
      <c r="E62">
        <f>COUNTIFS([3]!players[name],A62, [3]!players[win], 1)</f>
        <v>12</v>
      </c>
      <c r="F62" s="1">
        <f t="shared" si="0"/>
        <v>0.44444444444444442</v>
      </c>
      <c r="G62" s="2">
        <f>AVERAGEIFS([3]!players[gold_per_min], [3]!players[name],A62)</f>
        <v>344.33333333333331</v>
      </c>
      <c r="H62" s="2">
        <f>AVERAGEIFS([3]!players[xp_per_min], [3]!players[name],A62)</f>
        <v>429.7037037037037</v>
      </c>
    </row>
    <row r="63" spans="1:8" x14ac:dyDescent="0.3">
      <c r="A63" t="str">
        <v>flyfly</v>
      </c>
      <c r="B63" t="str" cm="1">
        <f t="array" ref="B63" xml:space="preserve">
_xlfn.XLOOKUP(1, (player_hero_summary!A:A=A63)*(player_hero_summary!D:D=_xlfn.MAXIFS(player_hero_summary!D:D, player_hero_summary!A:A, A63)),player_hero_summary!B:B
)</f>
        <v>Weaver</v>
      </c>
      <c r="C63">
        <f>COUNTIFS([3]!players[name],A63)</f>
        <v>14</v>
      </c>
      <c r="D63" t="str" cm="1">
        <f t="array" ref="D63" xml:space="preserve">
_xlfn.XLOOKUP(
1,
(player_hero_summary!A:A=A63)*(player_hero_summary!D:D=_xlfn.MAXIFS(player_hero_summary!D:D, player_hero_summary!A:A, A63)),
player_hero_summary!C:C
)</f>
        <v>Carry</v>
      </c>
      <c r="E63">
        <f>COUNTIFS([3]!players[name],A63, [3]!players[win], 1)</f>
        <v>6</v>
      </c>
      <c r="F63" s="1">
        <f t="shared" si="0"/>
        <v>0.42857142857142855</v>
      </c>
      <c r="G63" s="2">
        <f>AVERAGEIFS([3]!players[gold_per_min], [3]!players[name],A63)</f>
        <v>598.85714285714289</v>
      </c>
      <c r="H63" s="2">
        <f>AVERAGEIFS([3]!players[xp_per_min], [3]!players[name],A63)</f>
        <v>667.71428571428567</v>
      </c>
    </row>
    <row r="64" spans="1:8" x14ac:dyDescent="0.3">
      <c r="A64" t="str">
        <v>fy</v>
      </c>
      <c r="B64" t="str" cm="1">
        <f t="array" ref="B64" xml:space="preserve">
_xlfn.XLOOKUP(1, (player_hero_summary!A:A=A64)*(player_hero_summary!D:D=_xlfn.MAXIFS(player_hero_summary!D:D, player_hero_summary!A:A, A64)),player_hero_summary!B:B
)</f>
        <v>Hoodwink</v>
      </c>
      <c r="C64">
        <f>COUNTIFS([3]!players[name],A64)</f>
        <v>18</v>
      </c>
      <c r="D64" t="str" cm="1">
        <f t="array" ref="D64" xml:space="preserve">
_xlfn.XLOOKUP(
1,
(player_hero_summary!A:A=A64)*(player_hero_summary!D:D=_xlfn.MAXIFS(player_hero_summary!D:D, player_hero_summary!A:A, A64)),
player_hero_summary!C:C
)</f>
        <v>Soft Support</v>
      </c>
      <c r="E64">
        <f>COUNTIFS([3]!players[name],A64, [3]!players[win], 1)</f>
        <v>12</v>
      </c>
      <c r="F64" s="1">
        <f t="shared" si="0"/>
        <v>0.66666666666666663</v>
      </c>
      <c r="G64" s="2">
        <f>AVERAGEIFS([3]!players[gold_per_min], [3]!players[name],A64)</f>
        <v>350.11111111111109</v>
      </c>
      <c r="H64" s="2">
        <f>AVERAGEIFS([3]!players[xp_per_min], [3]!players[name],A64)</f>
        <v>489</v>
      </c>
    </row>
    <row r="65" spans="1:8" x14ac:dyDescent="0.3">
      <c r="A65" t="str">
        <v>gbc</v>
      </c>
      <c r="B65" t="str" cm="1">
        <f t="array" ref="B65" xml:space="preserve">
_xlfn.XLOOKUP(1, (player_hero_summary!A:A=A65)*(player_hero_summary!D:D=_xlfn.MAXIFS(player_hero_summary!D:D, player_hero_summary!A:A, A65)),player_hero_summary!B:B
)</f>
        <v>Puck</v>
      </c>
      <c r="C65">
        <f>COUNTIFS([3]!players[name],A65)</f>
        <v>16</v>
      </c>
      <c r="D65" t="str" cm="1">
        <f t="array" ref="D65" xml:space="preserve">
_xlfn.XLOOKUP(
1,
(player_hero_summary!A:A=A65)*(player_hero_summary!D:D=_xlfn.MAXIFS(player_hero_summary!D:D, player_hero_summary!A:A, A65)),
player_hero_summary!C:C
)</f>
        <v>Mid</v>
      </c>
      <c r="E65">
        <f>COUNTIFS([3]!players[name],A65, [3]!players[win], 1)</f>
        <v>6</v>
      </c>
      <c r="F65" s="1">
        <f t="shared" si="0"/>
        <v>0.375</v>
      </c>
      <c r="G65" s="2">
        <f>AVERAGEIFS([3]!players[gold_per_min], [3]!players[name],A65)</f>
        <v>488.75</v>
      </c>
      <c r="H65" s="2">
        <f>AVERAGEIFS([3]!players[xp_per_min], [3]!players[name],A65)</f>
        <v>573.1875</v>
      </c>
    </row>
    <row r="66" spans="1:8" x14ac:dyDescent="0.3">
      <c r="A66" t="str">
        <v>GH</v>
      </c>
      <c r="B66" t="str" cm="1">
        <f t="array" ref="B66" xml:space="preserve">
_xlfn.XLOOKUP(1, (player_hero_summary!A:A=A66)*(player_hero_summary!D:D=_xlfn.MAXIFS(player_hero_summary!D:D, player_hero_summary!A:A, A66)),player_hero_summary!B:B
)</f>
        <v>Phoenix</v>
      </c>
      <c r="C66">
        <f>COUNTIFS([3]!players[name],A66)</f>
        <v>49</v>
      </c>
      <c r="D66" t="str" cm="1">
        <f t="array" ref="D66" xml:space="preserve">
_xlfn.XLOOKUP(
1,
(player_hero_summary!A:A=A66)*(player_hero_summary!D:D=_xlfn.MAXIFS(player_hero_summary!D:D, player_hero_summary!A:A, A66)),
player_hero_summary!C:C
)</f>
        <v>Soft Support</v>
      </c>
      <c r="E66">
        <f>COUNTIFS([3]!players[name],A66, [3]!players[win], 1)</f>
        <v>34</v>
      </c>
      <c r="F66" s="1">
        <f t="shared" si="0"/>
        <v>0.69387755102040816</v>
      </c>
      <c r="G66" s="2">
        <f>AVERAGEIFS([3]!players[gold_per_min], [3]!players[name],A66)</f>
        <v>360.24489795918367</v>
      </c>
      <c r="H66" s="2">
        <f>AVERAGEIFS([3]!players[xp_per_min], [3]!players[name],A66)</f>
        <v>488.0204081632653</v>
      </c>
    </row>
    <row r="67" spans="1:8" x14ac:dyDescent="0.3">
      <c r="A67" t="str">
        <v>Ghost</v>
      </c>
      <c r="B67" t="str" cm="1">
        <f t="array" ref="B67" xml:space="preserve">
_xlfn.XLOOKUP(1, (player_hero_summary!A:A=A67)*(player_hero_summary!D:D=_xlfn.MAXIFS(player_hero_summary!D:D, player_hero_summary!A:A, A67)),player_hero_summary!B:B
)</f>
        <v>Muerta</v>
      </c>
      <c r="C67">
        <f>COUNTIFS([3]!players[name],A67)</f>
        <v>37</v>
      </c>
      <c r="D67" t="str" cm="1">
        <f t="array" ref="D67" xml:space="preserve">
_xlfn.XLOOKUP(
1,
(player_hero_summary!A:A=A67)*(player_hero_summary!D:D=_xlfn.MAXIFS(player_hero_summary!D:D, player_hero_summary!A:A, A67)),
player_hero_summary!C:C
)</f>
        <v>Carry</v>
      </c>
      <c r="E67">
        <f>COUNTIFS([3]!players[name],A67, [3]!players[win], 1)</f>
        <v>23</v>
      </c>
      <c r="F67" s="1">
        <f t="shared" ref="F67:F130" si="1">E67/C67</f>
        <v>0.6216216216216216</v>
      </c>
      <c r="G67" s="2">
        <f>AVERAGEIFS([3]!players[gold_per_min], [3]!players[name],A67)</f>
        <v>750.59459459459458</v>
      </c>
      <c r="H67" s="2">
        <f>AVERAGEIFS([3]!players[xp_per_min], [3]!players[name],A67)</f>
        <v>847.64864864864865</v>
      </c>
    </row>
    <row r="68" spans="1:8" x14ac:dyDescent="0.3">
      <c r="A68" t="str">
        <v>Gothic-</v>
      </c>
      <c r="B68" t="str" cm="1">
        <f t="array" ref="B68" xml:space="preserve">
_xlfn.XLOOKUP(1, (player_hero_summary!A:A=A68)*(player_hero_summary!D:D=_xlfn.MAXIFS(player_hero_summary!D:D, player_hero_summary!A:A, A68)),player_hero_summary!B:B
)</f>
        <v>Rubick</v>
      </c>
      <c r="C68">
        <f>COUNTIFS([3]!players[name],A68)</f>
        <v>16</v>
      </c>
      <c r="D68" t="str" cm="1">
        <f t="array" ref="D68" xml:space="preserve">
_xlfn.XLOOKUP(
1,
(player_hero_summary!A:A=A68)*(player_hero_summary!D:D=_xlfn.MAXIFS(player_hero_summary!D:D, player_hero_summary!A:A, A68)),
player_hero_summary!C:C
)</f>
        <v>Hard Support</v>
      </c>
      <c r="E68">
        <f>COUNTIFS([3]!players[name],A68, [3]!players[win], 1)</f>
        <v>6</v>
      </c>
      <c r="F68" s="1">
        <f t="shared" si="1"/>
        <v>0.375</v>
      </c>
      <c r="G68" s="2">
        <f>AVERAGEIFS([3]!players[gold_per_min], [3]!players[name],A68)</f>
        <v>308.5</v>
      </c>
      <c r="H68" s="2">
        <f>AVERAGEIFS([3]!players[xp_per_min], [3]!players[name],A68)</f>
        <v>412.5</v>
      </c>
    </row>
    <row r="69" spans="1:8" x14ac:dyDescent="0.3">
      <c r="A69" t="str">
        <v>gotthejuice</v>
      </c>
      <c r="B69" t="str" cm="1">
        <f t="array" ref="B69" xml:space="preserve">
_xlfn.XLOOKUP(1, (player_hero_summary!A:A=A69)*(player_hero_summary!D:D=_xlfn.MAXIFS(player_hero_summary!D:D, player_hero_summary!A:A, A69)),player_hero_summary!B:B
)</f>
        <v>Monkey King</v>
      </c>
      <c r="C69">
        <f>COUNTIFS([3]!players[name],A69)</f>
        <v>21</v>
      </c>
      <c r="D69" t="str" cm="1">
        <f t="array" ref="D69" xml:space="preserve">
_xlfn.XLOOKUP(
1,
(player_hero_summary!A:A=A69)*(player_hero_summary!D:D=_xlfn.MAXIFS(player_hero_summary!D:D, player_hero_summary!A:A, A69)),
player_hero_summary!C:C
)</f>
        <v>Carry</v>
      </c>
      <c r="E69">
        <f>COUNTIFS([3]!players[name],A69, [3]!players[win], 1)</f>
        <v>10</v>
      </c>
      <c r="F69" s="1">
        <f t="shared" si="1"/>
        <v>0.47619047619047616</v>
      </c>
      <c r="G69" s="2">
        <f>AVERAGEIFS([3]!players[gold_per_min], [3]!players[name],A69)</f>
        <v>732.76190476190482</v>
      </c>
      <c r="H69" s="2">
        <f>AVERAGEIFS([3]!players[xp_per_min], [3]!players[name],A69)</f>
        <v>823.23809523809518</v>
      </c>
    </row>
    <row r="70" spans="1:8" x14ac:dyDescent="0.3">
      <c r="A70" t="str">
        <v>gpk~</v>
      </c>
      <c r="B70" t="str" cm="1">
        <f t="array" ref="B70" xml:space="preserve">
_xlfn.XLOOKUP(1, (player_hero_summary!A:A=A70)*(player_hero_summary!D:D=_xlfn.MAXIFS(player_hero_summary!D:D, player_hero_summary!A:A, A70)),player_hero_summary!B:B
)</f>
        <v>Pangolier</v>
      </c>
      <c r="C70">
        <f>COUNTIFS([3]!players[name],A70)</f>
        <v>34</v>
      </c>
      <c r="D70" t="str" cm="1">
        <f t="array" ref="D70" xml:space="preserve">
_xlfn.XLOOKUP(
1,
(player_hero_summary!A:A=A70)*(player_hero_summary!D:D=_xlfn.MAXIFS(player_hero_summary!D:D, player_hero_summary!A:A, A70)),
player_hero_summary!C:C
)</f>
        <v>Mid</v>
      </c>
      <c r="E70">
        <f>COUNTIFS([3]!players[name],A70, [3]!players[win], 1)</f>
        <v>27</v>
      </c>
      <c r="F70" s="1">
        <f t="shared" si="1"/>
        <v>0.79411764705882348</v>
      </c>
      <c r="G70" s="2">
        <f>AVERAGEIFS([3]!players[gold_per_min], [3]!players[name],A70)</f>
        <v>643.44117647058829</v>
      </c>
      <c r="H70" s="2">
        <f>AVERAGEIFS([3]!players[xp_per_min], [3]!players[name],A70)</f>
        <v>851.08823529411768</v>
      </c>
    </row>
    <row r="71" spans="1:8" x14ac:dyDescent="0.3">
      <c r="A71" t="str">
        <v>Han</v>
      </c>
      <c r="B71" t="str" cm="1">
        <f t="array" ref="B71" xml:space="preserve">
_xlfn.XLOOKUP(1, (player_hero_summary!A:A=A71)*(player_hero_summary!D:D=_xlfn.MAXIFS(player_hero_summary!D:D, player_hero_summary!A:A, A71)),player_hero_summary!B:B
)</f>
        <v>Storm Spirit</v>
      </c>
      <c r="C71">
        <f>COUNTIFS([3]!players[name],A71)</f>
        <v>24</v>
      </c>
      <c r="D71" t="str" cm="1">
        <f t="array" ref="D71" xml:space="preserve">
_xlfn.XLOOKUP(
1,
(player_hero_summary!A:A=A71)*(player_hero_summary!D:D=_xlfn.MAXIFS(player_hero_summary!D:D, player_hero_summary!A:A, A71)),
player_hero_summary!C:C
)</f>
        <v>Mid</v>
      </c>
      <c r="E71">
        <f>COUNTIFS([3]!players[name],A71, [3]!players[win], 1)</f>
        <v>9</v>
      </c>
      <c r="F71" s="1">
        <f t="shared" si="1"/>
        <v>0.375</v>
      </c>
      <c r="G71" s="2">
        <f>AVERAGEIFS([3]!players[gold_per_min], [3]!players[name],A71)</f>
        <v>563.66666666666663</v>
      </c>
      <c r="H71" s="2">
        <f>AVERAGEIFS([3]!players[xp_per_min], [3]!players[name],A71)</f>
        <v>692.95833333333337</v>
      </c>
    </row>
    <row r="72" spans="1:8" x14ac:dyDescent="0.3">
      <c r="A72" t="str">
        <v>Hanzama &lt;</v>
      </c>
      <c r="B72" t="str" cm="1">
        <f t="array" ref="B72" xml:space="preserve">
_xlfn.XLOOKUP(1, (player_hero_summary!A:A=A72)*(player_hero_summary!D:D=_xlfn.MAXIFS(player_hero_summary!D:D, player_hero_summary!A:A, A72)),player_hero_summary!B:B
)</f>
        <v>Venomancer</v>
      </c>
      <c r="C72">
        <f>COUNTIFS([3]!players[name],A72)</f>
        <v>21</v>
      </c>
      <c r="D72" t="str" cm="1">
        <f t="array" ref="D72" xml:space="preserve">
_xlfn.XLOOKUP(
1,
(player_hero_summary!A:A=A72)*(player_hero_summary!D:D=_xlfn.MAXIFS(player_hero_summary!D:D, player_hero_summary!A:A, A72)),
player_hero_summary!C:C
)</f>
        <v>Roam</v>
      </c>
      <c r="E72">
        <f>COUNTIFS([3]!players[name],A72, [3]!players[win], 1)</f>
        <v>11</v>
      </c>
      <c r="F72" s="1">
        <f t="shared" si="1"/>
        <v>0.52380952380952384</v>
      </c>
      <c r="G72" s="2">
        <f>AVERAGEIFS([3]!players[gold_per_min], [3]!players[name],A72)</f>
        <v>373.71428571428572</v>
      </c>
      <c r="H72" s="2">
        <f>AVERAGEIFS([3]!players[xp_per_min], [3]!players[name],A72)</f>
        <v>458.95238095238096</v>
      </c>
    </row>
    <row r="73" spans="1:8" x14ac:dyDescent="0.3">
      <c r="A73" t="str">
        <v>Hellgrove</v>
      </c>
      <c r="B73" t="str" cm="1">
        <f t="array" ref="B73" xml:space="preserve">
_xlfn.XLOOKUP(1, (player_hero_summary!A:A=A73)*(player_hero_summary!D:D=_xlfn.MAXIFS(player_hero_summary!D:D, player_hero_summary!A:A, A73)),player_hero_summary!B:B
)</f>
        <v>Luna</v>
      </c>
      <c r="C73">
        <f>COUNTIFS([3]!players[name],A73)</f>
        <v>117</v>
      </c>
      <c r="D73" t="str" cm="1">
        <f t="array" ref="D73" xml:space="preserve">
_xlfn.XLOOKUP(
1,
(player_hero_summary!A:A=A73)*(player_hero_summary!D:D=_xlfn.MAXIFS(player_hero_summary!D:D, player_hero_summary!A:A, A73)),
player_hero_summary!C:C
)</f>
        <v>Carry</v>
      </c>
      <c r="E73">
        <f>COUNTIFS([3]!players[name],A73, [3]!players[win], 1)</f>
        <v>61</v>
      </c>
      <c r="F73" s="1">
        <f t="shared" si="1"/>
        <v>0.5213675213675214</v>
      </c>
      <c r="G73" s="2">
        <f>AVERAGEIFS([3]!players[gold_per_min], [3]!players[name],A73)</f>
        <v>635.81196581196582</v>
      </c>
      <c r="H73" s="2">
        <f>AVERAGEIFS([3]!players[xp_per_min], [3]!players[name],A73)</f>
        <v>793.85470085470081</v>
      </c>
    </row>
    <row r="74" spans="1:8" x14ac:dyDescent="0.3">
      <c r="A74" t="str">
        <v>Hellscream</v>
      </c>
      <c r="B74" t="str" cm="1">
        <f t="array" ref="B74" xml:space="preserve">
_xlfn.XLOOKUP(1, (player_hero_summary!A:A=A74)*(player_hero_summary!D:D=_xlfn.MAXIFS(player_hero_summary!D:D, player_hero_summary!A:A, A74)),player_hero_summary!B:B
)</f>
        <v>Rubick</v>
      </c>
      <c r="C74">
        <f>COUNTIFS([3]!players[name],A74)</f>
        <v>27</v>
      </c>
      <c r="D74" t="str" cm="1">
        <f t="array" ref="D74" xml:space="preserve">
_xlfn.XLOOKUP(
1,
(player_hero_summary!A:A=A74)*(player_hero_summary!D:D=_xlfn.MAXIFS(player_hero_summary!D:D, player_hero_summary!A:A, A74)),
player_hero_summary!C:C
)</f>
        <v>Hard Support</v>
      </c>
      <c r="E74">
        <f>COUNTIFS([3]!players[name],A74, [3]!players[win], 1)</f>
        <v>12</v>
      </c>
      <c r="F74" s="1">
        <f t="shared" si="1"/>
        <v>0.44444444444444442</v>
      </c>
      <c r="G74" s="2">
        <f>AVERAGEIFS([3]!players[gold_per_min], [3]!players[name],A74)</f>
        <v>322.2962962962963</v>
      </c>
      <c r="H74" s="2">
        <f>AVERAGEIFS([3]!players[xp_per_min], [3]!players[name],A74)</f>
        <v>439.22222222222223</v>
      </c>
    </row>
    <row r="75" spans="1:8" x14ac:dyDescent="0.3">
      <c r="A75" t="str">
        <v>Hermit</v>
      </c>
      <c r="B75" t="str" cm="1">
        <f t="array" ref="B75" xml:space="preserve">
_xlfn.XLOOKUP(1, (player_hero_summary!A:A=A75)*(player_hero_summary!D:D=_xlfn.MAXIFS(player_hero_summary!D:D, player_hero_summary!A:A, A75)),player_hero_summary!B:B
)</f>
        <v>Tidehunter</v>
      </c>
      <c r="C75">
        <f>COUNTIFS([3]!players[name],A75)</f>
        <v>12</v>
      </c>
      <c r="D75" t="str" cm="1">
        <f t="array" ref="D75" xml:space="preserve">
_xlfn.XLOOKUP(
1,
(player_hero_summary!A:A=A75)*(player_hero_summary!D:D=_xlfn.MAXIFS(player_hero_summary!D:D, player_hero_summary!A:A, A75)),
player_hero_summary!C:C
)</f>
        <v>Off Lane</v>
      </c>
      <c r="E75">
        <f>COUNTIFS([3]!players[name],A75, [3]!players[win], 1)</f>
        <v>5</v>
      </c>
      <c r="F75" s="1">
        <f t="shared" si="1"/>
        <v>0.41666666666666669</v>
      </c>
      <c r="G75" s="2">
        <f>AVERAGEIFS([3]!players[gold_per_min], [3]!players[name],A75)</f>
        <v>502.5</v>
      </c>
      <c r="H75" s="2">
        <f>AVERAGEIFS([3]!players[xp_per_min], [3]!players[name],A75)</f>
        <v>605</v>
      </c>
    </row>
    <row r="76" spans="1:8" x14ac:dyDescent="0.3">
      <c r="A76" t="str">
        <v>Hyuga</v>
      </c>
      <c r="B76" t="str" cm="1">
        <f t="array" ref="B76" xml:space="preserve">
_xlfn.XLOOKUP(1, (player_hero_summary!A:A=A76)*(player_hero_summary!D:D=_xlfn.MAXIFS(player_hero_summary!D:D, player_hero_summary!A:A, A76)),player_hero_summary!B:B
)</f>
        <v>Disruptor</v>
      </c>
      <c r="C76">
        <f>COUNTIFS([3]!players[name],A76)</f>
        <v>16</v>
      </c>
      <c r="D76" t="str" cm="1">
        <f t="array" ref="D76" xml:space="preserve">
_xlfn.XLOOKUP(
1,
(player_hero_summary!A:A=A76)*(player_hero_summary!D:D=_xlfn.MAXIFS(player_hero_summary!D:D, player_hero_summary!A:A, A76)),
player_hero_summary!C:C
)</f>
        <v>Soft Support</v>
      </c>
      <c r="E76">
        <f>COUNTIFS([3]!players[name],A76, [3]!players[win], 1)</f>
        <v>6</v>
      </c>
      <c r="F76" s="1">
        <f t="shared" si="1"/>
        <v>0.375</v>
      </c>
      <c r="G76" s="2">
        <f>AVERAGEIFS([3]!players[gold_per_min], [3]!players[name],A76)</f>
        <v>292.8125</v>
      </c>
      <c r="H76" s="2">
        <f>AVERAGEIFS([3]!players[xp_per_min], [3]!players[name],A76)</f>
        <v>364.6875</v>
      </c>
    </row>
    <row r="77" spans="1:8" x14ac:dyDescent="0.3">
      <c r="A77" t="str">
        <v>Î±ce</v>
      </c>
      <c r="B77" t="str" cm="1">
        <f t="array" ref="B77" xml:space="preserve">
_xlfn.XLOOKUP(1, (player_hero_summary!A:A=A77)*(player_hero_summary!D:D=_xlfn.MAXIFS(player_hero_summary!D:D, player_hero_summary!A:A, A77)),player_hero_summary!B:B
)</f>
        <v>Hoodwink</v>
      </c>
      <c r="C77">
        <f>COUNTIFS([3]!players[name],A77)</f>
        <v>35</v>
      </c>
      <c r="D77" t="str" cm="1">
        <f t="array" ref="D77" xml:space="preserve">
_xlfn.XLOOKUP(
1,
(player_hero_summary!A:A=A77)*(player_hero_summary!D:D=_xlfn.MAXIFS(player_hero_summary!D:D, player_hero_summary!A:A, A77)),
player_hero_summary!C:C
)</f>
        <v>Soft Support</v>
      </c>
      <c r="E77">
        <f>COUNTIFS([3]!players[name],A77, [3]!players[win], 1)</f>
        <v>21</v>
      </c>
      <c r="F77" s="1">
        <f t="shared" si="1"/>
        <v>0.6</v>
      </c>
      <c r="G77" s="2">
        <f>AVERAGEIFS([3]!players[gold_per_min], [3]!players[name],A77)</f>
        <v>341.62857142857143</v>
      </c>
      <c r="H77" s="2">
        <f>AVERAGEIFS([3]!players[xp_per_min], [3]!players[name],A77)</f>
        <v>483.51428571428573</v>
      </c>
    </row>
    <row r="78" spans="1:8" x14ac:dyDescent="0.3">
      <c r="A78" t="str">
        <v>inYourdreaM</v>
      </c>
      <c r="B78" t="str" cm="1">
        <f t="array" ref="B78" xml:space="preserve">
_xlfn.XLOOKUP(1, (player_hero_summary!A:A=A78)*(player_hero_summary!D:D=_xlfn.MAXIFS(player_hero_summary!D:D, player_hero_summary!A:A, A78)),player_hero_summary!B:B
)</f>
        <v>Sand King</v>
      </c>
      <c r="C78">
        <f>COUNTIFS([3]!players[name],A78)</f>
        <v>21</v>
      </c>
      <c r="D78" t="str" cm="1">
        <f t="array" ref="D78" xml:space="preserve">
_xlfn.XLOOKUP(
1,
(player_hero_summary!A:A=A78)*(player_hero_summary!D:D=_xlfn.MAXIFS(player_hero_summary!D:D, player_hero_summary!A:A, A78)),
player_hero_summary!C:C
)</f>
        <v>Mid</v>
      </c>
      <c r="E78">
        <f>COUNTIFS([3]!players[name],A78, [3]!players[win], 1)</f>
        <v>15</v>
      </c>
      <c r="F78" s="1">
        <f t="shared" si="1"/>
        <v>0.7142857142857143</v>
      </c>
      <c r="G78" s="2">
        <f>AVERAGEIFS([3]!players[gold_per_min], [3]!players[name],A78)</f>
        <v>580.61904761904759</v>
      </c>
      <c r="H78" s="2">
        <f>AVERAGEIFS([3]!players[xp_per_min], [3]!players[name],A78)</f>
        <v>738.33333333333337</v>
      </c>
    </row>
    <row r="79" spans="1:8" x14ac:dyDescent="0.3">
      <c r="A79" t="str">
        <v>Jabz</v>
      </c>
      <c r="B79" t="str" cm="1">
        <f t="array" ref="B79" xml:space="preserve">
_xlfn.XLOOKUP(1, (player_hero_summary!A:A=A79)*(player_hero_summary!D:D=_xlfn.MAXIFS(player_hero_summary!D:D, player_hero_summary!A:A, A79)),player_hero_summary!B:B
)</f>
        <v>Slardar</v>
      </c>
      <c r="C79">
        <f>COUNTIFS([3]!players[name],A79)</f>
        <v>18</v>
      </c>
      <c r="D79" t="str" cm="1">
        <f t="array" ref="D79" xml:space="preserve">
_xlfn.XLOOKUP(
1,
(player_hero_summary!A:A=A79)*(player_hero_summary!D:D=_xlfn.MAXIFS(player_hero_summary!D:D, player_hero_summary!A:A, A79)),
player_hero_summary!C:C
)</f>
        <v>Off Lane</v>
      </c>
      <c r="E79">
        <f>COUNTIFS([3]!players[name],A79, [3]!players[win], 1)</f>
        <v>12</v>
      </c>
      <c r="F79" s="1">
        <f t="shared" si="1"/>
        <v>0.66666666666666663</v>
      </c>
      <c r="G79" s="2">
        <f>AVERAGEIFS([3]!players[gold_per_min], [3]!players[name],A79)</f>
        <v>539.55555555555554</v>
      </c>
      <c r="H79" s="2">
        <f>AVERAGEIFS([3]!players[xp_per_min], [3]!players[name],A79)</f>
        <v>745.77777777777783</v>
      </c>
    </row>
    <row r="80" spans="1:8" x14ac:dyDescent="0.3">
      <c r="A80" t="str">
        <v>JACKBOYS</v>
      </c>
      <c r="B80" t="str" cm="1">
        <f t="array" ref="B80" xml:space="preserve">
_xlfn.XLOOKUP(1, (player_hero_summary!A:A=A80)*(player_hero_summary!D:D=_xlfn.MAXIFS(player_hero_summary!D:D, player_hero_summary!A:A, A80)),player_hero_summary!B:B
)</f>
        <v>Kez</v>
      </c>
      <c r="C80">
        <f>COUNTIFS([3]!players[name],A80)</f>
        <v>26</v>
      </c>
      <c r="D80" t="str" cm="1">
        <f t="array" ref="D80" xml:space="preserve">
_xlfn.XLOOKUP(
1,
(player_hero_summary!A:A=A80)*(player_hero_summary!D:D=_xlfn.MAXIFS(player_hero_summary!D:D, player_hero_summary!A:A, A80)),
player_hero_summary!C:C
)</f>
        <v>Carry</v>
      </c>
      <c r="E80">
        <f>COUNTIFS([3]!players[name],A80, [3]!players[win], 1)</f>
        <v>17</v>
      </c>
      <c r="F80" s="1">
        <f t="shared" si="1"/>
        <v>0.65384615384615385</v>
      </c>
      <c r="G80" s="2">
        <f>AVERAGEIFS([3]!players[gold_per_min], [3]!players[name],A80)</f>
        <v>782.23076923076928</v>
      </c>
      <c r="H80" s="2">
        <f>AVERAGEIFS([3]!players[xp_per_min], [3]!players[name],A80)</f>
        <v>901.88461538461536</v>
      </c>
    </row>
    <row r="81" spans="1:8" x14ac:dyDescent="0.3">
      <c r="A81" t="str">
        <v>JANTER</v>
      </c>
      <c r="B81" t="str" cm="1">
        <f t="array" ref="B81" xml:space="preserve">
_xlfn.XLOOKUP(1, (player_hero_summary!A:A=A81)*(player_hero_summary!D:D=_xlfn.MAXIFS(player_hero_summary!D:D, player_hero_summary!A:A, A81)),player_hero_summary!B:B
)</f>
        <v>Tusk</v>
      </c>
      <c r="C81">
        <f>COUNTIFS([3]!players[name],A81)</f>
        <v>27</v>
      </c>
      <c r="D81" t="str" cm="1">
        <f t="array" ref="D81" xml:space="preserve">
_xlfn.XLOOKUP(
1,
(player_hero_summary!A:A=A81)*(player_hero_summary!D:D=_xlfn.MAXIFS(player_hero_summary!D:D, player_hero_summary!A:A, A81)),
player_hero_summary!C:C
)</f>
        <v>Hard Support</v>
      </c>
      <c r="E81">
        <f>COUNTIFS([3]!players[name],A81, [3]!players[win], 1)</f>
        <v>8</v>
      </c>
      <c r="F81" s="1">
        <f t="shared" si="1"/>
        <v>0.29629629629629628</v>
      </c>
      <c r="G81" s="2">
        <f>AVERAGEIFS([3]!players[gold_per_min], [3]!players[name],A81)</f>
        <v>304.59259259259261</v>
      </c>
      <c r="H81" s="2">
        <f>AVERAGEIFS([3]!players[xp_per_min], [3]!players[name],A81)</f>
        <v>387.96296296296299</v>
      </c>
    </row>
    <row r="82" spans="1:8" x14ac:dyDescent="0.3">
      <c r="A82" t="str">
        <v>Jaunuel</v>
      </c>
      <c r="B82" t="str" cm="1">
        <f t="array" ref="B82" xml:space="preserve">
_xlfn.XLOOKUP(1, (player_hero_summary!A:A=A82)*(player_hero_summary!D:D=_xlfn.MAXIFS(player_hero_summary!D:D, player_hero_summary!A:A, A82)),player_hero_summary!B:B
)</f>
        <v>Phoenix</v>
      </c>
      <c r="C82">
        <f>COUNTIFS([3]!players[name],A82)</f>
        <v>18</v>
      </c>
      <c r="D82" t="str" cm="1">
        <f t="array" ref="D82" xml:space="preserve">
_xlfn.XLOOKUP(
1,
(player_hero_summary!A:A=A82)*(player_hero_summary!D:D=_xlfn.MAXIFS(player_hero_summary!D:D, player_hero_summary!A:A, A82)),
player_hero_summary!C:C
)</f>
        <v>Soft Support</v>
      </c>
      <c r="E82">
        <f>COUNTIFS([3]!players[name],A82, [3]!players[win], 1)</f>
        <v>12</v>
      </c>
      <c r="F82" s="1">
        <f t="shared" si="1"/>
        <v>0.66666666666666663</v>
      </c>
      <c r="G82" s="2">
        <f>AVERAGEIFS([3]!players[gold_per_min], [3]!players[name],A82)</f>
        <v>370.05555555555554</v>
      </c>
      <c r="H82" s="2">
        <f>AVERAGEIFS([3]!players[xp_per_min], [3]!players[name],A82)</f>
        <v>502.38888888888891</v>
      </c>
    </row>
    <row r="83" spans="1:8" x14ac:dyDescent="0.3">
      <c r="A83" t="str">
        <v>Jhocam</v>
      </c>
      <c r="B83" t="str" cm="1">
        <f t="array" ref="B83" xml:space="preserve">
_xlfn.XLOOKUP(1, (player_hero_summary!A:A=A83)*(player_hero_summary!D:D=_xlfn.MAXIFS(player_hero_summary!D:D, player_hero_summary!A:A, A83)),player_hero_summary!B:B
)</f>
        <v>Tusk</v>
      </c>
      <c r="C83">
        <f>COUNTIFS([3]!players[name],A83)</f>
        <v>26</v>
      </c>
      <c r="D83" t="str" cm="1">
        <f t="array" ref="D83" xml:space="preserve">
_xlfn.XLOOKUP(
1,
(player_hero_summary!A:A=A83)*(player_hero_summary!D:D=_xlfn.MAXIFS(player_hero_summary!D:D, player_hero_summary!A:A, A83)),
player_hero_summary!C:C
)</f>
        <v>Roam</v>
      </c>
      <c r="E83">
        <f>COUNTIFS([3]!players[name],A83, [3]!players[win], 1)</f>
        <v>17</v>
      </c>
      <c r="F83" s="1">
        <f t="shared" si="1"/>
        <v>0.65384615384615385</v>
      </c>
      <c r="G83" s="2">
        <f>AVERAGEIFS([3]!players[gold_per_min], [3]!players[name],A83)</f>
        <v>329.03846153846155</v>
      </c>
      <c r="H83" s="2">
        <f>AVERAGEIFS([3]!players[xp_per_min], [3]!players[name],A83)</f>
        <v>469.96153846153845</v>
      </c>
    </row>
    <row r="84" spans="1:8" x14ac:dyDescent="0.3">
      <c r="A84" t="str">
        <v>JT-</v>
      </c>
      <c r="B84" t="str" cm="1">
        <f t="array" ref="B84" xml:space="preserve">
_xlfn.XLOOKUP(1, (player_hero_summary!A:A=A84)*(player_hero_summary!D:D=_xlfn.MAXIFS(player_hero_summary!D:D, player_hero_summary!A:A, A84)),player_hero_summary!B:B
)</f>
        <v>Slardar</v>
      </c>
      <c r="C84">
        <f>COUNTIFS([3]!players[name],A84)</f>
        <v>14</v>
      </c>
      <c r="D84" t="str" cm="1">
        <f t="array" ref="D84" xml:space="preserve">
_xlfn.XLOOKUP(
1,
(player_hero_summary!A:A=A84)*(player_hero_summary!D:D=_xlfn.MAXIFS(player_hero_summary!D:D, player_hero_summary!A:A, A84)),
player_hero_summary!C:C
)</f>
        <v>Off Lane</v>
      </c>
      <c r="E84">
        <f>COUNTIFS([3]!players[name],A84, [3]!players[win], 1)</f>
        <v>6</v>
      </c>
      <c r="F84" s="1">
        <f t="shared" si="1"/>
        <v>0.42857142857142855</v>
      </c>
      <c r="G84" s="2">
        <f>AVERAGEIFS([3]!players[gold_per_min], [3]!players[name],A84)</f>
        <v>550.07142857142856</v>
      </c>
      <c r="H84" s="2">
        <f>AVERAGEIFS([3]!players[xp_per_min], [3]!players[name],A84)</f>
        <v>721.85714285714289</v>
      </c>
    </row>
    <row r="85" spans="1:8" x14ac:dyDescent="0.3">
      <c r="A85" t="str">
        <v>k1 hector tqmM</v>
      </c>
      <c r="B85" t="str" cm="1">
        <f t="array" ref="B85" xml:space="preserve">
_xlfn.XLOOKUP(1, (player_hero_summary!A:A=A85)*(player_hero_summary!D:D=_xlfn.MAXIFS(player_hero_summary!D:D, player_hero_summary!A:A, A85)),player_hero_summary!B:B
)</f>
        <v>Weaver</v>
      </c>
      <c r="C85">
        <f>COUNTIFS([3]!players[name],A85)</f>
        <v>7</v>
      </c>
      <c r="D85" t="str" cm="1">
        <f t="array" ref="D85" xml:space="preserve">
_xlfn.XLOOKUP(
1,
(player_hero_summary!A:A=A85)*(player_hero_summary!D:D=_xlfn.MAXIFS(player_hero_summary!D:D, player_hero_summary!A:A, A85)),
player_hero_summary!C:C
)</f>
        <v>Carry</v>
      </c>
      <c r="E85">
        <f>COUNTIFS([3]!players[name],A85, [3]!players[win], 1)</f>
        <v>1</v>
      </c>
      <c r="F85" s="1">
        <f t="shared" si="1"/>
        <v>0.14285714285714285</v>
      </c>
      <c r="G85" s="2">
        <f>AVERAGEIFS([3]!players[gold_per_min], [3]!players[name],A85)</f>
        <v>708.57142857142856</v>
      </c>
      <c r="H85" s="2">
        <f>AVERAGEIFS([3]!players[xp_per_min], [3]!players[name],A85)</f>
        <v>763.85714285714289</v>
      </c>
    </row>
    <row r="86" spans="1:8" x14ac:dyDescent="0.3">
      <c r="A86" t="str">
        <v>KÅtarÅ.sr4ever</v>
      </c>
      <c r="B86" t="str" cm="1">
        <f t="array" ref="B86" xml:space="preserve">
_xlfn.XLOOKUP(1, (player_hero_summary!A:A=A86)*(player_hero_summary!D:D=_xlfn.MAXIFS(player_hero_summary!D:D, player_hero_summary!A:A, A86)),player_hero_summary!B:B
)</f>
        <v>Alchemist</v>
      </c>
      <c r="C86">
        <f>COUNTIFS([3]!players[name],A86)</f>
        <v>24</v>
      </c>
      <c r="D86" t="str" cm="1">
        <f t="array" ref="D86" xml:space="preserve">
_xlfn.XLOOKUP(
1,
(player_hero_summary!A:A=A86)*(player_hero_summary!D:D=_xlfn.MAXIFS(player_hero_summary!D:D, player_hero_summary!A:A, A86)),
player_hero_summary!C:C
)</f>
        <v>Carry</v>
      </c>
      <c r="E86">
        <f>COUNTIFS([3]!players[name],A86, [3]!players[win], 1)</f>
        <v>6</v>
      </c>
      <c r="F86" s="1">
        <f t="shared" si="1"/>
        <v>0.25</v>
      </c>
      <c r="G86" s="2">
        <f>AVERAGEIFS([3]!players[gold_per_min], [3]!players[name],A86)</f>
        <v>615.875</v>
      </c>
      <c r="H86" s="2">
        <f>AVERAGEIFS([3]!players[xp_per_min], [3]!players[name],A86)</f>
        <v>695.125</v>
      </c>
    </row>
    <row r="87" spans="1:8" x14ac:dyDescent="0.3">
      <c r="A87" t="str">
        <v>kaeioet^^</v>
      </c>
      <c r="B87" t="str" cm="1">
        <f t="array" ref="B87" xml:space="preserve">
_xlfn.XLOOKUP(1, (player_hero_summary!A:A=A87)*(player_hero_summary!D:D=_xlfn.MAXIFS(player_hero_summary!D:D, player_hero_summary!A:A, A87)),player_hero_summary!B:B
)</f>
        <v>Dawnbreaker</v>
      </c>
      <c r="C87">
        <f>COUNTIFS([3]!players[name],A87)</f>
        <v>13</v>
      </c>
      <c r="D87" t="str" cm="1">
        <f t="array" ref="D87" xml:space="preserve">
_xlfn.XLOOKUP(
1,
(player_hero_summary!A:A=A87)*(player_hero_summary!D:D=_xlfn.MAXIFS(player_hero_summary!D:D, player_hero_summary!A:A, A87)),
player_hero_summary!C:C
)</f>
        <v>Carry</v>
      </c>
      <c r="E87">
        <f>COUNTIFS([3]!players[name],A87, [3]!players[win], 1)</f>
        <v>4</v>
      </c>
      <c r="F87" s="1">
        <f t="shared" si="1"/>
        <v>0.30769230769230771</v>
      </c>
      <c r="G87" s="2">
        <f>AVERAGEIFS([3]!players[gold_per_min], [3]!players[name],A87)</f>
        <v>590</v>
      </c>
      <c r="H87" s="2">
        <f>AVERAGEIFS([3]!players[xp_per_min], [3]!players[name],A87)</f>
        <v>725</v>
      </c>
    </row>
    <row r="88" spans="1:8" x14ac:dyDescent="0.3">
      <c r="A88" t="str">
        <v>kaori</v>
      </c>
      <c r="B88" t="str" cm="1">
        <f t="array" ref="B88" xml:space="preserve">
_xlfn.XLOOKUP(1, (player_hero_summary!A:A=A88)*(player_hero_summary!D:D=_xlfn.MAXIFS(player_hero_summary!D:D, player_hero_summary!A:A, A88)),player_hero_summary!B:B
)</f>
        <v>Warlock</v>
      </c>
      <c r="C88">
        <f>COUNTIFS([3]!players[name],A88)</f>
        <v>28</v>
      </c>
      <c r="D88" t="str" cm="1">
        <f t="array" ref="D88" xml:space="preserve">
_xlfn.XLOOKUP(
1,
(player_hero_summary!A:A=A88)*(player_hero_summary!D:D=_xlfn.MAXIFS(player_hero_summary!D:D, player_hero_summary!A:A, A88)),
player_hero_summary!C:C
)</f>
        <v>Soft Support</v>
      </c>
      <c r="E88">
        <f>COUNTIFS([3]!players[name],A88, [3]!players[win], 1)</f>
        <v>17</v>
      </c>
      <c r="F88" s="1">
        <f t="shared" si="1"/>
        <v>0.6071428571428571</v>
      </c>
      <c r="G88" s="2">
        <f>AVERAGEIFS([3]!players[gold_per_min], [3]!players[name],A88)</f>
        <v>370.75</v>
      </c>
      <c r="H88" s="2">
        <f>AVERAGEIFS([3]!players[xp_per_min], [3]!players[name],A88)</f>
        <v>513.46428571428567</v>
      </c>
    </row>
    <row r="89" spans="1:8" x14ac:dyDescent="0.3">
      <c r="A89" t="str">
        <v>kasane</v>
      </c>
      <c r="B89" t="str" cm="1">
        <f t="array" ref="B89" xml:space="preserve">
_xlfn.XLOOKUP(1, (player_hero_summary!A:A=A89)*(player_hero_summary!D:D=_xlfn.MAXIFS(player_hero_summary!D:D, player_hero_summary!A:A, A89)),player_hero_summary!B:B
)</f>
        <v>Enchantress</v>
      </c>
      <c r="C89">
        <f>COUNTIFS([3]!players[name],A89)</f>
        <v>3</v>
      </c>
      <c r="D89" t="str" cm="1">
        <f t="array" ref="D89" xml:space="preserve">
_xlfn.XLOOKUP(
1,
(player_hero_summary!A:A=A89)*(player_hero_summary!D:D=_xlfn.MAXIFS(player_hero_summary!D:D, player_hero_summary!A:A, A89)),
player_hero_summary!C:C
)</f>
        <v>Soft Support</v>
      </c>
      <c r="E89">
        <f>COUNTIFS([3]!players[name],A89, [3]!players[win], 1)</f>
        <v>2</v>
      </c>
      <c r="F89" s="1">
        <f t="shared" si="1"/>
        <v>0.66666666666666663</v>
      </c>
      <c r="G89" s="2">
        <f>AVERAGEIFS([3]!players[gold_per_min], [3]!players[name],A89)</f>
        <v>366.33333333333331</v>
      </c>
      <c r="H89" s="2">
        <f>AVERAGEIFS([3]!players[xp_per_min], [3]!players[name],A89)</f>
        <v>503.33333333333331</v>
      </c>
    </row>
    <row r="90" spans="1:8" x14ac:dyDescent="0.3">
      <c r="A90" t="str">
        <v>Kataomi`</v>
      </c>
      <c r="B90" t="str" cm="1">
        <f t="array" ref="B90" xml:space="preserve">
_xlfn.XLOOKUP(1, (player_hero_summary!A:A=A90)*(player_hero_summary!D:D=_xlfn.MAXIFS(player_hero_summary!D:D, player_hero_summary!A:A, A90)),player_hero_summary!B:B
)</f>
        <v>Lich</v>
      </c>
      <c r="C90">
        <f>COUNTIFS([3]!players[name],A90)</f>
        <v>34</v>
      </c>
      <c r="D90" t="str" cm="1">
        <f t="array" ref="D90" xml:space="preserve">
_xlfn.XLOOKUP(
1,
(player_hero_summary!A:A=A90)*(player_hero_summary!D:D=_xlfn.MAXIFS(player_hero_summary!D:D, player_hero_summary!A:A, A90)),
player_hero_summary!C:C
)</f>
        <v>Hard Support</v>
      </c>
      <c r="E90">
        <f>COUNTIFS([3]!players[name],A90, [3]!players[win], 1)</f>
        <v>27</v>
      </c>
      <c r="F90" s="1">
        <f t="shared" si="1"/>
        <v>0.79411764705882348</v>
      </c>
      <c r="G90" s="2">
        <f>AVERAGEIFS([3]!players[gold_per_min], [3]!players[name],A90)</f>
        <v>362.85294117647061</v>
      </c>
      <c r="H90" s="2">
        <f>AVERAGEIFS([3]!players[xp_per_min], [3]!players[name],A90)</f>
        <v>510.61764705882354</v>
      </c>
    </row>
    <row r="91" spans="1:8" x14ac:dyDescent="0.3">
      <c r="A91" t="str">
        <v>Ken</v>
      </c>
      <c r="B91" t="str" cm="1">
        <f t="array" ref="B91" xml:space="preserve">
_xlfn.XLOOKUP(1, (player_hero_summary!A:A=A91)*(player_hero_summary!D:D=_xlfn.MAXIFS(player_hero_summary!D:D, player_hero_summary!A:A, A91)),player_hero_summary!B:B
)</f>
        <v>Pangolier</v>
      </c>
      <c r="C91">
        <f>COUNTIFS([3]!players[name],A91)</f>
        <v>54</v>
      </c>
      <c r="D91" t="str" cm="1">
        <f t="array" ref="D91" xml:space="preserve">
_xlfn.XLOOKUP(
1,
(player_hero_summary!A:A=A91)*(player_hero_summary!D:D=_xlfn.MAXIFS(player_hero_summary!D:D, player_hero_summary!A:A, A91)),
player_hero_summary!C:C
)</f>
        <v>Mid</v>
      </c>
      <c r="E91">
        <f>COUNTIFS([3]!players[name],A91, [3]!players[win], 1)</f>
        <v>26</v>
      </c>
      <c r="F91" s="1">
        <f t="shared" si="1"/>
        <v>0.48148148148148145</v>
      </c>
      <c r="G91" s="2">
        <f>AVERAGEIFS([3]!players[gold_per_min], [3]!players[name],A91)</f>
        <v>586.16666666666663</v>
      </c>
      <c r="H91" s="2">
        <f>AVERAGEIFS([3]!players[xp_per_min], [3]!players[name],A91)</f>
        <v>769.37037037037032</v>
      </c>
    </row>
    <row r="92" spans="1:8" x14ac:dyDescent="0.3">
      <c r="A92" t="str">
        <v>KG_Zayac</v>
      </c>
      <c r="B92" t="str" cm="1">
        <f t="array" ref="B92" xml:space="preserve">
_xlfn.XLOOKUP(1, (player_hero_summary!A:A=A92)*(player_hero_summary!D:D=_xlfn.MAXIFS(player_hero_summary!D:D, player_hero_summary!A:A, A92)),player_hero_summary!B:B
)</f>
        <v>Tusk</v>
      </c>
      <c r="C92">
        <f>COUNTIFS([3]!players[name],A92)</f>
        <v>11</v>
      </c>
      <c r="D92" t="str" cm="1">
        <f t="array" ref="D92" xml:space="preserve">
_xlfn.XLOOKUP(
1,
(player_hero_summary!A:A=A92)*(player_hero_summary!D:D=_xlfn.MAXIFS(player_hero_summary!D:D, player_hero_summary!A:A, A92)),
player_hero_summary!C:C
)</f>
        <v>Roam</v>
      </c>
      <c r="E92">
        <f>COUNTIFS([3]!players[name],A92, [3]!players[win], 1)</f>
        <v>4</v>
      </c>
      <c r="F92" s="1">
        <f t="shared" si="1"/>
        <v>0.36363636363636365</v>
      </c>
      <c r="G92" s="2">
        <f>AVERAGEIFS([3]!players[gold_per_min], [3]!players[name],A92)</f>
        <v>297.63636363636363</v>
      </c>
      <c r="H92" s="2">
        <f>AVERAGEIFS([3]!players[xp_per_min], [3]!players[name],A92)</f>
        <v>456.81818181818181</v>
      </c>
    </row>
    <row r="93" spans="1:8" x14ac:dyDescent="0.3">
      <c r="A93" t="str">
        <v>Kidaro</v>
      </c>
      <c r="B93" t="str" cm="1">
        <f t="array" ref="B93" xml:space="preserve">
_xlfn.XLOOKUP(1, (player_hero_summary!A:A=A93)*(player_hero_summary!D:D=_xlfn.MAXIFS(player_hero_summary!D:D, player_hero_summary!A:A, A93)),player_hero_summary!B:B
)</f>
        <v>Phoenix</v>
      </c>
      <c r="C93">
        <f>COUNTIFS([3]!players[name],A93)</f>
        <v>49</v>
      </c>
      <c r="D93" t="str" cm="1">
        <f t="array" ref="D93" xml:space="preserve">
_xlfn.XLOOKUP(
1,
(player_hero_summary!A:A=A93)*(player_hero_summary!D:D=_xlfn.MAXIFS(player_hero_summary!D:D, player_hero_summary!A:A, A93)),
player_hero_summary!C:C
)</f>
        <v>Soft Support</v>
      </c>
      <c r="E93">
        <f>COUNTIFS([3]!players[name],A93, [3]!players[win], 1)</f>
        <v>25</v>
      </c>
      <c r="F93" s="1">
        <f t="shared" si="1"/>
        <v>0.51020408163265307</v>
      </c>
      <c r="G93" s="2">
        <f>AVERAGEIFS([3]!players[gold_per_min], [3]!players[name],A93)</f>
        <v>326.10204081632651</v>
      </c>
      <c r="H93" s="2">
        <f>AVERAGEIFS([3]!players[xp_per_min], [3]!players[name],A93)</f>
        <v>444.42857142857144</v>
      </c>
    </row>
    <row r="94" spans="1:8" x14ac:dyDescent="0.3">
      <c r="A94" t="str">
        <v>KingJungles</v>
      </c>
      <c r="B94" t="str" cm="1">
        <f t="array" ref="B94" xml:space="preserve">
_xlfn.XLOOKUP(1, (player_hero_summary!A:A=A94)*(player_hero_summary!D:D=_xlfn.MAXIFS(player_hero_summary!D:D, player_hero_summary!A:A, A94)),player_hero_summary!B:B
)</f>
        <v>Phoenix</v>
      </c>
      <c r="C94">
        <f>COUNTIFS([3]!players[name],A94)</f>
        <v>33</v>
      </c>
      <c r="D94" t="str" cm="1">
        <f t="array" ref="D94" xml:space="preserve">
_xlfn.XLOOKUP(
1,
(player_hero_summary!A:A=A94)*(player_hero_summary!D:D=_xlfn.MAXIFS(player_hero_summary!D:D, player_hero_summary!A:A, A94)),
player_hero_summary!C:C
)</f>
        <v>Soft Support</v>
      </c>
      <c r="E94">
        <f>COUNTIFS([3]!players[name],A94, [3]!players[win], 1)</f>
        <v>16</v>
      </c>
      <c r="F94" s="1">
        <f t="shared" si="1"/>
        <v>0.48484848484848486</v>
      </c>
      <c r="G94" s="2">
        <f>AVERAGEIFS([3]!players[gold_per_min], [3]!players[name],A94)</f>
        <v>337.30303030303031</v>
      </c>
      <c r="H94" s="2">
        <f>AVERAGEIFS([3]!players[xp_per_min], [3]!players[name],A94)</f>
        <v>460.15151515151513</v>
      </c>
    </row>
    <row r="95" spans="1:8" x14ac:dyDescent="0.3">
      <c r="A95" t="str">
        <v>Kiri &lt;</v>
      </c>
      <c r="B95" t="str" cm="1">
        <f t="array" ref="B95" xml:space="preserve">
_xlfn.XLOOKUP(1, (player_hero_summary!A:A=A95)*(player_hero_summary!D:D=_xlfn.MAXIFS(player_hero_summary!D:D, player_hero_summary!A:A, A95)),player_hero_summary!B:B
)</f>
        <v>Rubick</v>
      </c>
      <c r="C95">
        <f>COUNTIFS([3]!players[name],A95)</f>
        <v>18</v>
      </c>
      <c r="D95" t="str" cm="1">
        <f t="array" ref="D95" xml:space="preserve">
_xlfn.XLOOKUP(
1,
(player_hero_summary!A:A=A95)*(player_hero_summary!D:D=_xlfn.MAXIFS(player_hero_summary!D:D, player_hero_summary!A:A, A95)),
player_hero_summary!C:C
)</f>
        <v>Hard Support</v>
      </c>
      <c r="E95">
        <f>COUNTIFS([3]!players[name],A95, [3]!players[win], 1)</f>
        <v>12</v>
      </c>
      <c r="F95" s="1">
        <f t="shared" si="1"/>
        <v>0.66666666666666663</v>
      </c>
      <c r="G95" s="2">
        <f>AVERAGEIFS([3]!players[gold_per_min], [3]!players[name],A95)</f>
        <v>381.11111111111109</v>
      </c>
      <c r="H95" s="2">
        <f>AVERAGEIFS([3]!players[xp_per_min], [3]!players[name],A95)</f>
        <v>511.05555555555554</v>
      </c>
    </row>
    <row r="96" spans="1:8" x14ac:dyDescent="0.3">
      <c r="A96" t="str">
        <v>Kiritych~</v>
      </c>
      <c r="B96" t="str" cm="1">
        <f t="array" ref="B96" xml:space="preserve">
_xlfn.XLOOKUP(1, (player_hero_summary!A:A=A96)*(player_hero_summary!D:D=_xlfn.MAXIFS(player_hero_summary!D:D, player_hero_summary!A:A, A96)),player_hero_summary!B:B
)</f>
        <v>Monkey King</v>
      </c>
      <c r="C96">
        <f>COUNTIFS([3]!players[name],A96)</f>
        <v>34</v>
      </c>
      <c r="D96" t="str" cm="1">
        <f t="array" ref="D96" xml:space="preserve">
_xlfn.XLOOKUP(
1,
(player_hero_summary!A:A=A96)*(player_hero_summary!D:D=_xlfn.MAXIFS(player_hero_summary!D:D, player_hero_summary!A:A, A96)),
player_hero_summary!C:C
)</f>
        <v>Carry</v>
      </c>
      <c r="E96">
        <f>COUNTIFS([3]!players[name],A96, [3]!players[win], 1)</f>
        <v>27</v>
      </c>
      <c r="F96" s="1">
        <f t="shared" si="1"/>
        <v>0.79411764705882348</v>
      </c>
      <c r="G96" s="2">
        <f>AVERAGEIFS([3]!players[gold_per_min], [3]!players[name],A96)</f>
        <v>751.47058823529414</v>
      </c>
      <c r="H96" s="2">
        <f>AVERAGEIFS([3]!players[xp_per_min], [3]!players[name],A96)</f>
        <v>875.5</v>
      </c>
    </row>
    <row r="97" spans="1:8" x14ac:dyDescent="0.3">
      <c r="A97" t="str">
        <v>kiyotaka</v>
      </c>
      <c r="B97" t="str" cm="1">
        <f t="array" ref="B97" xml:space="preserve">
_xlfn.XLOOKUP(1, (player_hero_summary!A:A=A97)*(player_hero_summary!D:D=_xlfn.MAXIFS(player_hero_summary!D:D, player_hero_summary!A:A, A97)),player_hero_summary!B:B
)</f>
        <v>Kez</v>
      </c>
      <c r="C97">
        <f>COUNTIFS([3]!players[name],A97)</f>
        <v>3</v>
      </c>
      <c r="D97" t="str" cm="1">
        <f t="array" ref="D97" xml:space="preserve">
_xlfn.XLOOKUP(
1,
(player_hero_summary!A:A=A97)*(player_hero_summary!D:D=_xlfn.MAXIFS(player_hero_summary!D:D, player_hero_summary!A:A, A97)),
player_hero_summary!C:C
)</f>
        <v>Mid</v>
      </c>
      <c r="E97">
        <f>COUNTIFS([3]!players[name],A97, [3]!players[win], 1)</f>
        <v>2</v>
      </c>
      <c r="F97" s="1">
        <f t="shared" si="1"/>
        <v>0.66666666666666663</v>
      </c>
      <c r="G97" s="2">
        <f>AVERAGEIFS([3]!players[gold_per_min], [3]!players[name],A97)</f>
        <v>540</v>
      </c>
      <c r="H97" s="2">
        <f>AVERAGEIFS([3]!players[xp_per_min], [3]!players[name],A97)</f>
        <v>659.33333333333337</v>
      </c>
    </row>
    <row r="98" spans="1:8" x14ac:dyDescent="0.3">
      <c r="A98" t="str">
        <v>KNP</v>
      </c>
      <c r="B98" t="str" cm="1">
        <f t="array" ref="B98" xml:space="preserve">
_xlfn.XLOOKUP(1, (player_hero_summary!A:A=A98)*(player_hero_summary!D:D=_xlfn.MAXIFS(player_hero_summary!D:D, player_hero_summary!A:A, A98)),player_hero_summary!B:B
)</f>
        <v>Underlord</v>
      </c>
      <c r="C98">
        <f>COUNTIFS([3]!players[name],A98)</f>
        <v>24</v>
      </c>
      <c r="D98" t="str" cm="1">
        <f t="array" ref="D98" xml:space="preserve">
_xlfn.XLOOKUP(
1,
(player_hero_summary!A:A=A98)*(player_hero_summary!D:D=_xlfn.MAXIFS(player_hero_summary!D:D, player_hero_summary!A:A, A98)),
player_hero_summary!C:C
)</f>
        <v>Off Lane</v>
      </c>
      <c r="E98">
        <f>COUNTIFS([3]!players[name],A98, [3]!players[win], 1)</f>
        <v>10</v>
      </c>
      <c r="F98" s="1">
        <f t="shared" si="1"/>
        <v>0.41666666666666669</v>
      </c>
      <c r="G98" s="2">
        <f>AVERAGEIFS([3]!players[gold_per_min], [3]!players[name],A98)</f>
        <v>555.91666666666663</v>
      </c>
      <c r="H98" s="2">
        <f>AVERAGEIFS([3]!players[xp_per_min], [3]!players[name],A98)</f>
        <v>701.91666666666663</v>
      </c>
    </row>
    <row r="99" spans="1:8" x14ac:dyDescent="0.3">
      <c r="A99" t="str">
        <v>Kr1sStå¨‡å°</v>
      </c>
      <c r="B99" t="str" cm="1">
        <f t="array" ref="B99" xml:space="preserve">
_xlfn.XLOOKUP(1, (player_hero_summary!A:A=A99)*(player_hero_summary!D:D=_xlfn.MAXIFS(player_hero_summary!D:D, player_hero_summary!A:A, A99)),player_hero_summary!B:B
)</f>
        <v>Jakiro</v>
      </c>
      <c r="C99">
        <f>COUNTIFS([3]!players[name],A99)</f>
        <v>15</v>
      </c>
      <c r="D99" t="str" cm="1">
        <f t="array" ref="D99" xml:space="preserve">
_xlfn.XLOOKUP(
1,
(player_hero_summary!A:A=A99)*(player_hero_summary!D:D=_xlfn.MAXIFS(player_hero_summary!D:D, player_hero_summary!A:A, A99)),
player_hero_summary!C:C
)</f>
        <v>Soft Support</v>
      </c>
      <c r="E99">
        <f>COUNTIFS([3]!players[name],A99, [3]!players[win], 1)</f>
        <v>8</v>
      </c>
      <c r="F99" s="1">
        <f t="shared" si="1"/>
        <v>0.53333333333333333</v>
      </c>
      <c r="G99" s="2">
        <f>AVERAGEIFS([3]!players[gold_per_min], [3]!players[name],A99)</f>
        <v>357.13333333333333</v>
      </c>
      <c r="H99" s="2">
        <f>AVERAGEIFS([3]!players[xp_per_min], [3]!players[name],A99)</f>
        <v>502.2</v>
      </c>
    </row>
    <row r="100" spans="1:8" x14ac:dyDescent="0.3">
      <c r="A100" t="str">
        <v>krol9ash</v>
      </c>
      <c r="B100" t="str" cm="1">
        <f t="array" ref="B100" xml:space="preserve">
_xlfn.XLOOKUP(1, (player_hero_summary!A:A=A100)*(player_hero_summary!D:D=_xlfn.MAXIFS(player_hero_summary!D:D, player_hero_summary!A:A, A100)),player_hero_summary!B:B
)</f>
        <v>Bristleback</v>
      </c>
      <c r="C100">
        <f>COUNTIFS([3]!players[name],A100)</f>
        <v>16</v>
      </c>
      <c r="D100" t="str" cm="1">
        <f t="array" ref="D100" xml:space="preserve">
_xlfn.XLOOKUP(
1,
(player_hero_summary!A:A=A100)*(player_hero_summary!D:D=_xlfn.MAXIFS(player_hero_summary!D:D, player_hero_summary!A:A, A100)),
player_hero_summary!C:C
)</f>
        <v>Off Lane</v>
      </c>
      <c r="E100">
        <f>COUNTIFS([3]!players[name],A100, [3]!players[win], 1)</f>
        <v>6</v>
      </c>
      <c r="F100" s="1">
        <f t="shared" si="1"/>
        <v>0.375</v>
      </c>
      <c r="G100" s="2">
        <f>AVERAGEIFS([3]!players[gold_per_min], [3]!players[name],A100)</f>
        <v>545.4375</v>
      </c>
      <c r="H100" s="2">
        <f>AVERAGEIFS([3]!players[xp_per_min], [3]!players[name],A100)</f>
        <v>636.8125</v>
      </c>
    </row>
    <row r="101" spans="1:8" x14ac:dyDescent="0.3">
      <c r="A101" t="str">
        <v>Kuku^</v>
      </c>
      <c r="B101" t="str" cm="1">
        <f t="array" ref="B101" xml:space="preserve">
_xlfn.XLOOKUP(1, (player_hero_summary!A:A=A101)*(player_hero_summary!D:D=_xlfn.MAXIFS(player_hero_summary!D:D, player_hero_summary!A:A, A101)),player_hero_summary!B:B
)</f>
        <v>Phoenix</v>
      </c>
      <c r="C101">
        <f>COUNTIFS([3]!players[name],A101)</f>
        <v>11</v>
      </c>
      <c r="D101" t="str" cm="1">
        <f t="array" ref="D101" xml:space="preserve">
_xlfn.XLOOKUP(
1,
(player_hero_summary!A:A=A101)*(player_hero_summary!D:D=_xlfn.MAXIFS(player_hero_summary!D:D, player_hero_summary!A:A, A101)),
player_hero_summary!C:C
)</f>
        <v>Hard Support</v>
      </c>
      <c r="E101">
        <f>COUNTIFS([3]!players[name],A101, [3]!players[win], 1)</f>
        <v>5</v>
      </c>
      <c r="F101" s="1">
        <f t="shared" si="1"/>
        <v>0.45454545454545453</v>
      </c>
      <c r="G101" s="2">
        <f>AVERAGEIFS([3]!players[gold_per_min], [3]!players[name],A101)</f>
        <v>349.81818181818181</v>
      </c>
      <c r="H101" s="2">
        <f>AVERAGEIFS([3]!players[xp_per_min], [3]!players[name],A101)</f>
        <v>452.90909090909093</v>
      </c>
    </row>
    <row r="102" spans="1:8" x14ac:dyDescent="0.3">
      <c r="A102" t="str">
        <v>laise</v>
      </c>
      <c r="B102" t="str" cm="1">
        <f t="array" ref="B102" xml:space="preserve">
_xlfn.XLOOKUP(1, (player_hero_summary!A:A=A102)*(player_hero_summary!D:D=_xlfn.MAXIFS(player_hero_summary!D:D, player_hero_summary!A:A, A102)),player_hero_summary!B:B
)</f>
        <v>Brewmaster</v>
      </c>
      <c r="C102">
        <f>COUNTIFS([3]!players[name],A102)</f>
        <v>33</v>
      </c>
      <c r="D102" t="str" cm="1">
        <f t="array" ref="D102" xml:space="preserve">
_xlfn.XLOOKUP(
1,
(player_hero_summary!A:A=A102)*(player_hero_summary!D:D=_xlfn.MAXIFS(player_hero_summary!D:D, player_hero_summary!A:A, A102)),
player_hero_summary!C:C
)</f>
        <v>Off Lane</v>
      </c>
      <c r="E102">
        <f>COUNTIFS([3]!players[name],A102, [3]!players[win], 1)</f>
        <v>23</v>
      </c>
      <c r="F102" s="1">
        <f t="shared" si="1"/>
        <v>0.69696969696969702</v>
      </c>
      <c r="G102" s="2">
        <f>AVERAGEIFS([3]!players[gold_per_min], [3]!players[name],A102)</f>
        <v>575.42424242424238</v>
      </c>
      <c r="H102" s="2">
        <f>AVERAGEIFS([3]!players[xp_per_min], [3]!players[name],A102)</f>
        <v>739.36363636363637</v>
      </c>
    </row>
    <row r="103" spans="1:8" x14ac:dyDescent="0.3">
      <c r="A103" t="str">
        <v>lalatronii &lt;</v>
      </c>
      <c r="B103" t="str" cm="1">
        <f t="array" ref="B103" xml:space="preserve">
_xlfn.XLOOKUP(1, (player_hero_summary!A:A=A103)*(player_hero_summary!D:D=_xlfn.MAXIFS(player_hero_summary!D:D, player_hero_summary!A:A, A103)),player_hero_summary!B:B
)</f>
        <v>Rubick</v>
      </c>
      <c r="C103">
        <f>COUNTIFS([3]!players[name],A103)</f>
        <v>24</v>
      </c>
      <c r="D103" t="str" cm="1">
        <f t="array" ref="D103" xml:space="preserve">
_xlfn.XLOOKUP(
1,
(player_hero_summary!A:A=A103)*(player_hero_summary!D:D=_xlfn.MAXIFS(player_hero_summary!D:D, player_hero_summary!A:A, A103)),
player_hero_summary!C:C
)</f>
        <v>Mid</v>
      </c>
      <c r="E103">
        <f>COUNTIFS([3]!players[name],A103, [3]!players[win], 1)</f>
        <v>6</v>
      </c>
      <c r="F103" s="1">
        <f t="shared" si="1"/>
        <v>0.25</v>
      </c>
      <c r="G103" s="2">
        <f>AVERAGEIFS([3]!players[gold_per_min], [3]!players[name],A103)</f>
        <v>525.54166666666663</v>
      </c>
      <c r="H103" s="2">
        <f>AVERAGEIFS([3]!players[xp_per_min], [3]!players[name],A103)</f>
        <v>670.75</v>
      </c>
    </row>
    <row r="104" spans="1:8" x14ac:dyDescent="0.3">
      <c r="A104" t="str">
        <v>Larl</v>
      </c>
      <c r="B104" t="str" cm="1">
        <f t="array" ref="B104" xml:space="preserve">
_xlfn.XLOOKUP(1, (player_hero_summary!A:A=A104)*(player_hero_summary!D:D=_xlfn.MAXIFS(player_hero_summary!D:D, player_hero_summary!A:A, A104)),player_hero_summary!B:B
)</f>
        <v>Beastmaster</v>
      </c>
      <c r="C104">
        <f>COUNTIFS([3]!players[name],A104)</f>
        <v>23</v>
      </c>
      <c r="D104" t="str" cm="1">
        <f t="array" ref="D104" xml:space="preserve">
_xlfn.XLOOKUP(
1,
(player_hero_summary!A:A=A104)*(player_hero_summary!D:D=_xlfn.MAXIFS(player_hero_summary!D:D, player_hero_summary!A:A, A104)),
player_hero_summary!C:C
)</f>
        <v>Mid</v>
      </c>
      <c r="E104">
        <f>COUNTIFS([3]!players[name],A104, [3]!players[win], 1)</f>
        <v>9</v>
      </c>
      <c r="F104" s="1">
        <f t="shared" si="1"/>
        <v>0.39130434782608697</v>
      </c>
      <c r="G104" s="2">
        <f>AVERAGEIFS([3]!players[gold_per_min], [3]!players[name],A104)</f>
        <v>582.3478260869565</v>
      </c>
      <c r="H104" s="2">
        <f>AVERAGEIFS([3]!players[xp_per_min], [3]!players[name],A104)</f>
        <v>758.3478260869565</v>
      </c>
    </row>
    <row r="105" spans="1:8" x14ac:dyDescent="0.3">
      <c r="A105" t="str">
        <v>lewis</v>
      </c>
      <c r="B105" t="str" cm="1">
        <f t="array" ref="B105" xml:space="preserve">
_xlfn.XLOOKUP(1, (player_hero_summary!A:A=A105)*(player_hero_summary!D:D=_xlfn.MAXIFS(player_hero_summary!D:D, player_hero_summary!A:A, A105)),player_hero_summary!B:B
)</f>
        <v>Sand King</v>
      </c>
      <c r="C105">
        <f>COUNTIFS([3]!players[name],A105)</f>
        <v>22</v>
      </c>
      <c r="D105" t="str" cm="1">
        <f t="array" ref="D105" xml:space="preserve">
_xlfn.XLOOKUP(
1,
(player_hero_summary!A:A=A105)*(player_hero_summary!D:D=_xlfn.MAXIFS(player_hero_summary!D:D, player_hero_summary!A:A, A105)),
player_hero_summary!C:C
)</f>
        <v>Mid</v>
      </c>
      <c r="E105">
        <f>COUNTIFS([3]!players[name],A105, [3]!players[win], 1)</f>
        <v>14</v>
      </c>
      <c r="F105" s="1">
        <f t="shared" si="1"/>
        <v>0.63636363636363635</v>
      </c>
      <c r="G105" s="2">
        <f>AVERAGEIFS([3]!players[gold_per_min], [3]!players[name],A105)</f>
        <v>579.40909090909088</v>
      </c>
      <c r="H105" s="2">
        <f>AVERAGEIFS([3]!players[xp_per_min], [3]!players[name],A105)</f>
        <v>755.77272727272725</v>
      </c>
    </row>
    <row r="106" spans="1:8" x14ac:dyDescent="0.3">
      <c r="A106" t="str">
        <v>lorenof</v>
      </c>
      <c r="B106" t="str" cm="1">
        <f t="array" ref="B106" xml:space="preserve">
_xlfn.XLOOKUP(1, (player_hero_summary!A:A=A106)*(player_hero_summary!D:D=_xlfn.MAXIFS(player_hero_summary!D:D, player_hero_summary!A:A, A106)),player_hero_summary!B:B
)</f>
        <v>Ember Spirit</v>
      </c>
      <c r="C106">
        <f>COUNTIFS([3]!players[name],A106)</f>
        <v>26</v>
      </c>
      <c r="D106" t="str" cm="1">
        <f t="array" ref="D106" xml:space="preserve">
_xlfn.XLOOKUP(
1,
(player_hero_summary!A:A=A106)*(player_hero_summary!D:D=_xlfn.MAXIFS(player_hero_summary!D:D, player_hero_summary!A:A, A106)),
player_hero_summary!C:C
)</f>
        <v>Mid</v>
      </c>
      <c r="E106">
        <f>COUNTIFS([3]!players[name],A106, [3]!players[win], 1)</f>
        <v>11</v>
      </c>
      <c r="F106" s="1">
        <f t="shared" si="1"/>
        <v>0.42307692307692307</v>
      </c>
      <c r="G106" s="2">
        <f>AVERAGEIFS([3]!players[gold_per_min], [3]!players[name],A106)</f>
        <v>632.07692307692309</v>
      </c>
      <c r="H106" s="2">
        <f>AVERAGEIFS([3]!players[xp_per_min], [3]!players[name],A106)</f>
        <v>840.11538461538464</v>
      </c>
    </row>
    <row r="107" spans="1:8" x14ac:dyDescent="0.3">
      <c r="A107" t="str">
        <v>lowskill</v>
      </c>
      <c r="B107" t="str" cm="1">
        <f t="array" ref="B107" xml:space="preserve">
_xlfn.XLOOKUP(1, (player_hero_summary!A:A=A107)*(player_hero_summary!D:D=_xlfn.MAXIFS(player_hero_summary!D:D, player_hero_summary!A:A, A107)),player_hero_summary!B:B
)</f>
        <v>Luna</v>
      </c>
      <c r="C107">
        <f>COUNTIFS([3]!players[name],A107)</f>
        <v>11</v>
      </c>
      <c r="D107" t="str" cm="1">
        <f t="array" ref="D107" xml:space="preserve">
_xlfn.XLOOKUP(
1,
(player_hero_summary!A:A=A107)*(player_hero_summary!D:D=_xlfn.MAXIFS(player_hero_summary!D:D, player_hero_summary!A:A, A107)),
player_hero_summary!C:C
)</f>
        <v>Carry</v>
      </c>
      <c r="E107">
        <f>COUNTIFS([3]!players[name],A107, [3]!players[win], 1)</f>
        <v>4</v>
      </c>
      <c r="F107" s="1">
        <f t="shared" si="1"/>
        <v>0.36363636363636365</v>
      </c>
      <c r="G107" s="2">
        <f>AVERAGEIFS([3]!players[gold_per_min], [3]!players[name],A107)</f>
        <v>710.63636363636363</v>
      </c>
      <c r="H107" s="2">
        <f>AVERAGEIFS([3]!players[xp_per_min], [3]!players[name],A107)</f>
        <v>793.90909090909088</v>
      </c>
    </row>
    <row r="108" spans="1:8" x14ac:dyDescent="0.3">
      <c r="A108" t="str">
        <v>Lqc.</v>
      </c>
      <c r="B108" t="str" cm="1">
        <f t="array" ref="B108" xml:space="preserve">
_xlfn.XLOOKUP(1, (player_hero_summary!A:A=A108)*(player_hero_summary!D:D=_xlfn.MAXIFS(player_hero_summary!D:D, player_hero_summary!A:A, A108)),player_hero_summary!B:B
)</f>
        <v>Dazzle</v>
      </c>
      <c r="C108">
        <f>COUNTIFS([3]!players[name],A108)</f>
        <v>40</v>
      </c>
      <c r="D108" t="str" cm="1">
        <f t="array" ref="D108" xml:space="preserve">
_xlfn.XLOOKUP(
1,
(player_hero_summary!A:A=A108)*(player_hero_summary!D:D=_xlfn.MAXIFS(player_hero_summary!D:D, player_hero_summary!A:A, A108)),
player_hero_summary!C:C
)</f>
        <v>Hard Support</v>
      </c>
      <c r="E108">
        <f>COUNTIFS([3]!players[name],A108, [3]!players[win], 1)</f>
        <v>20</v>
      </c>
      <c r="F108" s="1">
        <f t="shared" si="1"/>
        <v>0.5</v>
      </c>
      <c r="G108" s="2">
        <f>AVERAGEIFS([3]!players[gold_per_min], [3]!players[name],A108)</f>
        <v>324.67500000000001</v>
      </c>
      <c r="H108" s="2">
        <f>AVERAGEIFS([3]!players[xp_per_min], [3]!players[name],A108)</f>
        <v>456.5</v>
      </c>
    </row>
    <row r="109" spans="1:8" x14ac:dyDescent="0.3">
      <c r="A109" t="str">
        <v>m1CKe</v>
      </c>
      <c r="B109" t="str" cm="1">
        <f t="array" ref="B109" xml:space="preserve">
_xlfn.XLOOKUP(1, (player_hero_summary!A:A=A109)*(player_hero_summary!D:D=_xlfn.MAXIFS(player_hero_summary!D:D, player_hero_summary!A:A, A109)),player_hero_summary!B:B
)</f>
        <v>Tiny</v>
      </c>
      <c r="C109">
        <f>COUNTIFS([3]!players[name],A109)</f>
        <v>38</v>
      </c>
      <c r="D109" t="str" cm="1">
        <f t="array" ref="D109" xml:space="preserve">
_xlfn.XLOOKUP(
1,
(player_hero_summary!A:A=A109)*(player_hero_summary!D:D=_xlfn.MAXIFS(player_hero_summary!D:D, player_hero_summary!A:A, A109)),
player_hero_summary!C:C
)</f>
        <v>Carry</v>
      </c>
      <c r="E109">
        <f>COUNTIFS([3]!players[name],A109, [3]!players[win], 1)</f>
        <v>23</v>
      </c>
      <c r="F109" s="1">
        <f t="shared" si="1"/>
        <v>0.60526315789473684</v>
      </c>
      <c r="G109" s="2">
        <f>AVERAGEIFS([3]!players[gold_per_min], [3]!players[name],A109)</f>
        <v>714.92105263157896</v>
      </c>
      <c r="H109" s="2">
        <f>AVERAGEIFS([3]!players[xp_per_min], [3]!players[name],A109)</f>
        <v>846.02631578947364</v>
      </c>
    </row>
    <row r="110" spans="1:8" x14ac:dyDescent="0.3">
      <c r="A110" t="str">
        <v>Mac</v>
      </c>
      <c r="B110" t="str" cm="1">
        <f t="array" ref="B110" xml:space="preserve">
_xlfn.XLOOKUP(1, (player_hero_summary!A:A=A110)*(player_hero_summary!D:D=_xlfn.MAXIFS(player_hero_summary!D:D, player_hero_summary!A:A, A110)),player_hero_summary!B:B
)</f>
        <v>Pangolier</v>
      </c>
      <c r="C110">
        <f>COUNTIFS([3]!players[name],A110)</f>
        <v>18</v>
      </c>
      <c r="D110" t="str" cm="1">
        <f t="array" ref="D110" xml:space="preserve">
_xlfn.XLOOKUP(
1,
(player_hero_summary!A:A=A110)*(player_hero_summary!D:D=_xlfn.MAXIFS(player_hero_summary!D:D, player_hero_summary!A:A, A110)),
player_hero_summary!C:C
)</f>
        <v>Mid</v>
      </c>
      <c r="E110">
        <f>COUNTIFS([3]!players[name],A110, [3]!players[win], 1)</f>
        <v>12</v>
      </c>
      <c r="F110" s="1">
        <f t="shared" si="1"/>
        <v>0.66666666666666663</v>
      </c>
      <c r="G110" s="2">
        <f>AVERAGEIFS([3]!players[gold_per_min], [3]!players[name],A110)</f>
        <v>646.83333333333337</v>
      </c>
      <c r="H110" s="2">
        <f>AVERAGEIFS([3]!players[xp_per_min], [3]!players[name],A110)</f>
        <v>853.94444444444446</v>
      </c>
    </row>
    <row r="111" spans="1:8" x14ac:dyDescent="0.3">
      <c r="A111" t="str">
        <v>Malik</v>
      </c>
      <c r="B111" t="str" cm="1">
        <f t="array" ref="B111" xml:space="preserve">
_xlfn.XLOOKUP(1, (player_hero_summary!A:A=A111)*(player_hero_summary!D:D=_xlfn.MAXIFS(player_hero_summary!D:D, player_hero_summary!A:A, A111)),player_hero_summary!B:B
)</f>
        <v>Tidehunter</v>
      </c>
      <c r="C111">
        <f>COUNTIFS([3]!players[name],A111)</f>
        <v>11</v>
      </c>
      <c r="D111" t="str" cm="1">
        <f t="array" ref="D111" xml:space="preserve">
_xlfn.XLOOKUP(
1,
(player_hero_summary!A:A=A111)*(player_hero_summary!D:D=_xlfn.MAXIFS(player_hero_summary!D:D, player_hero_summary!A:A, A111)),
player_hero_summary!C:C
)</f>
        <v>Off Lane</v>
      </c>
      <c r="E111">
        <f>COUNTIFS([3]!players[name],A111, [3]!players[win], 1)</f>
        <v>4</v>
      </c>
      <c r="F111" s="1">
        <f t="shared" si="1"/>
        <v>0.36363636363636365</v>
      </c>
      <c r="G111" s="2">
        <f>AVERAGEIFS([3]!players[gold_per_min], [3]!players[name],A111)</f>
        <v>541.72727272727275</v>
      </c>
      <c r="H111" s="2">
        <f>AVERAGEIFS([3]!players[xp_per_min], [3]!players[name],A111)</f>
        <v>725.5454545454545</v>
      </c>
    </row>
    <row r="112" spans="1:8" x14ac:dyDescent="0.3">
      <c r="A112" t="str">
        <v>Malr1ne</v>
      </c>
      <c r="B112" t="str" cm="1">
        <f t="array" ref="B112" xml:space="preserve">
_xlfn.XLOOKUP(1, (player_hero_summary!A:A=A112)*(player_hero_summary!D:D=_xlfn.MAXIFS(player_hero_summary!D:D, player_hero_summary!A:A, A112)),player_hero_summary!B:B
)</f>
        <v>Sand King</v>
      </c>
      <c r="C112">
        <f>COUNTIFS([3]!players[name],A112)</f>
        <v>23</v>
      </c>
      <c r="D112" t="str" cm="1">
        <f t="array" ref="D112" xml:space="preserve">
_xlfn.XLOOKUP(
1,
(player_hero_summary!A:A=A112)*(player_hero_summary!D:D=_xlfn.MAXIFS(player_hero_summary!D:D, player_hero_summary!A:A, A112)),
player_hero_summary!C:C
)</f>
        <v>Mid</v>
      </c>
      <c r="E112">
        <f>COUNTIFS([3]!players[name],A112, [3]!players[win], 1)</f>
        <v>15</v>
      </c>
      <c r="F112" s="1">
        <f t="shared" si="1"/>
        <v>0.65217391304347827</v>
      </c>
      <c r="G112" s="2">
        <f>AVERAGEIFS([3]!players[gold_per_min], [3]!players[name],A112)</f>
        <v>603.60869565217388</v>
      </c>
      <c r="H112" s="2">
        <f>AVERAGEIFS([3]!players[xp_per_min], [3]!players[name],A112)</f>
        <v>814.52173913043475</v>
      </c>
    </row>
    <row r="113" spans="1:8" x14ac:dyDescent="0.3">
      <c r="A113" t="str">
        <v>mellojul</v>
      </c>
      <c r="B113" t="str" cm="1">
        <f t="array" ref="B113" xml:space="preserve">
_xlfn.XLOOKUP(1, (player_hero_summary!A:A=A113)*(player_hero_summary!D:D=_xlfn.MAXIFS(player_hero_summary!D:D, player_hero_summary!A:A, A113)),player_hero_summary!B:B
)</f>
        <v>Keeper of the Light</v>
      </c>
      <c r="C113">
        <f>COUNTIFS([3]!players[name],A113)</f>
        <v>61</v>
      </c>
      <c r="D113" t="str" cm="1">
        <f t="array" ref="D113" xml:space="preserve">
_xlfn.XLOOKUP(
1,
(player_hero_summary!A:A=A113)*(player_hero_summary!D:D=_xlfn.MAXIFS(player_hero_summary!D:D, player_hero_summary!A:A, A113)),
player_hero_summary!C:C
)</f>
        <v>Mid</v>
      </c>
      <c r="E113">
        <f>COUNTIFS([3]!players[name],A113, [3]!players[win], 1)</f>
        <v>34</v>
      </c>
      <c r="F113" s="1">
        <f t="shared" si="1"/>
        <v>0.55737704918032782</v>
      </c>
      <c r="G113" s="2">
        <f>AVERAGEIFS([3]!players[gold_per_min], [3]!players[name],A113)</f>
        <v>581.88524590163934</v>
      </c>
      <c r="H113" s="2">
        <f>AVERAGEIFS([3]!players[xp_per_min], [3]!players[name],A113)</f>
        <v>757.39344262295083</v>
      </c>
    </row>
    <row r="114" spans="1:8" x14ac:dyDescent="0.3">
      <c r="A114" t="str">
        <v>MieRo</v>
      </c>
      <c r="B114" t="str" cm="1">
        <f t="array" ref="B114" xml:space="preserve">
_xlfn.XLOOKUP(1, (player_hero_summary!A:A=A114)*(player_hero_summary!D:D=_xlfn.MAXIFS(player_hero_summary!D:D, player_hero_summary!A:A, A114)),player_hero_summary!B:B
)</f>
        <v>Dawnbreaker</v>
      </c>
      <c r="C114">
        <f>COUNTIFS([3]!players[name],A114)</f>
        <v>34</v>
      </c>
      <c r="D114" t="str" cm="1">
        <f t="array" ref="D114" xml:space="preserve">
_xlfn.XLOOKUP(
1,
(player_hero_summary!A:A=A114)*(player_hero_summary!D:D=_xlfn.MAXIFS(player_hero_summary!D:D, player_hero_summary!A:A, A114)),
player_hero_summary!C:C
)</f>
        <v>Off Lane</v>
      </c>
      <c r="E114">
        <f>COUNTIFS([3]!players[name],A114, [3]!players[win], 1)</f>
        <v>27</v>
      </c>
      <c r="F114" s="1">
        <f t="shared" si="1"/>
        <v>0.79411764705882348</v>
      </c>
      <c r="G114" s="2">
        <f>AVERAGEIFS([3]!players[gold_per_min], [3]!players[name],A114)</f>
        <v>624.61764705882354</v>
      </c>
      <c r="H114" s="2">
        <f>AVERAGEIFS([3]!players[xp_per_min], [3]!players[name],A114)</f>
        <v>817.05882352941171</v>
      </c>
    </row>
    <row r="115" spans="1:8" x14ac:dyDescent="0.3">
      <c r="A115" t="str">
        <v>Mikoto</v>
      </c>
      <c r="B115" t="str" cm="1">
        <f t="array" ref="B115" xml:space="preserve">
_xlfn.XLOOKUP(1, (player_hero_summary!A:A=A115)*(player_hero_summary!D:D=_xlfn.MAXIFS(player_hero_summary!D:D, player_hero_summary!A:A, A115)),player_hero_summary!B:B
)</f>
        <v>Puck</v>
      </c>
      <c r="C115">
        <f>COUNTIFS([3]!players[name],A115)</f>
        <v>28</v>
      </c>
      <c r="D115" t="str" cm="1">
        <f t="array" ref="D115" xml:space="preserve">
_xlfn.XLOOKUP(
1,
(player_hero_summary!A:A=A115)*(player_hero_summary!D:D=_xlfn.MAXIFS(player_hero_summary!D:D, player_hero_summary!A:A, A115)),
player_hero_summary!C:C
)</f>
        <v>Mid</v>
      </c>
      <c r="E115">
        <f>COUNTIFS([3]!players[name],A115, [3]!players[win], 1)</f>
        <v>17</v>
      </c>
      <c r="F115" s="1">
        <f t="shared" si="1"/>
        <v>0.6071428571428571</v>
      </c>
      <c r="G115" s="2">
        <f>AVERAGEIFS([3]!players[gold_per_min], [3]!players[name],A115)</f>
        <v>606.78571428571433</v>
      </c>
      <c r="H115" s="2">
        <f>AVERAGEIFS([3]!players[xp_per_min], [3]!players[name],A115)</f>
        <v>803.75</v>
      </c>
    </row>
    <row r="116" spans="1:8" x14ac:dyDescent="0.3">
      <c r="A116" t="str">
        <v>Mira</v>
      </c>
      <c r="B116" t="str" cm="1">
        <f t="array" ref="B116" xml:space="preserve">
_xlfn.XLOOKUP(1, (player_hero_summary!A:A=A116)*(player_hero_summary!D:D=_xlfn.MAXIFS(player_hero_summary!D:D, player_hero_summary!A:A, A116)),player_hero_summary!B:B
)</f>
        <v>Hoodwink</v>
      </c>
      <c r="C116">
        <f>COUNTIFS([3]!players[name],A116)</f>
        <v>28</v>
      </c>
      <c r="D116" t="str" cm="1">
        <f t="array" ref="D116" xml:space="preserve">
_xlfn.XLOOKUP(
1,
(player_hero_summary!A:A=A116)*(player_hero_summary!D:D=_xlfn.MAXIFS(player_hero_summary!D:D, player_hero_summary!A:A, A116)),
player_hero_summary!C:C
)</f>
        <v>Hard Support</v>
      </c>
      <c r="E116">
        <f>COUNTIFS([3]!players[name],A116, [3]!players[win], 1)</f>
        <v>17</v>
      </c>
      <c r="F116" s="1">
        <f t="shared" si="1"/>
        <v>0.6071428571428571</v>
      </c>
      <c r="G116" s="2">
        <f>AVERAGEIFS([3]!players[gold_per_min], [3]!players[name],A116)</f>
        <v>340.64285714285717</v>
      </c>
      <c r="H116" s="2">
        <f>AVERAGEIFS([3]!players[xp_per_min], [3]!players[name],A116)</f>
        <v>529.28571428571433</v>
      </c>
    </row>
    <row r="117" spans="1:8" x14ac:dyDescent="0.3">
      <c r="A117" t="str">
        <v>Mjz</v>
      </c>
      <c r="B117" t="str" cm="1">
        <f t="array" ref="B117" xml:space="preserve">
_xlfn.XLOOKUP(1, (player_hero_summary!A:A=A117)*(player_hero_summary!D:D=_xlfn.MAXIFS(player_hero_summary!D:D, player_hero_summary!A:A, A117)),player_hero_summary!B:B
)</f>
        <v>Ringmaster</v>
      </c>
      <c r="C117">
        <f>COUNTIFS([3]!players[name],A117)</f>
        <v>24</v>
      </c>
      <c r="D117" t="str" cm="1">
        <f t="array" ref="D117" xml:space="preserve">
_xlfn.XLOOKUP(
1,
(player_hero_summary!A:A=A117)*(player_hero_summary!D:D=_xlfn.MAXIFS(player_hero_summary!D:D, player_hero_summary!A:A, A117)),
player_hero_summary!C:C
)</f>
        <v>Soft Support</v>
      </c>
      <c r="E117">
        <f>COUNTIFS([3]!players[name],A117, [3]!players[win], 1)</f>
        <v>6</v>
      </c>
      <c r="F117" s="1">
        <f t="shared" si="1"/>
        <v>0.25</v>
      </c>
      <c r="G117" s="2">
        <f>AVERAGEIFS([3]!players[gold_per_min], [3]!players[name],A117)</f>
        <v>297.33333333333331</v>
      </c>
      <c r="H117" s="2">
        <f>AVERAGEIFS([3]!players[xp_per_min], [3]!players[name],A117)</f>
        <v>380.33333333333331</v>
      </c>
    </row>
    <row r="118" spans="1:8" x14ac:dyDescent="0.3">
      <c r="A118" t="str">
        <v>MoOz</v>
      </c>
      <c r="B118" t="str" cm="1">
        <f t="array" ref="B118" xml:space="preserve">
_xlfn.XLOOKUP(1, (player_hero_summary!A:A=A118)*(player_hero_summary!D:D=_xlfn.MAXIFS(player_hero_summary!D:D, player_hero_summary!A:A, A118)),player_hero_summary!B:B
)</f>
        <v>Enchantress</v>
      </c>
      <c r="C118">
        <f>COUNTIFS([3]!players[name],A118)</f>
        <v>37</v>
      </c>
      <c r="D118" t="str" cm="1">
        <f t="array" ref="D118" xml:space="preserve">
_xlfn.XLOOKUP(
1,
(player_hero_summary!A:A=A118)*(player_hero_summary!D:D=_xlfn.MAXIFS(player_hero_summary!D:D, player_hero_summary!A:A, A118)),
player_hero_summary!C:C
)</f>
        <v>Hard Support</v>
      </c>
      <c r="E118">
        <f>COUNTIFS([3]!players[name],A118, [3]!players[win], 1)</f>
        <v>17</v>
      </c>
      <c r="F118" s="1">
        <f t="shared" si="1"/>
        <v>0.45945945945945948</v>
      </c>
      <c r="G118" s="2">
        <f>AVERAGEIFS([3]!players[gold_per_min], [3]!players[name],A118)</f>
        <v>339.13513513513516</v>
      </c>
      <c r="H118" s="2">
        <f>AVERAGEIFS([3]!players[xp_per_min], [3]!players[name],A118)</f>
        <v>480.29729729729729</v>
      </c>
    </row>
    <row r="119" spans="1:8" x14ac:dyDescent="0.3">
      <c r="A119" t="str">
        <v>n1ght</v>
      </c>
      <c r="B119" t="str" cm="1">
        <f t="array" ref="B119" xml:space="preserve">
_xlfn.XLOOKUP(1, (player_hero_summary!A:A=A119)*(player_hero_summary!D:D=_xlfn.MAXIFS(player_hero_summary!D:D, player_hero_summary!A:A, A119)),player_hero_summary!B:B
)</f>
        <v>Hoodwink</v>
      </c>
      <c r="C119">
        <f>COUNTIFS([3]!players[name],A119)</f>
        <v>35</v>
      </c>
      <c r="D119" t="str" cm="1">
        <f t="array" ref="D119" xml:space="preserve">
_xlfn.XLOOKUP(
1,
(player_hero_summary!A:A=A119)*(player_hero_summary!D:D=_xlfn.MAXIFS(player_hero_summary!D:D, player_hero_summary!A:A, A119)),
player_hero_summary!C:C
)</f>
        <v>Roam</v>
      </c>
      <c r="E119">
        <f>COUNTIFS([3]!players[name],A119, [3]!players[win], 1)</f>
        <v>18</v>
      </c>
      <c r="F119" s="1">
        <f t="shared" si="1"/>
        <v>0.51428571428571423</v>
      </c>
      <c r="G119" s="2">
        <f>AVERAGEIFS([3]!players[gold_per_min], [3]!players[name],A119)</f>
        <v>346.02857142857141</v>
      </c>
      <c r="H119" s="2">
        <f>AVERAGEIFS([3]!players[xp_per_min], [3]!players[name],A119)</f>
        <v>499.05714285714288</v>
      </c>
    </row>
    <row r="120" spans="1:8" x14ac:dyDescent="0.3">
      <c r="A120" t="str">
        <v>Nameless9299</v>
      </c>
      <c r="B120" t="str" cm="1">
        <f t="array" ref="B120" xml:space="preserve">
_xlfn.XLOOKUP(1, (player_hero_summary!A:A=A120)*(player_hero_summary!D:D=_xlfn.MAXIFS(player_hero_summary!D:D, player_hero_summary!A:A, A120)),player_hero_summary!B:B
)</f>
        <v>Tusk</v>
      </c>
      <c r="C120">
        <f>COUNTIFS([3]!players[name],A120)</f>
        <v>7</v>
      </c>
      <c r="D120" t="str" cm="1">
        <f t="array" ref="D120" xml:space="preserve">
_xlfn.XLOOKUP(
1,
(player_hero_summary!A:A=A120)*(player_hero_summary!D:D=_xlfn.MAXIFS(player_hero_summary!D:D, player_hero_summary!A:A, A120)),
player_hero_summary!C:C
)</f>
        <v>Hard Support</v>
      </c>
      <c r="E120">
        <f>COUNTIFS([3]!players[name],A120, [3]!players[win], 1)</f>
        <v>4</v>
      </c>
      <c r="F120" s="1">
        <f t="shared" si="1"/>
        <v>0.5714285714285714</v>
      </c>
      <c r="G120" s="2">
        <f>AVERAGEIFS([3]!players[gold_per_min], [3]!players[name],A120)</f>
        <v>311.71428571428572</v>
      </c>
      <c r="H120" s="2">
        <f>AVERAGEIFS([3]!players[xp_per_min], [3]!players[name],A120)</f>
        <v>475.14285714285717</v>
      </c>
    </row>
    <row r="121" spans="1:8" x14ac:dyDescent="0.3">
      <c r="A121" t="str">
        <v>NARMAN</v>
      </c>
      <c r="B121" t="str" cm="1">
        <f t="array" ref="B121" xml:space="preserve">
_xlfn.XLOOKUP(1, (player_hero_summary!A:A=A121)*(player_hero_summary!D:D=_xlfn.MAXIFS(player_hero_summary!D:D, player_hero_summary!A:A, A121)),player_hero_summary!B:B
)</f>
        <v>Phoenix</v>
      </c>
      <c r="C121">
        <f>COUNTIFS([3]!players[name],A121)</f>
        <v>26</v>
      </c>
      <c r="D121" t="str" cm="1">
        <f t="array" ref="D121" xml:space="preserve">
_xlfn.XLOOKUP(
1,
(player_hero_summary!A:A=A121)*(player_hero_summary!D:D=_xlfn.MAXIFS(player_hero_summary!D:D, player_hero_summary!A:A, A121)),
player_hero_summary!C:C
)</f>
        <v>Soft Support</v>
      </c>
      <c r="E121">
        <f>COUNTIFS([3]!players[name],A121, [3]!players[win], 1)</f>
        <v>17</v>
      </c>
      <c r="F121" s="1">
        <f t="shared" si="1"/>
        <v>0.65384615384615385</v>
      </c>
      <c r="G121" s="2">
        <f>AVERAGEIFS([3]!players[gold_per_min], [3]!players[name],A121)</f>
        <v>367.65384615384613</v>
      </c>
      <c r="H121" s="2">
        <f>AVERAGEIFS([3]!players[xp_per_min], [3]!players[name],A121)</f>
        <v>507.61538461538464</v>
      </c>
    </row>
    <row r="122" spans="1:8" x14ac:dyDescent="0.3">
      <c r="A122" t="str">
        <v>nefrit</v>
      </c>
      <c r="B122" t="str" cm="1">
        <f t="array" ref="B122" xml:space="preserve">
_xlfn.XLOOKUP(1, (player_hero_summary!A:A=A122)*(player_hero_summary!D:D=_xlfn.MAXIFS(player_hero_summary!D:D, player_hero_summary!A:A, A122)),player_hero_summary!B:B
)</f>
        <v>Tidehunter</v>
      </c>
      <c r="C122">
        <f>COUNTIFS([3]!players[name],A122)</f>
        <v>37</v>
      </c>
      <c r="D122" t="str" cm="1">
        <f t="array" ref="D122" xml:space="preserve">
_xlfn.XLOOKUP(
1,
(player_hero_summary!A:A=A122)*(player_hero_summary!D:D=_xlfn.MAXIFS(player_hero_summary!D:D, player_hero_summary!A:A, A122)),
player_hero_summary!C:C
)</f>
        <v>Off Lane</v>
      </c>
      <c r="E122">
        <f>COUNTIFS([3]!players[name],A122, [3]!players[win], 1)</f>
        <v>17</v>
      </c>
      <c r="F122" s="1">
        <f t="shared" si="1"/>
        <v>0.45945945945945948</v>
      </c>
      <c r="G122" s="2">
        <f>AVERAGEIFS([3]!players[gold_per_min], [3]!players[name],A122)</f>
        <v>537</v>
      </c>
      <c r="H122" s="2">
        <f>AVERAGEIFS([3]!players[xp_per_min], [3]!players[name],A122)</f>
        <v>674.78378378378375</v>
      </c>
    </row>
    <row r="123" spans="1:8" x14ac:dyDescent="0.3">
      <c r="A123" t="str">
        <v>nesfeer</v>
      </c>
      <c r="B123" t="str" cm="1">
        <f t="array" ref="B123" xml:space="preserve">
_xlfn.XLOOKUP(1, (player_hero_summary!A:A=A123)*(player_hero_summary!D:D=_xlfn.MAXIFS(player_hero_summary!D:D, player_hero_summary!A:A, A123)),player_hero_summary!B:B
)</f>
        <v>Dragon Knight</v>
      </c>
      <c r="C123">
        <f>COUNTIFS([3]!players[name],A123)</f>
        <v>7</v>
      </c>
      <c r="D123" t="str" cm="1">
        <f t="array" ref="D123" xml:space="preserve">
_xlfn.XLOOKUP(
1,
(player_hero_summary!A:A=A123)*(player_hero_summary!D:D=_xlfn.MAXIFS(player_hero_summary!D:D, player_hero_summary!A:A, A123)),
player_hero_summary!C:C
)</f>
        <v>Carry</v>
      </c>
      <c r="E123">
        <f>COUNTIFS([3]!players[name],A123, [3]!players[win], 1)</f>
        <v>3</v>
      </c>
      <c r="F123" s="1">
        <f t="shared" si="1"/>
        <v>0.42857142857142855</v>
      </c>
      <c r="G123" s="2">
        <f>AVERAGEIFS([3]!players[gold_per_min], [3]!players[name],A123)</f>
        <v>666.71428571428567</v>
      </c>
      <c r="H123" s="2">
        <f>AVERAGEIFS([3]!players[xp_per_min], [3]!players[name],A123)</f>
        <v>840.57142857142856</v>
      </c>
    </row>
    <row r="124" spans="1:8" x14ac:dyDescent="0.3">
      <c r="A124" t="str">
        <v>Nicky`Cool</v>
      </c>
      <c r="B124" t="str" cm="1">
        <f t="array" ref="B124" xml:space="preserve">
_xlfn.XLOOKUP(1, (player_hero_summary!A:A=A124)*(player_hero_summary!D:D=_xlfn.MAXIFS(player_hero_summary!D:D, player_hero_summary!A:A, A124)),player_hero_summary!B:B
)</f>
        <v>Tiny</v>
      </c>
      <c r="C124">
        <f>COUNTIFS([3]!players[name],A124)</f>
        <v>49</v>
      </c>
      <c r="D124" t="str" cm="1">
        <f t="array" ref="D124" xml:space="preserve">
_xlfn.XLOOKUP(
1,
(player_hero_summary!A:A=A124)*(player_hero_summary!D:D=_xlfn.MAXIFS(player_hero_summary!D:D, player_hero_summary!A:A, A124)),
player_hero_summary!C:C
)</f>
        <v>Mid</v>
      </c>
      <c r="E124">
        <f>COUNTIFS([3]!players[name],A124, [3]!players[win], 1)</f>
        <v>25</v>
      </c>
      <c r="F124" s="1">
        <f t="shared" si="1"/>
        <v>0.51020408163265307</v>
      </c>
      <c r="G124" s="2">
        <f>AVERAGEIFS([3]!players[gold_per_min], [3]!players[name],A124)</f>
        <v>593.26530612244903</v>
      </c>
      <c r="H124" s="2">
        <f>AVERAGEIFS([3]!players[xp_per_min], [3]!players[name],A124)</f>
        <v>786.0612244897959</v>
      </c>
    </row>
    <row r="125" spans="1:8" x14ac:dyDescent="0.3">
      <c r="A125" t="str">
        <v>Nightfall</v>
      </c>
      <c r="B125" t="str" cm="1">
        <f t="array" ref="B125" xml:space="preserve">
_xlfn.XLOOKUP(1, (player_hero_summary!A:A=A125)*(player_hero_summary!D:D=_xlfn.MAXIFS(player_hero_summary!D:D, player_hero_summary!A:A, A125)),player_hero_summary!B:B
)</f>
        <v>Faceless Void</v>
      </c>
      <c r="C125">
        <f>COUNTIFS([3]!players[name],A125)</f>
        <v>28</v>
      </c>
      <c r="D125" t="str" cm="1">
        <f t="array" ref="D125" xml:space="preserve">
_xlfn.XLOOKUP(
1,
(player_hero_summary!A:A=A125)*(player_hero_summary!D:D=_xlfn.MAXIFS(player_hero_summary!D:D, player_hero_summary!A:A, A125)),
player_hero_summary!C:C
)</f>
        <v>Carry</v>
      </c>
      <c r="E125">
        <f>COUNTIFS([3]!players[name],A125, [3]!players[win], 1)</f>
        <v>17</v>
      </c>
      <c r="F125" s="1">
        <f t="shared" si="1"/>
        <v>0.6071428571428571</v>
      </c>
      <c r="G125" s="2">
        <f>AVERAGEIFS([3]!players[gold_per_min], [3]!players[name],A125)</f>
        <v>709.17857142857144</v>
      </c>
      <c r="H125" s="2">
        <f>AVERAGEIFS([3]!players[xp_per_min], [3]!players[name],A125)</f>
        <v>814.35714285714289</v>
      </c>
    </row>
    <row r="126" spans="1:8" x14ac:dyDescent="0.3">
      <c r="A126" t="str">
        <v>Niku</v>
      </c>
      <c r="B126" t="str" cm="1">
        <f t="array" ref="B126" xml:space="preserve">
_xlfn.XLOOKUP(1, (player_hero_summary!A:A=A126)*(player_hero_summary!D:D=_xlfn.MAXIFS(player_hero_summary!D:D, player_hero_summary!A:A, A126)),player_hero_summary!B:B
)</f>
        <v>Sand King</v>
      </c>
      <c r="C126">
        <f>COUNTIFS([3]!players[name],A126)</f>
        <v>21</v>
      </c>
      <c r="D126" t="str" cm="1">
        <f t="array" ref="D126" xml:space="preserve">
_xlfn.XLOOKUP(
1,
(player_hero_summary!A:A=A126)*(player_hero_summary!D:D=_xlfn.MAXIFS(player_hero_summary!D:D, player_hero_summary!A:A, A126)),
player_hero_summary!C:C
)</f>
        <v>Mid</v>
      </c>
      <c r="E126">
        <f>COUNTIFS([3]!players[name],A126, [3]!players[win], 1)</f>
        <v>10</v>
      </c>
      <c r="F126" s="1">
        <f t="shared" si="1"/>
        <v>0.47619047619047616</v>
      </c>
      <c r="G126" s="2">
        <f>AVERAGEIFS([3]!players[gold_per_min], [3]!players[name],A126)</f>
        <v>558.14285714285711</v>
      </c>
      <c r="H126" s="2">
        <f>AVERAGEIFS([3]!players[xp_per_min], [3]!players[name],A126)</f>
        <v>686.95238095238096</v>
      </c>
    </row>
    <row r="127" spans="1:8" x14ac:dyDescent="0.3">
      <c r="A127" t="str">
        <v>Nisha</v>
      </c>
      <c r="B127" t="str" cm="1">
        <f t="array" ref="B127" xml:space="preserve">
_xlfn.XLOOKUP(1, (player_hero_summary!A:A=A127)*(player_hero_summary!D:D=_xlfn.MAXIFS(player_hero_summary!D:D, player_hero_summary!A:A, A127)),player_hero_summary!B:B
)</f>
        <v>Queen of Pain</v>
      </c>
      <c r="C127">
        <f>COUNTIFS([3]!players[name],A127)</f>
        <v>38</v>
      </c>
      <c r="D127" t="str" cm="1">
        <f t="array" ref="D127" xml:space="preserve">
_xlfn.XLOOKUP(
1,
(player_hero_summary!A:A=A127)*(player_hero_summary!D:D=_xlfn.MAXIFS(player_hero_summary!D:D, player_hero_summary!A:A, A127)),
player_hero_summary!C:C
)</f>
        <v>Mid</v>
      </c>
      <c r="E127">
        <f>COUNTIFS([3]!players[name],A127, [3]!players[win], 1)</f>
        <v>23</v>
      </c>
      <c r="F127" s="1">
        <f t="shared" si="1"/>
        <v>0.60526315789473684</v>
      </c>
      <c r="G127" s="2">
        <f>AVERAGEIFS([3]!players[gold_per_min], [3]!players[name],A127)</f>
        <v>662.42105263157896</v>
      </c>
      <c r="H127" s="2">
        <f>AVERAGEIFS([3]!players[xp_per_min], [3]!players[name],A127)</f>
        <v>855.71052631578948</v>
      </c>
    </row>
    <row r="128" spans="1:8" x14ac:dyDescent="0.3">
      <c r="A128" t="str">
        <v>niu</v>
      </c>
      <c r="B128" t="str" cm="1">
        <f t="array" ref="B128" xml:space="preserve">
_xlfn.XLOOKUP(1, (player_hero_summary!A:A=A128)*(player_hero_summary!D:D=_xlfn.MAXIFS(player_hero_summary!D:D, player_hero_summary!A:A, A128)),player_hero_summary!B:B
)</f>
        <v>Slardar</v>
      </c>
      <c r="C128">
        <f>COUNTIFS([3]!players[name],A128)</f>
        <v>15</v>
      </c>
      <c r="D128" t="str" cm="1">
        <f t="array" ref="D128" xml:space="preserve">
_xlfn.XLOOKUP(
1,
(player_hero_summary!A:A=A128)*(player_hero_summary!D:D=_xlfn.MAXIFS(player_hero_summary!D:D, player_hero_summary!A:A, A128)),
player_hero_summary!C:C
)</f>
        <v>Off Lane</v>
      </c>
      <c r="E128">
        <f>COUNTIFS([3]!players[name],A128, [3]!players[win], 1)</f>
        <v>10</v>
      </c>
      <c r="F128" s="1">
        <f t="shared" si="1"/>
        <v>0.66666666666666663</v>
      </c>
      <c r="G128" s="2">
        <f>AVERAGEIFS([3]!players[gold_per_min], [3]!players[name],A128)</f>
        <v>547.79999999999995</v>
      </c>
      <c r="H128" s="2">
        <f>AVERAGEIFS([3]!players[xp_per_min], [3]!players[name],A128)</f>
        <v>648.79999999999995</v>
      </c>
    </row>
    <row r="129" spans="1:8" x14ac:dyDescent="0.3">
      <c r="A129" t="str">
        <v>No!obâ„¢</v>
      </c>
      <c r="B129" t="str" cm="1">
        <f t="array" ref="B129" xml:space="preserve">
_xlfn.XLOOKUP(1, (player_hero_summary!A:A=A129)*(player_hero_summary!D:D=_xlfn.MAXIFS(player_hero_summary!D:D, player_hero_summary!A:A, A129)),player_hero_summary!B:B
)</f>
        <v>Beastmaster</v>
      </c>
      <c r="C129">
        <f>COUNTIFS([3]!players[name],A129)</f>
        <v>49</v>
      </c>
      <c r="D129" t="str" cm="1">
        <f t="array" ref="D129" xml:space="preserve">
_xlfn.XLOOKUP(
1,
(player_hero_summary!A:A=A129)*(player_hero_summary!D:D=_xlfn.MAXIFS(player_hero_summary!D:D, player_hero_summary!A:A, A129)),
player_hero_summary!C:C
)</f>
        <v>Mid</v>
      </c>
      <c r="E129">
        <f>COUNTIFS([3]!players[name],A129, [3]!players[win], 1)</f>
        <v>34</v>
      </c>
      <c r="F129" s="1">
        <f t="shared" si="1"/>
        <v>0.69387755102040816</v>
      </c>
      <c r="G129" s="2">
        <f>AVERAGEIFS([3]!players[gold_per_min], [3]!players[name],A129)</f>
        <v>614.14285714285711</v>
      </c>
      <c r="H129" s="2">
        <f>AVERAGEIFS([3]!players[xp_per_min], [3]!players[name],A129)</f>
        <v>773.38775510204084</v>
      </c>
    </row>
    <row r="130" spans="1:8" x14ac:dyDescent="0.3">
      <c r="A130" t="str">
        <v>No[o]ne-</v>
      </c>
      <c r="B130" t="str" cm="1">
        <f t="array" ref="B130" xml:space="preserve">
_xlfn.XLOOKUP(1, (player_hero_summary!A:A=A130)*(player_hero_summary!D:D=_xlfn.MAXIFS(player_hero_summary!D:D, player_hero_summary!A:A, A130)),player_hero_summary!B:B
)</f>
        <v>Puck</v>
      </c>
      <c r="C130">
        <f>COUNTIFS([3]!players[name],A130)</f>
        <v>31</v>
      </c>
      <c r="D130" t="str" cm="1">
        <f t="array" ref="D130" xml:space="preserve">
_xlfn.XLOOKUP(
1,
(player_hero_summary!A:A=A130)*(player_hero_summary!D:D=_xlfn.MAXIFS(player_hero_summary!D:D, player_hero_summary!A:A, A130)),
player_hero_summary!C:C
)</f>
        <v>Mid</v>
      </c>
      <c r="E130">
        <f>COUNTIFS([3]!players[name],A130, [3]!players[win], 1)</f>
        <v>23</v>
      </c>
      <c r="F130" s="1">
        <f t="shared" si="1"/>
        <v>0.74193548387096775</v>
      </c>
      <c r="G130" s="2">
        <f>AVERAGEIFS([3]!players[gold_per_min], [3]!players[name],A130)</f>
        <v>606.32258064516134</v>
      </c>
      <c r="H130" s="2">
        <f>AVERAGEIFS([3]!players[xp_per_min], [3]!players[name],A130)</f>
        <v>753.83870967741939</v>
      </c>
    </row>
    <row r="131" spans="1:8" x14ac:dyDescent="0.3">
      <c r="A131" t="str">
        <v>not me</v>
      </c>
      <c r="B131" t="str" cm="1">
        <f t="array" ref="B131" xml:space="preserve">
_xlfn.XLOOKUP(1, (player_hero_summary!A:A=A131)*(player_hero_summary!D:D=_xlfn.MAXIFS(player_hero_summary!D:D, player_hero_summary!A:A, A131)),player_hero_summary!B:B
)</f>
        <v>Hoodwink</v>
      </c>
      <c r="C131">
        <f>COUNTIFS([3]!players[name],A131)</f>
        <v>29</v>
      </c>
      <c r="D131" t="str" cm="1">
        <f t="array" ref="D131" xml:space="preserve">
_xlfn.XLOOKUP(
1,
(player_hero_summary!A:A=A131)*(player_hero_summary!D:D=_xlfn.MAXIFS(player_hero_summary!D:D, player_hero_summary!A:A, A131)),
player_hero_summary!C:C
)</f>
        <v>Soft Support</v>
      </c>
      <c r="E131">
        <f>COUNTIFS([3]!players[name],A131, [3]!players[win], 1)</f>
        <v>20</v>
      </c>
      <c r="F131" s="1">
        <f t="shared" ref="F131:F194" si="2">E131/C131</f>
        <v>0.68965517241379315</v>
      </c>
      <c r="G131" s="2">
        <f>AVERAGEIFS([3]!players[gold_per_min], [3]!players[name],A131)</f>
        <v>362.10344827586209</v>
      </c>
      <c r="H131" s="2">
        <f>AVERAGEIFS([3]!players[xp_per_min], [3]!players[name],A131)</f>
        <v>507.27586206896552</v>
      </c>
    </row>
    <row r="132" spans="1:8" x14ac:dyDescent="0.3">
      <c r="A132" t="str">
        <v>NothingToSay</v>
      </c>
      <c r="B132" t="str" cm="1">
        <f t="array" ref="B132" xml:space="preserve">
_xlfn.XLOOKUP(1, (player_hero_summary!A:A=A132)*(player_hero_summary!D:D=_xlfn.MAXIFS(player_hero_summary!D:D, player_hero_summary!A:A, A132)),player_hero_summary!B:B
)</f>
        <v>Ember Spirit</v>
      </c>
      <c r="C132">
        <f>COUNTIFS([3]!players[name],A132)</f>
        <v>18</v>
      </c>
      <c r="D132" t="str" cm="1">
        <f t="array" ref="D132" xml:space="preserve">
_xlfn.XLOOKUP(
1,
(player_hero_summary!A:A=A132)*(player_hero_summary!D:D=_xlfn.MAXIFS(player_hero_summary!D:D, player_hero_summary!A:A, A132)),
player_hero_summary!C:C
)</f>
        <v>Mid</v>
      </c>
      <c r="E132">
        <f>COUNTIFS([3]!players[name],A132, [3]!players[win], 1)</f>
        <v>12</v>
      </c>
      <c r="F132" s="1">
        <f t="shared" si="2"/>
        <v>0.66666666666666663</v>
      </c>
      <c r="G132" s="2">
        <f>AVERAGEIFS([3]!players[gold_per_min], [3]!players[name],A132)</f>
        <v>544.44444444444446</v>
      </c>
      <c r="H132" s="2">
        <f>AVERAGEIFS([3]!players[xp_per_min], [3]!players[name],A132)</f>
        <v>692.44444444444446</v>
      </c>
    </row>
    <row r="133" spans="1:8" x14ac:dyDescent="0.3">
      <c r="A133" t="str">
        <v>Noticed</v>
      </c>
      <c r="B133" t="str" cm="1">
        <f t="array" ref="B133" xml:space="preserve">
_xlfn.XLOOKUP(1, (player_hero_summary!A:A=A133)*(player_hero_summary!D:D=_xlfn.MAXIFS(player_hero_summary!D:D, player_hero_summary!A:A, A133)),player_hero_summary!B:B
)</f>
        <v>Bristleback</v>
      </c>
      <c r="C133">
        <f>COUNTIFS([3]!players[name],A133)</f>
        <v>3</v>
      </c>
      <c r="D133" t="str" cm="1">
        <f t="array" ref="D133" xml:space="preserve">
_xlfn.XLOOKUP(
1,
(player_hero_summary!A:A=A133)*(player_hero_summary!D:D=_xlfn.MAXIFS(player_hero_summary!D:D, player_hero_summary!A:A, A133)),
player_hero_summary!C:C
)</f>
        <v>Off Lane</v>
      </c>
      <c r="E133">
        <f>COUNTIFS([3]!players[name],A133, [3]!players[win], 1)</f>
        <v>1</v>
      </c>
      <c r="F133" s="1">
        <f t="shared" si="2"/>
        <v>0.33333333333333331</v>
      </c>
      <c r="G133" s="2">
        <f>AVERAGEIFS([3]!players[gold_per_min], [3]!players[name],A133)</f>
        <v>547.66666666666663</v>
      </c>
      <c r="H133" s="2">
        <f>AVERAGEIFS([3]!players[xp_per_min], [3]!players[name],A133)</f>
        <v>697.66666666666663</v>
      </c>
    </row>
    <row r="134" spans="1:8" x14ac:dyDescent="0.3">
      <c r="A134" t="str">
        <v>OmaR</v>
      </c>
      <c r="B134" t="str" cm="1">
        <f t="array" ref="B134" xml:space="preserve">
_xlfn.XLOOKUP(1, (player_hero_summary!A:A=A134)*(player_hero_summary!D:D=_xlfn.MAXIFS(player_hero_summary!D:D, player_hero_summary!A:A, A134)),player_hero_summary!B:B
)</f>
        <v>Rubick</v>
      </c>
      <c r="C134">
        <f>COUNTIFS([3]!players[name],A134)</f>
        <v>49</v>
      </c>
      <c r="D134" t="str" cm="1">
        <f t="array" ref="D134" xml:space="preserve">
_xlfn.XLOOKUP(
1,
(player_hero_summary!A:A=A134)*(player_hero_summary!D:D=_xlfn.MAXIFS(player_hero_summary!D:D, player_hero_summary!A:A, A134)),
player_hero_summary!C:C
)</f>
        <v>Hard Support</v>
      </c>
      <c r="E134">
        <f>COUNTIFS([3]!players[name],A134, [3]!players[win], 1)</f>
        <v>34</v>
      </c>
      <c r="F134" s="1">
        <f t="shared" si="2"/>
        <v>0.69387755102040816</v>
      </c>
      <c r="G134" s="2">
        <f>AVERAGEIFS([3]!players[gold_per_min], [3]!players[name],A134)</f>
        <v>342.55102040816325</v>
      </c>
      <c r="H134" s="2">
        <f>AVERAGEIFS([3]!players[xp_per_min], [3]!players[name],A134)</f>
        <v>527.36734693877554</v>
      </c>
    </row>
    <row r="135" spans="1:8" x14ac:dyDescent="0.3">
      <c r="A135" t="str">
        <v>onLiTaL</v>
      </c>
      <c r="B135" t="str" cm="1">
        <f t="array" ref="B135" xml:space="preserve">
_xlfn.XLOOKUP(1, (player_hero_summary!A:A=A135)*(player_hero_summary!D:D=_xlfn.MAXIFS(player_hero_summary!D:D, player_hero_summary!A:A, A135)),player_hero_summary!B:B
)</f>
        <v>Kez</v>
      </c>
      <c r="C135">
        <f>COUNTIFS([3]!players[name],A135)</f>
        <v>12</v>
      </c>
      <c r="D135" t="str" cm="1">
        <f t="array" ref="D135" xml:space="preserve">
_xlfn.XLOOKUP(
1,
(player_hero_summary!A:A=A135)*(player_hero_summary!D:D=_xlfn.MAXIFS(player_hero_summary!D:D, player_hero_summary!A:A, A135)),
player_hero_summary!C:C
)</f>
        <v>Carry</v>
      </c>
      <c r="E135">
        <f>COUNTIFS([3]!players[name],A135, [3]!players[win], 1)</f>
        <v>4</v>
      </c>
      <c r="F135" s="1">
        <f t="shared" si="2"/>
        <v>0.33333333333333331</v>
      </c>
      <c r="G135" s="2">
        <f>AVERAGEIFS([3]!players[gold_per_min], [3]!players[name],A135)</f>
        <v>570.75</v>
      </c>
      <c r="H135" s="2">
        <f>AVERAGEIFS([3]!players[xp_per_min], [3]!players[name],A135)</f>
        <v>706.08333333333337</v>
      </c>
    </row>
    <row r="136" spans="1:8" x14ac:dyDescent="0.3">
      <c r="A136" t="str">
        <v>osito</v>
      </c>
      <c r="B136" t="str" cm="1">
        <f t="array" ref="B136" xml:space="preserve">
_xlfn.XLOOKUP(1, (player_hero_summary!A:A=A136)*(player_hero_summary!D:D=_xlfn.MAXIFS(player_hero_summary!D:D, player_hero_summary!A:A, A136)),player_hero_summary!B:B
)</f>
        <v>Viper</v>
      </c>
      <c r="C136">
        <f>COUNTIFS([3]!players[name],A136)</f>
        <v>33</v>
      </c>
      <c r="D136" t="str" cm="1">
        <f t="array" ref="D136" xml:space="preserve">
_xlfn.XLOOKUP(
1,
(player_hero_summary!A:A=A136)*(player_hero_summary!D:D=_xlfn.MAXIFS(player_hero_summary!D:D, player_hero_summary!A:A, A136)),
player_hero_summary!C:C
)</f>
        <v>Mid</v>
      </c>
      <c r="E136">
        <f>COUNTIFS([3]!players[name],A136, [3]!players[win], 1)</f>
        <v>16</v>
      </c>
      <c r="F136" s="1">
        <f t="shared" si="2"/>
        <v>0.48484848484848486</v>
      </c>
      <c r="G136" s="2">
        <f>AVERAGEIFS([3]!players[gold_per_min], [3]!players[name],A136)</f>
        <v>604.5151515151515</v>
      </c>
      <c r="H136" s="2">
        <f>AVERAGEIFS([3]!players[xp_per_min], [3]!players[name],A136)</f>
        <v>758.27272727272725</v>
      </c>
    </row>
    <row r="137" spans="1:8" x14ac:dyDescent="0.3">
      <c r="A137" t="str">
        <v>pamplona</v>
      </c>
      <c r="B137" t="str" cm="1">
        <f t="array" ref="B137" xml:space="preserve">
_xlfn.XLOOKUP(1, (player_hero_summary!A:A=A137)*(player_hero_summary!D:D=_xlfn.MAXIFS(player_hero_summary!D:D, player_hero_summary!A:A, A137)),player_hero_summary!B:B
)</f>
        <v>Enchantress</v>
      </c>
      <c r="C137">
        <f>COUNTIFS([3]!players[name],A137)</f>
        <v>12</v>
      </c>
      <c r="D137" t="str" cm="1">
        <f t="array" ref="D137" xml:space="preserve">
_xlfn.XLOOKUP(
1,
(player_hero_summary!A:A=A137)*(player_hero_summary!D:D=_xlfn.MAXIFS(player_hero_summary!D:D, player_hero_summary!A:A, A137)),
player_hero_summary!C:C
)</f>
        <v>Roam</v>
      </c>
      <c r="E137">
        <f>COUNTIFS([3]!players[name],A137, [3]!players[win], 1)</f>
        <v>5</v>
      </c>
      <c r="F137" s="1">
        <f t="shared" si="2"/>
        <v>0.41666666666666669</v>
      </c>
      <c r="G137" s="2">
        <f>AVERAGEIFS([3]!players[gold_per_min], [3]!players[name],A137)</f>
        <v>326.41666666666669</v>
      </c>
      <c r="H137" s="2">
        <f>AVERAGEIFS([3]!players[xp_per_min], [3]!players[name],A137)</f>
        <v>437.58333333333331</v>
      </c>
    </row>
    <row r="138" spans="1:8" x14ac:dyDescent="0.3">
      <c r="A138" t="str">
        <v>Panda</v>
      </c>
      <c r="B138" t="str" cm="1">
        <f t="array" ref="B138" xml:space="preserve">
_xlfn.XLOOKUP(1, (player_hero_summary!A:A=A138)*(player_hero_summary!D:D=_xlfn.MAXIFS(player_hero_summary!D:D, player_hero_summary!A:A, A138)),player_hero_summary!B:B
)</f>
        <v>Huskar</v>
      </c>
      <c r="C138">
        <f>COUNTIFS([3]!players[name],A138)</f>
        <v>53</v>
      </c>
      <c r="D138" t="str" cm="1">
        <f t="array" ref="D138" xml:space="preserve">
_xlfn.XLOOKUP(
1,
(player_hero_summary!A:A=A138)*(player_hero_summary!D:D=_xlfn.MAXIFS(player_hero_summary!D:D, player_hero_summary!A:A, A138)),
player_hero_summary!C:C
)</f>
        <v>Mid</v>
      </c>
      <c r="E138">
        <f>COUNTIFS([3]!players[name],A138, [3]!players[win], 1)</f>
        <v>19</v>
      </c>
      <c r="F138" s="1">
        <f t="shared" si="2"/>
        <v>0.35849056603773582</v>
      </c>
      <c r="G138" s="2">
        <f>AVERAGEIFS([3]!players[gold_per_min], [3]!players[name],A138)</f>
        <v>528.96226415094338</v>
      </c>
      <c r="H138" s="2">
        <f>AVERAGEIFS([3]!players[xp_per_min], [3]!players[name],A138)</f>
        <v>655.24528301886789</v>
      </c>
    </row>
    <row r="139" spans="1:8" x14ac:dyDescent="0.3">
      <c r="A139" t="str">
        <v>panto</v>
      </c>
      <c r="B139" t="str" cm="1">
        <f t="array" ref="B139" xml:space="preserve">
_xlfn.XLOOKUP(1, (player_hero_summary!A:A=A139)*(player_hero_summary!D:D=_xlfn.MAXIFS(player_hero_summary!D:D, player_hero_summary!A:A, A139)),player_hero_summary!B:B
)</f>
        <v>Silencer</v>
      </c>
      <c r="C139">
        <f>COUNTIFS([3]!players[name],A139)</f>
        <v>23</v>
      </c>
      <c r="D139" t="str" cm="1">
        <f t="array" ref="D139" xml:space="preserve">
_xlfn.XLOOKUP(
1,
(player_hero_summary!A:A=A139)*(player_hero_summary!D:D=_xlfn.MAXIFS(player_hero_summary!D:D, player_hero_summary!A:A, A139)),
player_hero_summary!C:C
)</f>
        <v>Hard Support</v>
      </c>
      <c r="E139">
        <f>COUNTIFS([3]!players[name],A139, [3]!players[win], 1)</f>
        <v>9</v>
      </c>
      <c r="F139" s="1">
        <f t="shared" si="2"/>
        <v>0.39130434782608697</v>
      </c>
      <c r="G139" s="2">
        <f>AVERAGEIFS([3]!players[gold_per_min], [3]!players[name],A139)</f>
        <v>320.43478260869563</v>
      </c>
      <c r="H139" s="2">
        <f>AVERAGEIFS([3]!players[xp_per_min], [3]!players[name],A139)</f>
        <v>450.69565217391306</v>
      </c>
    </row>
    <row r="140" spans="1:8" x14ac:dyDescent="0.3">
      <c r="A140" t="str">
        <v>payk</v>
      </c>
      <c r="B140" t="str" cm="1">
        <f t="array" ref="B140" xml:space="preserve">
_xlfn.XLOOKUP(1, (player_hero_summary!A:A=A140)*(player_hero_summary!D:D=_xlfn.MAXIFS(player_hero_summary!D:D, player_hero_summary!A:A, A140)),player_hero_summary!B:B
)</f>
        <v>Tiny</v>
      </c>
      <c r="C140">
        <f>COUNTIFS([3]!players[name],A140)</f>
        <v>37</v>
      </c>
      <c r="D140" t="str" cm="1">
        <f t="array" ref="D140" xml:space="preserve">
_xlfn.XLOOKUP(
1,
(player_hero_summary!A:A=A140)*(player_hero_summary!D:D=_xlfn.MAXIFS(player_hero_summary!D:D, player_hero_summary!A:A, A140)),
player_hero_summary!C:C
)</f>
        <v>Carry</v>
      </c>
      <c r="E140">
        <f>COUNTIFS([3]!players[name],A140, [3]!players[win], 1)</f>
        <v>20</v>
      </c>
      <c r="F140" s="1">
        <f t="shared" si="2"/>
        <v>0.54054054054054057</v>
      </c>
      <c r="G140" s="2">
        <f>AVERAGEIFS([3]!players[gold_per_min], [3]!players[name],A140)</f>
        <v>697.54054054054052</v>
      </c>
      <c r="H140" s="2">
        <f>AVERAGEIFS([3]!players[xp_per_min], [3]!players[name],A140)</f>
        <v>817.83783783783781</v>
      </c>
    </row>
    <row r="141" spans="1:8" x14ac:dyDescent="0.3">
      <c r="A141" t="str">
        <v>PiPi</v>
      </c>
      <c r="B141" t="str" cm="1">
        <f t="array" ref="B141" xml:space="preserve">
_xlfn.XLOOKUP(1, (player_hero_summary!A:A=A141)*(player_hero_summary!D:D=_xlfn.MAXIFS(player_hero_summary!D:D, player_hero_summary!A:A, A141)),player_hero_summary!B:B
)</f>
        <v>Keeper of the Light</v>
      </c>
      <c r="C141">
        <f>COUNTIFS([3]!players[name],A141)</f>
        <v>11</v>
      </c>
      <c r="D141" t="str" cm="1">
        <f t="array" ref="D141" xml:space="preserve">
_xlfn.XLOOKUP(
1,
(player_hero_summary!A:A=A141)*(player_hero_summary!D:D=_xlfn.MAXIFS(player_hero_summary!D:D, player_hero_summary!A:A, A141)),
player_hero_summary!C:C
)</f>
        <v>Mid</v>
      </c>
      <c r="E141">
        <f>COUNTIFS([3]!players[name],A141, [3]!players[win], 1)</f>
        <v>5</v>
      </c>
      <c r="F141" s="1">
        <f t="shared" si="2"/>
        <v>0.45454545454545453</v>
      </c>
      <c r="G141" s="2">
        <f>AVERAGEIFS([3]!players[gold_per_min], [3]!players[name],A141)</f>
        <v>569.27272727272725</v>
      </c>
      <c r="H141" s="2">
        <f>AVERAGEIFS([3]!players[xp_per_min], [3]!players[name],A141)</f>
        <v>684.63636363636363</v>
      </c>
    </row>
    <row r="142" spans="1:8" x14ac:dyDescent="0.3">
      <c r="A142" t="str">
        <v>planet</v>
      </c>
      <c r="B142" t="str" cm="1">
        <f t="array" ref="B142" xml:space="preserve">
_xlfn.XLOOKUP(1, (player_hero_summary!A:A=A142)*(player_hero_summary!D:D=_xlfn.MAXIFS(player_hero_summary!D:D, player_hero_summary!A:A, A142)),player_hero_summary!B:B
)</f>
        <v>Rubick</v>
      </c>
      <c r="C142">
        <f>COUNTIFS([3]!players[name],A142)</f>
        <v>15</v>
      </c>
      <c r="D142" t="str" cm="1">
        <f t="array" ref="D142" xml:space="preserve">
_xlfn.XLOOKUP(
1,
(player_hero_summary!A:A=A142)*(player_hero_summary!D:D=_xlfn.MAXIFS(player_hero_summary!D:D, player_hero_summary!A:A, A142)),
player_hero_summary!C:C
)</f>
        <v>Soft Support</v>
      </c>
      <c r="E142">
        <f>COUNTIFS([3]!players[name],A142, [3]!players[win], 1)</f>
        <v>10</v>
      </c>
      <c r="F142" s="1">
        <f t="shared" si="2"/>
        <v>0.66666666666666663</v>
      </c>
      <c r="G142" s="2">
        <f>AVERAGEIFS([3]!players[gold_per_min], [3]!players[name],A142)</f>
        <v>367.33333333333331</v>
      </c>
      <c r="H142" s="2">
        <f>AVERAGEIFS([3]!players[xp_per_min], [3]!players[name],A142)</f>
        <v>509.73333333333335</v>
      </c>
    </row>
    <row r="143" spans="1:8" x14ac:dyDescent="0.3">
      <c r="A143" t="str">
        <v>pma</v>
      </c>
      <c r="B143" t="str" cm="1">
        <f t="array" ref="B143" xml:space="preserve">
_xlfn.XLOOKUP(1, (player_hero_summary!A:A=A143)*(player_hero_summary!D:D=_xlfn.MAXIFS(player_hero_summary!D:D, player_hero_summary!A:A, A143)),player_hero_summary!B:B
)</f>
        <v>Underlord</v>
      </c>
      <c r="C143">
        <f>COUNTIFS([3]!players[name],A143)</f>
        <v>21</v>
      </c>
      <c r="D143" t="str" cm="1">
        <f t="array" ref="D143" xml:space="preserve">
_xlfn.XLOOKUP(
1,
(player_hero_summary!A:A=A143)*(player_hero_summary!D:D=_xlfn.MAXIFS(player_hero_summary!D:D, player_hero_summary!A:A, A143)),
player_hero_summary!C:C
)</f>
        <v>Off Lane</v>
      </c>
      <c r="E143">
        <f>COUNTIFS([3]!players[name],A143, [3]!players[win], 1)</f>
        <v>10</v>
      </c>
      <c r="F143" s="1">
        <f t="shared" si="2"/>
        <v>0.47619047619047616</v>
      </c>
      <c r="G143" s="2">
        <f>AVERAGEIFS([3]!players[gold_per_min], [3]!players[name],A143)</f>
        <v>556.85714285714289</v>
      </c>
      <c r="H143" s="2">
        <f>AVERAGEIFS([3]!players[xp_per_min], [3]!players[name],A143)</f>
        <v>704.47619047619048</v>
      </c>
    </row>
    <row r="144" spans="1:8" x14ac:dyDescent="0.3">
      <c r="A144" t="str">
        <v>ponlo</v>
      </c>
      <c r="B144" t="str" cm="1">
        <f t="array" ref="B144" xml:space="preserve">
_xlfn.XLOOKUP(1, (player_hero_summary!A:A=A144)*(player_hero_summary!D:D=_xlfn.MAXIFS(player_hero_summary!D:D, player_hero_summary!A:A, A144)),player_hero_summary!B:B
)</f>
        <v>Techies</v>
      </c>
      <c r="C144">
        <f>COUNTIFS([3]!players[name],A144)</f>
        <v>12</v>
      </c>
      <c r="D144" t="str" cm="1">
        <f t="array" ref="D144" xml:space="preserve">
_xlfn.XLOOKUP(
1,
(player_hero_summary!A:A=A144)*(player_hero_summary!D:D=_xlfn.MAXIFS(player_hero_summary!D:D, player_hero_summary!A:A, A144)),
player_hero_summary!C:C
)</f>
        <v>Soft Support</v>
      </c>
      <c r="E144">
        <f>COUNTIFS([3]!players[name],A144, [3]!players[win], 1)</f>
        <v>7</v>
      </c>
      <c r="F144" s="1">
        <f t="shared" si="2"/>
        <v>0.58333333333333337</v>
      </c>
      <c r="G144" s="2">
        <f>AVERAGEIFS([3]!players[gold_per_min], [3]!players[name],A144)</f>
        <v>330.08333333333331</v>
      </c>
      <c r="H144" s="2">
        <f>AVERAGEIFS([3]!players[xp_per_min], [3]!players[name],A144)</f>
        <v>480.66666666666669</v>
      </c>
    </row>
    <row r="145" spans="1:8" x14ac:dyDescent="0.3">
      <c r="A145" t="str">
        <v>Prada</v>
      </c>
      <c r="B145" t="str" cm="1">
        <f t="array" ref="B145" xml:space="preserve">
_xlfn.XLOOKUP(1, (player_hero_summary!A:A=A145)*(player_hero_summary!D:D=_xlfn.MAXIFS(player_hero_summary!D:D, player_hero_summary!A:A, A145)),player_hero_summary!B:B
)</f>
        <v>Disruptor</v>
      </c>
      <c r="C145">
        <f>COUNTIFS([3]!players[name],A145)</f>
        <v>24</v>
      </c>
      <c r="D145" t="str" cm="1">
        <f t="array" ref="D145" xml:space="preserve">
_xlfn.XLOOKUP(
1,
(player_hero_summary!A:A=A145)*(player_hero_summary!D:D=_xlfn.MAXIFS(player_hero_summary!D:D, player_hero_summary!A:A, A145)),
player_hero_summary!C:C
)</f>
        <v>Hard Support</v>
      </c>
      <c r="E145">
        <f>COUNTIFS([3]!players[name],A145, [3]!players[win], 1)</f>
        <v>6</v>
      </c>
      <c r="F145" s="1">
        <f t="shared" si="2"/>
        <v>0.25</v>
      </c>
      <c r="G145" s="2">
        <f>AVERAGEIFS([3]!players[gold_per_min], [3]!players[name],A145)</f>
        <v>291.79166666666669</v>
      </c>
      <c r="H145" s="2">
        <f>AVERAGEIFS([3]!players[xp_per_min], [3]!players[name],A145)</f>
        <v>394.58333333333331</v>
      </c>
    </row>
    <row r="146" spans="1:8" x14ac:dyDescent="0.3">
      <c r="A146" t="str">
        <v>prblms</v>
      </c>
      <c r="B146" t="str" cm="1">
        <f t="array" ref="B146" xml:space="preserve">
_xlfn.XLOOKUP(1, (player_hero_summary!A:A=A146)*(player_hero_summary!D:D=_xlfn.MAXIFS(player_hero_summary!D:D, player_hero_summary!A:A, A146)),player_hero_summary!B:B
)</f>
        <v>Disruptor</v>
      </c>
      <c r="C146">
        <f>COUNTIFS([3]!players[name],A146)</f>
        <v>45</v>
      </c>
      <c r="D146" t="str" cm="1">
        <f t="array" ref="D146" xml:space="preserve">
_xlfn.XLOOKUP(
1,
(player_hero_summary!A:A=A146)*(player_hero_summary!D:D=_xlfn.MAXIFS(player_hero_summary!D:D, player_hero_summary!A:A, A146)),
player_hero_summary!C:C
)</f>
        <v>Roam</v>
      </c>
      <c r="E146">
        <f>COUNTIFS([3]!players[name],A146, [3]!players[win], 1)</f>
        <v>21</v>
      </c>
      <c r="F146" s="1">
        <f t="shared" si="2"/>
        <v>0.46666666666666667</v>
      </c>
      <c r="G146" s="2">
        <f>AVERAGEIFS([3]!players[gold_per_min], [3]!players[name],A146)</f>
        <v>313.88888888888891</v>
      </c>
      <c r="H146" s="2">
        <f>AVERAGEIFS([3]!players[xp_per_min], [3]!players[name],A146)</f>
        <v>460.46666666666664</v>
      </c>
    </row>
    <row r="147" spans="1:8" x14ac:dyDescent="0.3">
      <c r="A147" t="str">
        <v>Q</v>
      </c>
      <c r="B147" t="str" cm="1">
        <f t="array" ref="B147" xml:space="preserve">
_xlfn.XLOOKUP(1, (player_hero_summary!A:A=A147)*(player_hero_summary!D:D=_xlfn.MAXIFS(player_hero_summary!D:D, player_hero_summary!A:A, A147)),player_hero_summary!B:B
)</f>
        <v>Rubick</v>
      </c>
      <c r="C147">
        <f>COUNTIFS([3]!players[name],A147)</f>
        <v>18</v>
      </c>
      <c r="D147" t="str" cm="1">
        <f t="array" ref="D147" xml:space="preserve">
_xlfn.XLOOKUP(
1,
(player_hero_summary!A:A=A147)*(player_hero_summary!D:D=_xlfn.MAXIFS(player_hero_summary!D:D, player_hero_summary!A:A, A147)),
player_hero_summary!C:C
)</f>
        <v>Roam</v>
      </c>
      <c r="E147">
        <f>COUNTIFS([3]!players[name],A147, [3]!players[win], 1)</f>
        <v>12</v>
      </c>
      <c r="F147" s="1">
        <f t="shared" si="2"/>
        <v>0.66666666666666663</v>
      </c>
      <c r="G147" s="2">
        <f>AVERAGEIFS([3]!players[gold_per_min], [3]!players[name],A147)</f>
        <v>368.33333333333331</v>
      </c>
      <c r="H147" s="2">
        <f>AVERAGEIFS([3]!players[xp_per_min], [3]!players[name],A147)</f>
        <v>541.38888888888891</v>
      </c>
    </row>
    <row r="148" spans="1:8" x14ac:dyDescent="0.3">
      <c r="A148" t="str">
        <v>Q7</v>
      </c>
      <c r="B148" t="str" cm="1">
        <f t="array" ref="B148" xml:space="preserve">
_xlfn.XLOOKUP(1, (player_hero_summary!A:A=A148)*(player_hero_summary!D:D=_xlfn.MAXIFS(player_hero_summary!D:D, player_hero_summary!A:A, A148)),player_hero_summary!B:B
)</f>
        <v>Ember Spirit</v>
      </c>
      <c r="C148">
        <f>COUNTIFS([3]!players[name],A148)</f>
        <v>10</v>
      </c>
      <c r="D148" t="str" cm="1">
        <f t="array" ref="D148" xml:space="preserve">
_xlfn.XLOOKUP(
1,
(player_hero_summary!A:A=A148)*(player_hero_summary!D:D=_xlfn.MAXIFS(player_hero_summary!D:D, player_hero_summary!A:A, A148)),
player_hero_summary!C:C
)</f>
        <v>Mid</v>
      </c>
      <c r="E148">
        <f>COUNTIFS([3]!players[name],A148, [3]!players[win], 1)</f>
        <v>4</v>
      </c>
      <c r="F148" s="1">
        <f t="shared" si="2"/>
        <v>0.4</v>
      </c>
      <c r="G148" s="2">
        <f>AVERAGEIFS([3]!players[gold_per_min], [3]!players[name],A148)</f>
        <v>501</v>
      </c>
      <c r="H148" s="2">
        <f>AVERAGEIFS([3]!players[xp_per_min], [3]!players[name],A148)</f>
        <v>591.4</v>
      </c>
    </row>
    <row r="149" spans="1:8" x14ac:dyDescent="0.3">
      <c r="A149" t="str">
        <v>queezy</v>
      </c>
      <c r="B149" t="str" cm="1">
        <f t="array" ref="B149" xml:space="preserve">
_xlfn.XLOOKUP(1, (player_hero_summary!A:A=A149)*(player_hero_summary!D:D=_xlfn.MAXIFS(player_hero_summary!D:D, player_hero_summary!A:A, A149)),player_hero_summary!B:B
)</f>
        <v>Hoodwink</v>
      </c>
      <c r="C149">
        <f>COUNTIFS([3]!players[name],A149)</f>
        <v>3</v>
      </c>
      <c r="D149" t="str" cm="1">
        <f t="array" ref="D149" xml:space="preserve">
_xlfn.XLOOKUP(
1,
(player_hero_summary!A:A=A149)*(player_hero_summary!D:D=_xlfn.MAXIFS(player_hero_summary!D:D, player_hero_summary!A:A, A149)),
player_hero_summary!C:C
)</f>
        <v>Soft Support</v>
      </c>
      <c r="E149">
        <f>COUNTIFS([3]!players[name],A149, [3]!players[win], 1)</f>
        <v>1</v>
      </c>
      <c r="F149" s="1">
        <f t="shared" si="2"/>
        <v>0.33333333333333331</v>
      </c>
      <c r="G149" s="2">
        <f>AVERAGEIFS([3]!players[gold_per_min], [3]!players[name],A149)</f>
        <v>304.66666666666669</v>
      </c>
      <c r="H149" s="2">
        <f>AVERAGEIFS([3]!players[xp_per_min], [3]!players[name],A149)</f>
        <v>485.33333333333331</v>
      </c>
    </row>
    <row r="150" spans="1:8" x14ac:dyDescent="0.3">
      <c r="A150" t="str">
        <v>qute</v>
      </c>
      <c r="B150" t="str" cm="1">
        <f t="array" ref="B150" xml:space="preserve">
_xlfn.XLOOKUP(1, (player_hero_summary!A:A=A150)*(player_hero_summary!D:D=_xlfn.MAXIFS(player_hero_summary!D:D, player_hero_summary!A:A, A150)),player_hero_summary!B:B
)</f>
        <v>Hoodwink</v>
      </c>
      <c r="C150">
        <f>COUNTIFS([3]!players[name],A150)</f>
        <v>13</v>
      </c>
      <c r="D150" t="str" cm="1">
        <f t="array" ref="D150" xml:space="preserve">
_xlfn.XLOOKUP(
1,
(player_hero_summary!A:A=A150)*(player_hero_summary!D:D=_xlfn.MAXIFS(player_hero_summary!D:D, player_hero_summary!A:A, A150)),
player_hero_summary!C:C
)</f>
        <v>Roam</v>
      </c>
      <c r="E150">
        <f>COUNTIFS([3]!players[name],A150, [3]!players[win], 1)</f>
        <v>4</v>
      </c>
      <c r="F150" s="1">
        <f t="shared" si="2"/>
        <v>0.30769230769230771</v>
      </c>
      <c r="G150" s="2">
        <f>AVERAGEIFS([3]!players[gold_per_min], [3]!players[name],A150)</f>
        <v>335.07692307692309</v>
      </c>
      <c r="H150" s="2">
        <f>AVERAGEIFS([3]!players[xp_per_min], [3]!players[name],A150)</f>
        <v>454.92307692307691</v>
      </c>
    </row>
    <row r="151" spans="1:8" x14ac:dyDescent="0.3">
      <c r="A151" t="str">
        <v>raregods</v>
      </c>
      <c r="B151" t="str" cm="1">
        <f t="array" ref="B151" xml:space="preserve">
_xlfn.XLOOKUP(1, (player_hero_summary!A:A=A151)*(player_hero_summary!D:D=_xlfn.MAXIFS(player_hero_summary!D:D, player_hero_summary!A:A, A151)),player_hero_summary!B:B
)</f>
        <v>Rubick</v>
      </c>
      <c r="C151">
        <f>COUNTIFS([3]!players[name],A151)</f>
        <v>27</v>
      </c>
      <c r="D151" t="str" cm="1">
        <f t="array" ref="D151" xml:space="preserve">
_xlfn.XLOOKUP(
1,
(player_hero_summary!A:A=A151)*(player_hero_summary!D:D=_xlfn.MAXIFS(player_hero_summary!D:D, player_hero_summary!A:A, A151)),
player_hero_summary!C:C
)</f>
        <v>Hard Support</v>
      </c>
      <c r="E151">
        <f>COUNTIFS([3]!players[name],A151, [3]!players[win], 1)</f>
        <v>8</v>
      </c>
      <c r="F151" s="1">
        <f t="shared" si="2"/>
        <v>0.29629629629629628</v>
      </c>
      <c r="G151" s="2">
        <f>AVERAGEIFS([3]!players[gold_per_min], [3]!players[name],A151)</f>
        <v>320.48148148148147</v>
      </c>
      <c r="H151" s="2">
        <f>AVERAGEIFS([3]!players[xp_per_min], [3]!players[name],A151)</f>
        <v>421.62962962962962</v>
      </c>
    </row>
    <row r="152" spans="1:8" x14ac:dyDescent="0.3">
      <c r="A152" t="str">
        <v>raven</v>
      </c>
      <c r="B152" t="str" cm="1">
        <f t="array" ref="B152" xml:space="preserve">
_xlfn.XLOOKUP(1, (player_hero_summary!A:A=A152)*(player_hero_summary!D:D=_xlfn.MAXIFS(player_hero_summary!D:D, player_hero_summary!A:A, A152)),player_hero_summary!B:B
)</f>
        <v>Brewmaster</v>
      </c>
      <c r="C152">
        <f>COUNTIFS([3]!players[name],A152)</f>
        <v>11</v>
      </c>
      <c r="D152" t="str" cm="1">
        <f t="array" ref="D152" xml:space="preserve">
_xlfn.XLOOKUP(
1,
(player_hero_summary!A:A=A152)*(player_hero_summary!D:D=_xlfn.MAXIFS(player_hero_summary!D:D, player_hero_summary!A:A, A152)),
player_hero_summary!C:C
)</f>
        <v>Off Lane</v>
      </c>
      <c r="E152">
        <f>COUNTIFS([3]!players[name],A152, [3]!players[win], 1)</f>
        <v>5</v>
      </c>
      <c r="F152" s="1">
        <f t="shared" si="2"/>
        <v>0.45454545454545453</v>
      </c>
      <c r="G152" s="2">
        <f>AVERAGEIFS([3]!players[gold_per_min], [3]!players[name],A152)</f>
        <v>564.81818181818187</v>
      </c>
      <c r="H152" s="2">
        <f>AVERAGEIFS([3]!players[xp_per_min], [3]!players[name],A152)</f>
        <v>705.72727272727275</v>
      </c>
    </row>
    <row r="153" spans="1:8" x14ac:dyDescent="0.3">
      <c r="A153" t="str">
        <v>RCY</v>
      </c>
      <c r="B153" t="str" cm="1">
        <f t="array" ref="B153" xml:space="preserve">
_xlfn.XLOOKUP(1, (player_hero_summary!A:A=A153)*(player_hero_summary!D:D=_xlfn.MAXIFS(player_hero_summary!D:D, player_hero_summary!A:A, A153)),player_hero_summary!B:B
)</f>
        <v>Storm Spirit</v>
      </c>
      <c r="C153">
        <f>COUNTIFS([3]!players[name],A153)</f>
        <v>37</v>
      </c>
      <c r="D153" t="str" cm="1">
        <f t="array" ref="D153" xml:space="preserve">
_xlfn.XLOOKUP(
1,
(player_hero_summary!A:A=A153)*(player_hero_summary!D:D=_xlfn.MAXIFS(player_hero_summary!D:D, player_hero_summary!A:A, A153)),
player_hero_summary!C:C
)</f>
        <v>Mid</v>
      </c>
      <c r="E153">
        <f>COUNTIFS([3]!players[name],A153, [3]!players[win], 1)</f>
        <v>23</v>
      </c>
      <c r="F153" s="1">
        <f t="shared" si="2"/>
        <v>0.6216216216216216</v>
      </c>
      <c r="G153" s="2">
        <f>AVERAGEIFS([3]!players[gold_per_min], [3]!players[name],A153)</f>
        <v>659.59459459459458</v>
      </c>
      <c r="H153" s="2">
        <f>AVERAGEIFS([3]!players[xp_per_min], [3]!players[name],A153)</f>
        <v>835.08108108108104</v>
      </c>
    </row>
    <row r="154" spans="1:8" x14ac:dyDescent="0.3">
      <c r="A154" t="str">
        <v>RESPECT</v>
      </c>
      <c r="B154" t="str" cm="1">
        <f t="array" ref="B154" xml:space="preserve">
_xlfn.XLOOKUP(1, (player_hero_summary!A:A=A154)*(player_hero_summary!D:D=_xlfn.MAXIFS(player_hero_summary!D:D, player_hero_summary!A:A, A154)),player_hero_summary!B:B
)</f>
        <v>Enchantress</v>
      </c>
      <c r="C154">
        <f>COUNTIFS([3]!players[name],A154)</f>
        <v>61</v>
      </c>
      <c r="D154" t="str" cm="1">
        <f t="array" ref="D154" xml:space="preserve">
_xlfn.XLOOKUP(
1,
(player_hero_summary!A:A=A154)*(player_hero_summary!D:D=_xlfn.MAXIFS(player_hero_summary!D:D, player_hero_summary!A:A, A154)),
player_hero_summary!C:C
)</f>
        <v>Soft Support</v>
      </c>
      <c r="E154">
        <f>COUNTIFS([3]!players[name],A154, [3]!players[win], 1)</f>
        <v>33</v>
      </c>
      <c r="F154" s="1">
        <f t="shared" si="2"/>
        <v>0.54098360655737709</v>
      </c>
      <c r="G154" s="2">
        <f>AVERAGEIFS([3]!players[gold_per_min], [3]!players[name],A154)</f>
        <v>352.37704918032784</v>
      </c>
      <c r="H154" s="2">
        <f>AVERAGEIFS([3]!players[xp_per_min], [3]!players[name],A154)</f>
        <v>477.39344262295083</v>
      </c>
    </row>
    <row r="155" spans="1:8" x14ac:dyDescent="0.3">
      <c r="A155" t="str">
        <v>Riddys</v>
      </c>
      <c r="B155" t="str" cm="1">
        <f t="array" ref="B155" xml:space="preserve">
_xlfn.XLOOKUP(1, (player_hero_summary!A:A=A155)*(player_hero_summary!D:D=_xlfn.MAXIFS(player_hero_summary!D:D, player_hero_summary!A:A, A155)),player_hero_summary!B:B
)</f>
        <v>Treant Protector</v>
      </c>
      <c r="C155">
        <f>COUNTIFS([3]!players[name],A155)</f>
        <v>21</v>
      </c>
      <c r="D155" t="str" cm="1">
        <f t="array" ref="D155" xml:space="preserve">
_xlfn.XLOOKUP(
1,
(player_hero_summary!A:A=A155)*(player_hero_summary!D:D=_xlfn.MAXIFS(player_hero_summary!D:D, player_hero_summary!A:A, A155)),
player_hero_summary!C:C
)</f>
        <v>Hard Support</v>
      </c>
      <c r="E155">
        <f>COUNTIFS([3]!players[name],A155, [3]!players[win], 1)</f>
        <v>10</v>
      </c>
      <c r="F155" s="1">
        <f t="shared" si="2"/>
        <v>0.47619047619047616</v>
      </c>
      <c r="G155" s="2">
        <f>AVERAGEIFS([3]!players[gold_per_min], [3]!players[name],A155)</f>
        <v>331.04761904761904</v>
      </c>
      <c r="H155" s="2">
        <f>AVERAGEIFS([3]!players[xp_per_min], [3]!players[name],A155)</f>
        <v>405.90476190476193</v>
      </c>
    </row>
    <row r="156" spans="1:8" x14ac:dyDescent="0.3">
      <c r="A156" t="str">
        <v>rincyq</v>
      </c>
      <c r="B156" t="str" cm="1">
        <f t="array" ref="B156" xml:space="preserve">
_xlfn.XLOOKUP(1, (player_hero_summary!A:A=A156)*(player_hero_summary!D:D=_xlfn.MAXIFS(player_hero_summary!D:D, player_hero_summary!A:A, A156)),player_hero_summary!B:B
)</f>
        <v>Muerta</v>
      </c>
      <c r="C156">
        <f>COUNTIFS([3]!players[name],A156)</f>
        <v>49</v>
      </c>
      <c r="D156" t="str" cm="1">
        <f t="array" ref="D156" xml:space="preserve">
_xlfn.XLOOKUP(
1,
(player_hero_summary!A:A=A156)*(player_hero_summary!D:D=_xlfn.MAXIFS(player_hero_summary!D:D, player_hero_summary!A:A, A156)),
player_hero_summary!C:C
)</f>
        <v>Carry</v>
      </c>
      <c r="E156">
        <f>COUNTIFS([3]!players[name],A156, [3]!players[win], 1)</f>
        <v>34</v>
      </c>
      <c r="F156" s="1">
        <f t="shared" si="2"/>
        <v>0.69387755102040816</v>
      </c>
      <c r="G156" s="2">
        <f>AVERAGEIFS([3]!players[gold_per_min], [3]!players[name],A156)</f>
        <v>704.38775510204084</v>
      </c>
      <c r="H156" s="2">
        <f>AVERAGEIFS([3]!players[xp_per_min], [3]!players[name],A156)</f>
        <v>819.83673469387759</v>
      </c>
    </row>
    <row r="157" spans="1:8" x14ac:dyDescent="0.3">
      <c r="A157" t="str">
        <v>Roy</v>
      </c>
      <c r="B157" t="str" cm="1">
        <f t="array" ref="B157" xml:space="preserve">
_xlfn.XLOOKUP(1, (player_hero_summary!A:A=A157)*(player_hero_summary!D:D=_xlfn.MAXIFS(player_hero_summary!D:D, player_hero_summary!A:A, A157)),player_hero_summary!B:B
)</f>
        <v>Hoodwink</v>
      </c>
      <c r="C157">
        <f>COUNTIFS([3]!players[name],A157)</f>
        <v>10</v>
      </c>
      <c r="D157" t="str" cm="1">
        <f t="array" ref="D157" xml:space="preserve">
_xlfn.XLOOKUP(
1,
(player_hero_summary!A:A=A157)*(player_hero_summary!D:D=_xlfn.MAXIFS(player_hero_summary!D:D, player_hero_summary!A:A, A157)),
player_hero_summary!C:C
)</f>
        <v>Hard Support</v>
      </c>
      <c r="E157">
        <f>COUNTIFS([3]!players[name],A157, [3]!players[win], 1)</f>
        <v>4</v>
      </c>
      <c r="F157" s="1">
        <f t="shared" si="2"/>
        <v>0.4</v>
      </c>
      <c r="G157" s="2">
        <f>AVERAGEIFS([3]!players[gold_per_min], [3]!players[name],A157)</f>
        <v>343.6</v>
      </c>
      <c r="H157" s="2">
        <f>AVERAGEIFS([3]!players[xp_per_min], [3]!players[name],A157)</f>
        <v>426.9</v>
      </c>
    </row>
    <row r="158" spans="1:8" x14ac:dyDescent="0.3">
      <c r="A158" t="str">
        <v>rue</v>
      </c>
      <c r="B158" t="str" cm="1">
        <f t="array" ref="B158" xml:space="preserve">
_xlfn.XLOOKUP(1, (player_hero_summary!A:A=A158)*(player_hero_summary!D:D=_xlfn.MAXIFS(player_hero_summary!D:D, player_hero_summary!A:A, A158)),player_hero_summary!B:B
)</f>
        <v>Hoodwink</v>
      </c>
      <c r="C158">
        <f>COUNTIFS([3]!players[name],A158)</f>
        <v>23</v>
      </c>
      <c r="D158" t="str" cm="1">
        <f t="array" ref="D158" xml:space="preserve">
_xlfn.XLOOKUP(
1,
(player_hero_summary!A:A=A158)*(player_hero_summary!D:D=_xlfn.MAXIFS(player_hero_summary!D:D, player_hero_summary!A:A, A158)),
player_hero_summary!C:C
)</f>
        <v>Roam</v>
      </c>
      <c r="E158">
        <f>COUNTIFS([3]!players[name],A158, [3]!players[win], 1)</f>
        <v>9</v>
      </c>
      <c r="F158" s="1">
        <f t="shared" si="2"/>
        <v>0.39130434782608697</v>
      </c>
      <c r="G158" s="2">
        <f>AVERAGEIFS([3]!players[gold_per_min], [3]!players[name],A158)</f>
        <v>336.95652173913044</v>
      </c>
      <c r="H158" s="2">
        <f>AVERAGEIFS([3]!players[xp_per_min], [3]!players[name],A158)</f>
        <v>485.17391304347825</v>
      </c>
    </row>
    <row r="159" spans="1:8" x14ac:dyDescent="0.3">
      <c r="A159" t="str">
        <v>Rupido</v>
      </c>
      <c r="B159" t="str" cm="1">
        <f t="array" ref="B159" xml:space="preserve">
_xlfn.XLOOKUP(1, (player_hero_summary!A:A=A159)*(player_hero_summary!D:D=_xlfn.MAXIFS(player_hero_summary!D:D, player_hero_summary!A:A, A159)),player_hero_summary!B:B
)</f>
        <v>Tidehunter</v>
      </c>
      <c r="C159">
        <f>COUNTIFS([3]!players[name],A159)</f>
        <v>54</v>
      </c>
      <c r="D159" t="str" cm="1">
        <f t="array" ref="D159" xml:space="preserve">
_xlfn.XLOOKUP(
1,
(player_hero_summary!A:A=A159)*(player_hero_summary!D:D=_xlfn.MAXIFS(player_hero_summary!D:D, player_hero_summary!A:A, A159)),
player_hero_summary!C:C
)</f>
        <v>Off Lane</v>
      </c>
      <c r="E159">
        <f>COUNTIFS([3]!players[name],A159, [3]!players[win], 1)</f>
        <v>26</v>
      </c>
      <c r="F159" s="1">
        <f t="shared" si="2"/>
        <v>0.48148148148148145</v>
      </c>
      <c r="G159" s="2">
        <f>AVERAGEIFS([3]!players[gold_per_min], [3]!players[name],A159)</f>
        <v>495.57407407407408</v>
      </c>
      <c r="H159" s="2">
        <f>AVERAGEIFS([3]!players[xp_per_min], [3]!players[name],A159)</f>
        <v>652.7962962962963</v>
      </c>
    </row>
    <row r="160" spans="1:8" x14ac:dyDescent="0.3">
      <c r="A160" t="str">
        <v>ryota</v>
      </c>
      <c r="B160" t="str" cm="1">
        <f t="array" ref="B160" xml:space="preserve">
_xlfn.XLOOKUP(1, (player_hero_summary!A:A=A160)*(player_hero_summary!D:D=_xlfn.MAXIFS(player_hero_summary!D:D, player_hero_summary!A:A, A160)),player_hero_summary!B:B
)</f>
        <v>Rubick</v>
      </c>
      <c r="C160">
        <f>COUNTIFS([3]!players[name],A160)</f>
        <v>18</v>
      </c>
      <c r="D160" t="str" cm="1">
        <f t="array" ref="D160" xml:space="preserve">
_xlfn.XLOOKUP(
1,
(player_hero_summary!A:A=A160)*(player_hero_summary!D:D=_xlfn.MAXIFS(player_hero_summary!D:D, player_hero_summary!A:A, A160)),
player_hero_summary!C:C
)</f>
        <v>Soft Support</v>
      </c>
      <c r="E160">
        <f>COUNTIFS([3]!players[name],A160, [3]!players[win], 1)</f>
        <v>6</v>
      </c>
      <c r="F160" s="1">
        <f t="shared" si="2"/>
        <v>0.33333333333333331</v>
      </c>
      <c r="G160" s="2">
        <f>AVERAGEIFS([3]!players[gold_per_min], [3]!players[name],A160)</f>
        <v>306.94444444444446</v>
      </c>
      <c r="H160" s="2">
        <f>AVERAGEIFS([3]!players[xp_per_min], [3]!players[name],A160)</f>
        <v>467.88888888888891</v>
      </c>
    </row>
    <row r="161" spans="1:8" x14ac:dyDescent="0.3">
      <c r="A161" t="str">
        <v>Ryu</v>
      </c>
      <c r="B161" t="str" cm="1">
        <f t="array" ref="B161" xml:space="preserve">
_xlfn.XLOOKUP(1, (player_hero_summary!A:A=A161)*(player_hero_summary!D:D=_xlfn.MAXIFS(player_hero_summary!D:D, player_hero_summary!A:A, A161)),player_hero_summary!B:B
)</f>
        <v>Slardar</v>
      </c>
      <c r="C161">
        <f>COUNTIFS([3]!players[name],A161)</f>
        <v>26</v>
      </c>
      <c r="D161" t="str" cm="1">
        <f t="array" ref="D161" xml:space="preserve">
_xlfn.XLOOKUP(
1,
(player_hero_summary!A:A=A161)*(player_hero_summary!D:D=_xlfn.MAXIFS(player_hero_summary!D:D, player_hero_summary!A:A, A161)),
player_hero_summary!C:C
)</f>
        <v>Off Lane</v>
      </c>
      <c r="E161">
        <f>COUNTIFS([3]!players[name],A161, [3]!players[win], 1)</f>
        <v>6</v>
      </c>
      <c r="F161" s="1">
        <f t="shared" si="2"/>
        <v>0.23076923076923078</v>
      </c>
      <c r="G161" s="2">
        <f>AVERAGEIFS([3]!players[gold_per_min], [3]!players[name],A161)</f>
        <v>458.26923076923077</v>
      </c>
      <c r="H161" s="2">
        <f>AVERAGEIFS([3]!players[xp_per_min], [3]!players[name],A161)</f>
        <v>552.69230769230774</v>
      </c>
    </row>
    <row r="162" spans="1:8" x14ac:dyDescent="0.3">
      <c r="A162" t="str">
        <v>Saberlight</v>
      </c>
      <c r="B162" t="str" cm="1">
        <f t="array" ref="B162" xml:space="preserve">
_xlfn.XLOOKUP(1, (player_hero_summary!A:A=A162)*(player_hero_summary!D:D=_xlfn.MAXIFS(player_hero_summary!D:D, player_hero_summary!A:A, A162)),player_hero_summary!B:B
)</f>
        <v>Primal Beast</v>
      </c>
      <c r="C162">
        <f>COUNTIFS([3]!players[name],A162)</f>
        <v>27</v>
      </c>
      <c r="D162" t="str" cm="1">
        <f t="array" ref="D162" xml:space="preserve">
_xlfn.XLOOKUP(
1,
(player_hero_summary!A:A=A162)*(player_hero_summary!D:D=_xlfn.MAXIFS(player_hero_summary!D:D, player_hero_summary!A:A, A162)),
player_hero_summary!C:C
)</f>
        <v>Off Lane</v>
      </c>
      <c r="E162">
        <f>COUNTIFS([3]!players[name],A162, [3]!players[win], 1)</f>
        <v>12</v>
      </c>
      <c r="F162" s="1">
        <f t="shared" si="2"/>
        <v>0.44444444444444442</v>
      </c>
      <c r="G162" s="2">
        <f>AVERAGEIFS([3]!players[gold_per_min], [3]!players[name],A162)</f>
        <v>526.62962962962968</v>
      </c>
      <c r="H162" s="2">
        <f>AVERAGEIFS([3]!players[xp_per_min], [3]!players[name],A162)</f>
        <v>673.51851851851848</v>
      </c>
    </row>
    <row r="163" spans="1:8" x14ac:dyDescent="0.3">
      <c r="A163" t="str">
        <v>Satanic</v>
      </c>
      <c r="B163" t="str" cm="1">
        <f t="array" ref="B163" xml:space="preserve">
_xlfn.XLOOKUP(1, (player_hero_summary!A:A=A163)*(player_hero_summary!D:D=_xlfn.MAXIFS(player_hero_summary!D:D, player_hero_summary!A:A, A163)),player_hero_summary!B:B
)</f>
        <v>Kez</v>
      </c>
      <c r="C163">
        <f>COUNTIFS([3]!players[name],A163)</f>
        <v>31</v>
      </c>
      <c r="D163" t="str" cm="1">
        <f t="array" ref="D163" xml:space="preserve">
_xlfn.XLOOKUP(
1,
(player_hero_summary!A:A=A163)*(player_hero_summary!D:D=_xlfn.MAXIFS(player_hero_summary!D:D, player_hero_summary!A:A, A163)),
player_hero_summary!C:C
)</f>
        <v>Carry</v>
      </c>
      <c r="E163">
        <f>COUNTIFS([3]!players[name],A163, [3]!players[win], 1)</f>
        <v>23</v>
      </c>
      <c r="F163" s="1">
        <f t="shared" si="2"/>
        <v>0.74193548387096775</v>
      </c>
      <c r="G163" s="2">
        <f>AVERAGEIFS([3]!players[gold_per_min], [3]!players[name],A163)</f>
        <v>779.45161290322585</v>
      </c>
      <c r="H163" s="2">
        <f>AVERAGEIFS([3]!players[xp_per_min], [3]!players[name],A163)</f>
        <v>865.67741935483866</v>
      </c>
    </row>
    <row r="164" spans="1:8" x14ac:dyDescent="0.3">
      <c r="A164" t="str">
        <v>Save-</v>
      </c>
      <c r="B164" t="str" cm="1">
        <f t="array" ref="B164" xml:space="preserve">
_xlfn.XLOOKUP(1, (player_hero_summary!A:A=A164)*(player_hero_summary!D:D=_xlfn.MAXIFS(player_hero_summary!D:D, player_hero_summary!A:A, A164)),player_hero_summary!B:B
)</f>
        <v>Hoodwink</v>
      </c>
      <c r="C164">
        <f>COUNTIFS([3]!players[name],A164)</f>
        <v>34</v>
      </c>
      <c r="D164" t="str" cm="1">
        <f t="array" ref="D164" xml:space="preserve">
_xlfn.XLOOKUP(
1,
(player_hero_summary!A:A=A164)*(player_hero_summary!D:D=_xlfn.MAXIFS(player_hero_summary!D:D, player_hero_summary!A:A, A164)),
player_hero_summary!C:C
)</f>
        <v>Soft Support</v>
      </c>
      <c r="E164">
        <f>COUNTIFS([3]!players[name],A164, [3]!players[win], 1)</f>
        <v>27</v>
      </c>
      <c r="F164" s="1">
        <f t="shared" si="2"/>
        <v>0.79411764705882348</v>
      </c>
      <c r="G164" s="2">
        <f>AVERAGEIFS([3]!players[gold_per_min], [3]!players[name],A164)</f>
        <v>367.38235294117646</v>
      </c>
      <c r="H164" s="2">
        <f>AVERAGEIFS([3]!players[xp_per_min], [3]!players[name],A164)</f>
        <v>571.67647058823525</v>
      </c>
    </row>
    <row r="165" spans="1:8" x14ac:dyDescent="0.3">
      <c r="A165" t="str">
        <v>sayuw</v>
      </c>
      <c r="B165" t="str" cm="1">
        <f t="array" ref="B165" xml:space="preserve">
_xlfn.XLOOKUP(1, (player_hero_summary!A:A=A165)*(player_hero_summary!D:D=_xlfn.MAXIFS(player_hero_summary!D:D, player_hero_summary!A:A, A165)),player_hero_summary!B:B
)</f>
        <v>Hoodwink</v>
      </c>
      <c r="C165">
        <f>COUNTIFS([3]!players[name],A165)</f>
        <v>61</v>
      </c>
      <c r="D165" t="str" cm="1">
        <f t="array" ref="D165" xml:space="preserve">
_xlfn.XLOOKUP(
1,
(player_hero_summary!A:A=A165)*(player_hero_summary!D:D=_xlfn.MAXIFS(player_hero_summary!D:D, player_hero_summary!A:A, A165)),
player_hero_summary!C:C
)</f>
        <v>Roam</v>
      </c>
      <c r="E165">
        <f>COUNTIFS([3]!players[name],A165, [3]!players[win], 1)</f>
        <v>33</v>
      </c>
      <c r="F165" s="1">
        <f t="shared" si="2"/>
        <v>0.54098360655737709</v>
      </c>
      <c r="G165" s="2">
        <f>AVERAGEIFS([3]!players[gold_per_min], [3]!players[name],A165)</f>
        <v>325.57377049180326</v>
      </c>
      <c r="H165" s="2">
        <f>AVERAGEIFS([3]!players[xp_per_min], [3]!players[name],A165)</f>
        <v>469.21311475409834</v>
      </c>
    </row>
    <row r="166" spans="1:8" x14ac:dyDescent="0.3">
      <c r="A166" t="str">
        <v>Scofield</v>
      </c>
      <c r="B166" t="str" cm="1">
        <f t="array" ref="B166" xml:space="preserve">
_xlfn.XLOOKUP(1, (player_hero_summary!A:A=A166)*(player_hero_summary!D:D=_xlfn.MAXIFS(player_hero_summary!D:D, player_hero_summary!A:A, A166)),player_hero_summary!B:B
)</f>
        <v>Hoodwink</v>
      </c>
      <c r="C166">
        <f>COUNTIFS([3]!players[name],A166)</f>
        <v>68</v>
      </c>
      <c r="D166" t="str" cm="1">
        <f t="array" ref="D166" xml:space="preserve">
_xlfn.XLOOKUP(
1,
(player_hero_summary!A:A=A166)*(player_hero_summary!D:D=_xlfn.MAXIFS(player_hero_summary!D:D, player_hero_summary!A:A, A166)),
player_hero_summary!C:C
)</f>
        <v>Hard Support</v>
      </c>
      <c r="E166">
        <f>COUNTIFS([3]!players[name],A166, [3]!players[win], 1)</f>
        <v>43</v>
      </c>
      <c r="F166" s="1">
        <f t="shared" si="2"/>
        <v>0.63235294117647056</v>
      </c>
      <c r="G166" s="2">
        <f>AVERAGEIFS([3]!players[gold_per_min], [3]!players[name],A166)</f>
        <v>319.88235294117646</v>
      </c>
      <c r="H166" s="2">
        <f>AVERAGEIFS([3]!players[xp_per_min], [3]!players[name],A166)</f>
        <v>482.94117647058823</v>
      </c>
    </row>
    <row r="167" spans="1:8" x14ac:dyDescent="0.3">
      <c r="A167" t="str">
        <v>Se</v>
      </c>
      <c r="B167" t="str" cm="1">
        <f t="array" ref="B167" xml:space="preserve">
_xlfn.XLOOKUP(1, (player_hero_summary!A:A=A167)*(player_hero_summary!D:D=_xlfn.MAXIFS(player_hero_summary!D:D, player_hero_summary!A:A, A167)),player_hero_summary!B:B
)</f>
        <v>Silencer</v>
      </c>
      <c r="C167">
        <f>COUNTIFS([3]!players[name],A167)</f>
        <v>33</v>
      </c>
      <c r="D167" t="str" cm="1">
        <f t="array" ref="D167" xml:space="preserve">
_xlfn.XLOOKUP(
1,
(player_hero_summary!A:A=A167)*(player_hero_summary!D:D=_xlfn.MAXIFS(player_hero_summary!D:D, player_hero_summary!A:A, A167)),
player_hero_summary!C:C
)</f>
        <v>Hard Support</v>
      </c>
      <c r="E167">
        <f>COUNTIFS([3]!players[name],A167, [3]!players[win], 1)</f>
        <v>23</v>
      </c>
      <c r="F167" s="1">
        <f t="shared" si="2"/>
        <v>0.69696969696969702</v>
      </c>
      <c r="G167" s="2">
        <f>AVERAGEIFS([3]!players[gold_per_min], [3]!players[name],A167)</f>
        <v>358.30303030303031</v>
      </c>
      <c r="H167" s="2">
        <f>AVERAGEIFS([3]!players[xp_per_min], [3]!players[name],A167)</f>
        <v>489.60606060606062</v>
      </c>
    </row>
    <row r="168" spans="1:8" x14ac:dyDescent="0.3">
      <c r="A168" t="str">
        <v>seimei</v>
      </c>
      <c r="B168" t="str" cm="1">
        <f t="array" ref="B168" xml:space="preserve">
_xlfn.XLOOKUP(1, (player_hero_summary!A:A=A168)*(player_hero_summary!D:D=_xlfn.MAXIFS(player_hero_summary!D:D, player_hero_summary!A:A, A168)),player_hero_summary!B:B
)</f>
        <v>Slardar</v>
      </c>
      <c r="C168">
        <f>COUNTIFS([3]!players[name],A168)</f>
        <v>30</v>
      </c>
      <c r="D168" t="str" cm="1">
        <f t="array" ref="D168" xml:space="preserve">
_xlfn.XLOOKUP(
1,
(player_hero_summary!A:A=A168)*(player_hero_summary!D:D=_xlfn.MAXIFS(player_hero_summary!D:D, player_hero_summary!A:A, A168)),
player_hero_summary!C:C
)</f>
        <v>Off Lane</v>
      </c>
      <c r="E168">
        <f>COUNTIFS([3]!players[name],A168, [3]!players[win], 1)</f>
        <v>17</v>
      </c>
      <c r="F168" s="1">
        <f t="shared" si="2"/>
        <v>0.56666666666666665</v>
      </c>
      <c r="G168" s="2">
        <f>AVERAGEIFS([3]!players[gold_per_min], [3]!players[name],A168)</f>
        <v>549.86666666666667</v>
      </c>
      <c r="H168" s="2">
        <f>AVERAGEIFS([3]!players[xp_per_min], [3]!players[name],A168)</f>
        <v>721.33333333333337</v>
      </c>
    </row>
    <row r="169" spans="1:8" x14ac:dyDescent="0.3">
      <c r="A169" t="str">
        <v>selfhate</v>
      </c>
      <c r="B169" t="str" cm="1">
        <f t="array" ref="B169" xml:space="preserve">
_xlfn.XLOOKUP(1, (player_hero_summary!A:A=A169)*(player_hero_summary!D:D=_xlfn.MAXIFS(player_hero_summary!D:D, player_hero_summary!A:A, A169)),player_hero_summary!B:B
)</f>
        <v>Monkey King</v>
      </c>
      <c r="C169">
        <f>COUNTIFS([3]!players[name],A169)</f>
        <v>65</v>
      </c>
      <c r="D169" t="str" cm="1">
        <f t="array" ref="D169" xml:space="preserve">
_xlfn.XLOOKUP(
1,
(player_hero_summary!A:A=A169)*(player_hero_summary!D:D=_xlfn.MAXIFS(player_hero_summary!D:D, player_hero_summary!A:A, A169)),
player_hero_summary!C:C
)</f>
        <v>Carry</v>
      </c>
      <c r="E169">
        <f>COUNTIFS([3]!players[name],A169, [3]!players[win], 1)</f>
        <v>39</v>
      </c>
      <c r="F169" s="1">
        <f t="shared" si="2"/>
        <v>0.6</v>
      </c>
      <c r="G169" s="2">
        <f>AVERAGEIFS([3]!players[gold_per_min], [3]!players[name],A169)</f>
        <v>680.61538461538464</v>
      </c>
      <c r="H169" s="2">
        <f>AVERAGEIFS([3]!players[xp_per_min], [3]!players[name],A169)</f>
        <v>794.35384615384612</v>
      </c>
    </row>
    <row r="170" spans="1:8" x14ac:dyDescent="0.3">
      <c r="A170" t="str">
        <v>Serenada</v>
      </c>
      <c r="B170" t="str" cm="1">
        <f t="array" ref="B170" xml:space="preserve">
_xlfn.XLOOKUP(1, (player_hero_summary!A:A=A170)*(player_hero_summary!D:D=_xlfn.MAXIFS(player_hero_summary!D:D, player_hero_summary!A:A, A170)),player_hero_summary!B:B
)</f>
        <v>Puck</v>
      </c>
      <c r="C170">
        <f>COUNTIFS([3]!players[name],A170)</f>
        <v>17</v>
      </c>
      <c r="D170" t="str" cm="1">
        <f t="array" ref="D170" xml:space="preserve">
_xlfn.XLOOKUP(
1,
(player_hero_summary!A:A=A170)*(player_hero_summary!D:D=_xlfn.MAXIFS(player_hero_summary!D:D, player_hero_summary!A:A, A170)),
player_hero_summary!C:C
)</f>
        <v>Mid</v>
      </c>
      <c r="E170">
        <f>COUNTIFS([3]!players[name],A170, [3]!players[win], 1)</f>
        <v>4</v>
      </c>
      <c r="F170" s="1">
        <f t="shared" si="2"/>
        <v>0.23529411764705882</v>
      </c>
      <c r="G170" s="2">
        <f>AVERAGEIFS([3]!players[gold_per_min], [3]!players[name],A170)</f>
        <v>507.23529411764707</v>
      </c>
      <c r="H170" s="2">
        <f>AVERAGEIFS([3]!players[xp_per_min], [3]!players[name],A170)</f>
        <v>656.94117647058829</v>
      </c>
    </row>
    <row r="171" spans="1:8" x14ac:dyDescent="0.3">
      <c r="A171" t="str">
        <v>setuna</v>
      </c>
      <c r="B171" t="str" cm="1">
        <f t="array" ref="B171" xml:space="preserve">
_xlfn.XLOOKUP(1, (player_hero_summary!A:A=A171)*(player_hero_summary!D:D=_xlfn.MAXIFS(player_hero_summary!D:D, player_hero_summary!A:A, A171)),player_hero_summary!B:B
)</f>
        <v>Phoenix</v>
      </c>
      <c r="C171">
        <f>COUNTIFS([3]!players[name],A171)</f>
        <v>2</v>
      </c>
      <c r="D171" t="str" cm="1">
        <f t="array" ref="D171" xml:space="preserve">
_xlfn.XLOOKUP(
1,
(player_hero_summary!A:A=A171)*(player_hero_summary!D:D=_xlfn.MAXIFS(player_hero_summary!D:D, player_hero_summary!A:A, A171)),
player_hero_summary!C:C
)</f>
        <v>Soft Support</v>
      </c>
      <c r="E171">
        <f>COUNTIFS([3]!players[name],A171, [3]!players[win], 1)</f>
        <v>0</v>
      </c>
      <c r="F171" s="1">
        <f t="shared" si="2"/>
        <v>0</v>
      </c>
      <c r="G171" s="2">
        <f>AVERAGEIFS([3]!players[gold_per_min], [3]!players[name],A171)</f>
        <v>256</v>
      </c>
      <c r="H171" s="2">
        <f>AVERAGEIFS([3]!players[xp_per_min], [3]!players[name],A171)</f>
        <v>281</v>
      </c>
    </row>
    <row r="172" spans="1:8" x14ac:dyDescent="0.3">
      <c r="A172" t="str">
        <v>SHEOL</v>
      </c>
      <c r="B172" t="str" cm="1">
        <f t="array" ref="B172" xml:space="preserve">
_xlfn.XLOOKUP(1, (player_hero_summary!A:A=A172)*(player_hero_summary!D:D=_xlfn.MAXIFS(player_hero_summary!D:D, player_hero_summary!A:A, A172)),player_hero_summary!B:B
)</f>
        <v>Ember Spirit</v>
      </c>
      <c r="C172">
        <f>COUNTIFS([3]!players[name],A172)</f>
        <v>16</v>
      </c>
      <c r="D172" t="str" cm="1">
        <f t="array" ref="D172" xml:space="preserve">
_xlfn.XLOOKUP(
1,
(player_hero_summary!A:A=A172)*(player_hero_summary!D:D=_xlfn.MAXIFS(player_hero_summary!D:D, player_hero_summary!A:A, A172)),
player_hero_summary!C:C
)</f>
        <v>Mid</v>
      </c>
      <c r="E172">
        <f>COUNTIFS([3]!players[name],A172, [3]!players[win], 1)</f>
        <v>10</v>
      </c>
      <c r="F172" s="1">
        <f t="shared" si="2"/>
        <v>0.625</v>
      </c>
      <c r="G172" s="2">
        <f>AVERAGEIFS([3]!players[gold_per_min], [3]!players[name],A172)</f>
        <v>575.8125</v>
      </c>
      <c r="H172" s="2">
        <f>AVERAGEIFS([3]!players[xp_per_min], [3]!players[name],A172)</f>
        <v>709.8125</v>
      </c>
    </row>
    <row r="173" spans="1:8" x14ac:dyDescent="0.3">
      <c r="A173" t="str">
        <v>shigetsu</v>
      </c>
      <c r="B173" t="str" cm="1">
        <f t="array" ref="B173" xml:space="preserve">
_xlfn.XLOOKUP(1, (player_hero_summary!A:A=A173)*(player_hero_summary!D:D=_xlfn.MAXIFS(player_hero_summary!D:D, player_hero_summary!A:A, A173)),player_hero_summary!B:B
)</f>
        <v>Luna</v>
      </c>
      <c r="C173">
        <f>COUNTIFS([3]!players[name],A173)</f>
        <v>29</v>
      </c>
      <c r="D173" t="str" cm="1">
        <f t="array" ref="D173" xml:space="preserve">
_xlfn.XLOOKUP(
1,
(player_hero_summary!A:A=A173)*(player_hero_summary!D:D=_xlfn.MAXIFS(player_hero_summary!D:D, player_hero_summary!A:A, A173)),
player_hero_summary!C:C
)</f>
        <v>Carry</v>
      </c>
      <c r="E173">
        <f>COUNTIFS([3]!players[name],A173, [3]!players[win], 1)</f>
        <v>20</v>
      </c>
      <c r="F173" s="1">
        <f t="shared" si="2"/>
        <v>0.68965517241379315</v>
      </c>
      <c r="G173" s="2">
        <f>AVERAGEIFS([3]!players[gold_per_min], [3]!players[name],A173)</f>
        <v>799.44827586206895</v>
      </c>
      <c r="H173" s="2">
        <f>AVERAGEIFS([3]!players[xp_per_min], [3]!players[name],A173)</f>
        <v>912.20689655172418</v>
      </c>
    </row>
    <row r="174" spans="1:8" x14ac:dyDescent="0.3">
      <c r="A174" t="str">
        <v>shiro</v>
      </c>
      <c r="B174" t="str" cm="1">
        <f t="array" ref="B174" xml:space="preserve">
_xlfn.XLOOKUP(1, (player_hero_summary!A:A=A174)*(player_hero_summary!D:D=_xlfn.MAXIFS(player_hero_summary!D:D, player_hero_summary!A:A, A174)),player_hero_summary!B:B
)</f>
        <v>Windranger</v>
      </c>
      <c r="C174">
        <f>COUNTIFS([3]!players[name],A174)</f>
        <v>23</v>
      </c>
      <c r="D174" t="str" cm="1">
        <f t="array" ref="D174" xml:space="preserve">
_xlfn.XLOOKUP(
1,
(player_hero_summary!A:A=A174)*(player_hero_summary!D:D=_xlfn.MAXIFS(player_hero_summary!D:D, player_hero_summary!A:A, A174)),
player_hero_summary!C:C
)</f>
        <v>Carry</v>
      </c>
      <c r="E174">
        <f>COUNTIFS([3]!players[name],A174, [3]!players[win], 1)</f>
        <v>14</v>
      </c>
      <c r="F174" s="1">
        <f t="shared" si="2"/>
        <v>0.60869565217391308</v>
      </c>
      <c r="G174" s="2">
        <f>AVERAGEIFS([3]!players[gold_per_min], [3]!players[name],A174)</f>
        <v>660.52173913043475</v>
      </c>
      <c r="H174" s="2">
        <f>AVERAGEIFS([3]!players[xp_per_min], [3]!players[name],A174)</f>
        <v>764.6521739130435</v>
      </c>
    </row>
    <row r="175" spans="1:8" x14ac:dyDescent="0.3">
      <c r="A175" t="str">
        <v>shy</v>
      </c>
      <c r="B175" t="str" cm="1">
        <f t="array" ref="B175" xml:space="preserve">
_xlfn.XLOOKUP(1, (player_hero_summary!A:A=A175)*(player_hero_summary!D:D=_xlfn.MAXIFS(player_hero_summary!D:D, player_hero_summary!A:A, A175)),player_hero_summary!B:B
)</f>
        <v>Kez</v>
      </c>
      <c r="C175">
        <f>COUNTIFS([3]!players[name],A175)</f>
        <v>11</v>
      </c>
      <c r="D175" t="str" cm="1">
        <f t="array" ref="D175" xml:space="preserve">
_xlfn.XLOOKUP(
1,
(player_hero_summary!A:A=A175)*(player_hero_summary!D:D=_xlfn.MAXIFS(player_hero_summary!D:D, player_hero_summary!A:A, A175)),
player_hero_summary!C:C
)</f>
        <v>Carry</v>
      </c>
      <c r="E175">
        <f>COUNTIFS([3]!players[name],A175, [3]!players[win], 1)</f>
        <v>6</v>
      </c>
      <c r="F175" s="1">
        <f t="shared" si="2"/>
        <v>0.54545454545454541</v>
      </c>
      <c r="G175" s="2">
        <f>AVERAGEIFS([3]!players[gold_per_min], [3]!players[name],A175)</f>
        <v>754.90909090909088</v>
      </c>
      <c r="H175" s="2">
        <f>AVERAGEIFS([3]!players[xp_per_min], [3]!players[name],A175)</f>
        <v>872.81818181818187</v>
      </c>
    </row>
    <row r="176" spans="1:8" x14ac:dyDescent="0.3">
      <c r="A176" t="str">
        <v>skiter</v>
      </c>
      <c r="B176" t="str" cm="1">
        <f t="array" ref="B176" xml:space="preserve">
_xlfn.XLOOKUP(1, (player_hero_summary!A:A=A176)*(player_hero_summary!D:D=_xlfn.MAXIFS(player_hero_summary!D:D, player_hero_summary!A:A, A176)),player_hero_summary!B:B
)</f>
        <v>Tiny</v>
      </c>
      <c r="C176">
        <f>COUNTIFS([3]!players[name],A176)</f>
        <v>21</v>
      </c>
      <c r="D176" t="str" cm="1">
        <f t="array" ref="D176" xml:space="preserve">
_xlfn.XLOOKUP(
1,
(player_hero_summary!A:A=A176)*(player_hero_summary!D:D=_xlfn.MAXIFS(player_hero_summary!D:D, player_hero_summary!A:A, A176)),
player_hero_summary!C:C
)</f>
        <v>Carry</v>
      </c>
      <c r="E176">
        <f>COUNTIFS([3]!players[name],A176, [3]!players[win], 1)</f>
        <v>13</v>
      </c>
      <c r="F176" s="1">
        <f t="shared" si="2"/>
        <v>0.61904761904761907</v>
      </c>
      <c r="G176" s="2">
        <f>AVERAGEIFS([3]!players[gold_per_min], [3]!players[name],A176)</f>
        <v>721.38095238095241</v>
      </c>
      <c r="H176" s="2">
        <f>AVERAGEIFS([3]!players[xp_per_min], [3]!players[name],A176)</f>
        <v>828.66666666666663</v>
      </c>
    </row>
    <row r="177" spans="1:8" x14ac:dyDescent="0.3">
      <c r="A177" t="str">
        <v>SLATEM$</v>
      </c>
      <c r="B177" t="str" cm="1">
        <f t="array" ref="B177" xml:space="preserve">
_xlfn.XLOOKUP(1, (player_hero_summary!A:A=A177)*(player_hero_summary!D:D=_xlfn.MAXIFS(player_hero_summary!D:D, player_hero_summary!A:A, A177)),player_hero_summary!B:B
)</f>
        <v>Storm Spirit</v>
      </c>
      <c r="C177">
        <f>COUNTIFS([3]!players[name],A177)</f>
        <v>37</v>
      </c>
      <c r="D177" t="str" cm="1">
        <f t="array" ref="D177" xml:space="preserve">
_xlfn.XLOOKUP(
1,
(player_hero_summary!A:A=A177)*(player_hero_summary!D:D=_xlfn.MAXIFS(player_hero_summary!D:D, player_hero_summary!A:A, A177)),
player_hero_summary!C:C
)</f>
        <v>Mid</v>
      </c>
      <c r="E177">
        <f>COUNTIFS([3]!players[name],A177, [3]!players[win], 1)</f>
        <v>20</v>
      </c>
      <c r="F177" s="1">
        <f t="shared" si="2"/>
        <v>0.54054054054054057</v>
      </c>
      <c r="G177" s="2">
        <f>AVERAGEIFS([3]!players[gold_per_min], [3]!players[name],A177)</f>
        <v>557.10810810810813</v>
      </c>
      <c r="H177" s="2">
        <f>AVERAGEIFS([3]!players[xp_per_min], [3]!players[name],A177)</f>
        <v>728.54054054054052</v>
      </c>
    </row>
    <row r="178" spans="1:8" x14ac:dyDescent="0.3">
      <c r="A178" t="str">
        <v>Sneyking</v>
      </c>
      <c r="B178" t="str" cm="1">
        <f t="array" ref="B178" xml:space="preserve">
_xlfn.XLOOKUP(1, (player_hero_summary!A:A=A178)*(player_hero_summary!D:D=_xlfn.MAXIFS(player_hero_summary!D:D, player_hero_summary!A:A, A178)),player_hero_summary!B:B
)</f>
        <v>Phoenix</v>
      </c>
      <c r="C178">
        <f>COUNTIFS([3]!players[name],A178)</f>
        <v>21</v>
      </c>
      <c r="D178" t="str" cm="1">
        <f t="array" ref="D178" xml:space="preserve">
_xlfn.XLOOKUP(
1,
(player_hero_summary!A:A=A178)*(player_hero_summary!D:D=_xlfn.MAXIFS(player_hero_summary!D:D, player_hero_summary!A:A, A178)),
player_hero_summary!C:C
)</f>
        <v>Roam</v>
      </c>
      <c r="E178">
        <f>COUNTIFS([3]!players[name],A178, [3]!players[win], 1)</f>
        <v>13</v>
      </c>
      <c r="F178" s="1">
        <f t="shared" si="2"/>
        <v>0.61904761904761907</v>
      </c>
      <c r="G178" s="2">
        <f>AVERAGEIFS([3]!players[gold_per_min], [3]!players[name],A178)</f>
        <v>392.14285714285717</v>
      </c>
      <c r="H178" s="2">
        <f>AVERAGEIFS([3]!players[xp_per_min], [3]!players[name],A178)</f>
        <v>538.85714285714289</v>
      </c>
    </row>
    <row r="179" spans="1:8" x14ac:dyDescent="0.3">
      <c r="A179" t="str">
        <v>Speeed</v>
      </c>
      <c r="B179" t="str" cm="1">
        <f t="array" ref="B179" xml:space="preserve">
_xlfn.XLOOKUP(1, (player_hero_summary!A:A=A179)*(player_hero_summary!D:D=_xlfn.MAXIFS(player_hero_summary!D:D, player_hero_summary!A:A, A179)),player_hero_summary!B:B
)</f>
        <v>Phoenix</v>
      </c>
      <c r="C179">
        <f>COUNTIFS([3]!players[name],A179)</f>
        <v>37</v>
      </c>
      <c r="D179" t="str" cm="1">
        <f t="array" ref="D179" xml:space="preserve">
_xlfn.XLOOKUP(
1,
(player_hero_summary!A:A=A179)*(player_hero_summary!D:D=_xlfn.MAXIFS(player_hero_summary!D:D, player_hero_summary!A:A, A179)),
player_hero_summary!C:C
)</f>
        <v>Soft Support</v>
      </c>
      <c r="E179">
        <f>COUNTIFS([3]!players[name],A179, [3]!players[win], 1)</f>
        <v>23</v>
      </c>
      <c r="F179" s="1">
        <f t="shared" si="2"/>
        <v>0.6216216216216216</v>
      </c>
      <c r="G179" s="2">
        <f>AVERAGEIFS([3]!players[gold_per_min], [3]!players[name],A179)</f>
        <v>366.27027027027026</v>
      </c>
      <c r="H179" s="2">
        <f>AVERAGEIFS([3]!players[xp_per_min], [3]!players[name],A179)</f>
        <v>467.97297297297297</v>
      </c>
    </row>
    <row r="180" spans="1:8" x14ac:dyDescent="0.3">
      <c r="A180" t="str">
        <v>squad1x</v>
      </c>
      <c r="B180" t="str" cm="1">
        <f t="array" ref="B180" xml:space="preserve">
_xlfn.XLOOKUP(1, (player_hero_summary!A:A=A180)*(player_hero_summary!D:D=_xlfn.MAXIFS(player_hero_summary!D:D, player_hero_summary!A:A, A180)),player_hero_summary!B:B
)</f>
        <v>Puck</v>
      </c>
      <c r="C180">
        <f>COUNTIFS([3]!players[name],A180)</f>
        <v>50</v>
      </c>
      <c r="D180" t="str" cm="1">
        <f t="array" ref="D180" xml:space="preserve">
_xlfn.XLOOKUP(
1,
(player_hero_summary!A:A=A180)*(player_hero_summary!D:D=_xlfn.MAXIFS(player_hero_summary!D:D, player_hero_summary!A:A, A180)),
player_hero_summary!C:C
)</f>
        <v>Mid</v>
      </c>
      <c r="E180">
        <f>COUNTIFS([3]!players[name],A180, [3]!players[win], 1)</f>
        <v>24</v>
      </c>
      <c r="F180" s="1">
        <f t="shared" si="2"/>
        <v>0.48</v>
      </c>
      <c r="G180" s="2">
        <f>AVERAGEIFS([3]!players[gold_per_min], [3]!players[name],A180)</f>
        <v>595.74</v>
      </c>
      <c r="H180" s="2">
        <f>AVERAGEIFS([3]!players[xp_per_min], [3]!players[name],A180)</f>
        <v>733.78</v>
      </c>
    </row>
    <row r="181" spans="1:8" x14ac:dyDescent="0.3">
      <c r="A181" t="str">
        <v>ssnovv1</v>
      </c>
      <c r="B181" t="str" cm="1">
        <f t="array" ref="B181" xml:space="preserve">
_xlfn.XLOOKUP(1, (player_hero_summary!A:A=A181)*(player_hero_summary!D:D=_xlfn.MAXIFS(player_hero_summary!D:D, player_hero_summary!A:A, A181)),player_hero_summary!B:B
)</f>
        <v>Muerta</v>
      </c>
      <c r="C181">
        <f>COUNTIFS([3]!players[name],A181)</f>
        <v>61</v>
      </c>
      <c r="D181" t="str" cm="1">
        <f t="array" ref="D181" xml:space="preserve">
_xlfn.XLOOKUP(
1,
(player_hero_summary!A:A=A181)*(player_hero_summary!D:D=_xlfn.MAXIFS(player_hero_summary!D:D, player_hero_summary!A:A, A181)),
player_hero_summary!C:C
)</f>
        <v>Carry</v>
      </c>
      <c r="E181">
        <f>COUNTIFS([3]!players[name],A181, [3]!players[win], 1)</f>
        <v>33</v>
      </c>
      <c r="F181" s="1">
        <f t="shared" si="2"/>
        <v>0.54098360655737709</v>
      </c>
      <c r="G181" s="2">
        <f>AVERAGEIFS([3]!players[gold_per_min], [3]!players[name],A181)</f>
        <v>733.14754098360652</v>
      </c>
      <c r="H181" s="2">
        <f>AVERAGEIFS([3]!players[xp_per_min], [3]!players[name],A181)</f>
        <v>867.14754098360652</v>
      </c>
    </row>
    <row r="182" spans="1:8" x14ac:dyDescent="0.3">
      <c r="A182" t="str">
        <v>SSS</v>
      </c>
      <c r="B182" t="str" cm="1">
        <f t="array" ref="B182" xml:space="preserve">
_xlfn.XLOOKUP(1, (player_hero_summary!A:A=A182)*(player_hero_summary!D:D=_xlfn.MAXIFS(player_hero_summary!D:D, player_hero_summary!A:A, A182)),player_hero_summary!B:B
)</f>
        <v>Slardar</v>
      </c>
      <c r="C182">
        <f>COUNTIFS([3]!players[name],A182)</f>
        <v>31</v>
      </c>
      <c r="D182" t="str" cm="1">
        <f t="array" ref="D182" xml:space="preserve">
_xlfn.XLOOKUP(
1,
(player_hero_summary!A:A=A182)*(player_hero_summary!D:D=_xlfn.MAXIFS(player_hero_summary!D:D, player_hero_summary!A:A, A182)),
player_hero_summary!C:C
)</f>
        <v>Off Lane</v>
      </c>
      <c r="E182">
        <f>COUNTIFS([3]!players[name],A182, [3]!players[win], 1)</f>
        <v>23</v>
      </c>
      <c r="F182" s="1">
        <f t="shared" si="2"/>
        <v>0.74193548387096775</v>
      </c>
      <c r="G182" s="2">
        <f>AVERAGEIFS([3]!players[gold_per_min], [3]!players[name],A182)</f>
        <v>544.80645161290317</v>
      </c>
      <c r="H182" s="2">
        <f>AVERAGEIFS([3]!players[xp_per_min], [3]!players[name],A182)</f>
        <v>674.19354838709683</v>
      </c>
    </row>
    <row r="183" spans="1:8" x14ac:dyDescent="0.3">
      <c r="A183" t="str">
        <v>Summer</v>
      </c>
      <c r="B183" t="str" cm="1">
        <f t="array" ref="B183" xml:space="preserve">
_xlfn.XLOOKUP(1, (player_hero_summary!A:A=A183)*(player_hero_summary!D:D=_xlfn.MAXIFS(player_hero_summary!D:D, player_hero_summary!A:A, A183)),player_hero_summary!B:B
)</f>
        <v>Tiny</v>
      </c>
      <c r="C183">
        <f>COUNTIFS([3]!players[name],A183)</f>
        <v>11</v>
      </c>
      <c r="D183" t="str" cm="1">
        <f t="array" ref="D183" xml:space="preserve">
_xlfn.XLOOKUP(
1,
(player_hero_summary!A:A=A183)*(player_hero_summary!D:D=_xlfn.MAXIFS(player_hero_summary!D:D, player_hero_summary!A:A, A183)),
player_hero_summary!C:C
)</f>
        <v>Carry</v>
      </c>
      <c r="E183">
        <f>COUNTIFS([3]!players[name],A183, [3]!players[win], 1)</f>
        <v>4</v>
      </c>
      <c r="F183" s="1">
        <f t="shared" si="2"/>
        <v>0.36363636363636365</v>
      </c>
      <c r="G183" s="2">
        <f>AVERAGEIFS([3]!players[gold_per_min], [3]!players[name],A183)</f>
        <v>615.27272727272725</v>
      </c>
      <c r="H183" s="2">
        <f>AVERAGEIFS([3]!players[xp_per_min], [3]!players[name],A183)</f>
        <v>742.90909090909088</v>
      </c>
    </row>
    <row r="184" spans="1:8" x14ac:dyDescent="0.3">
      <c r="A184" t="str">
        <v>swedenstrong</v>
      </c>
      <c r="B184" t="str" cm="1">
        <f t="array" ref="B184" xml:space="preserve">
_xlfn.XLOOKUP(1, (player_hero_summary!A:A=A184)*(player_hero_summary!D:D=_xlfn.MAXIFS(player_hero_summary!D:D, player_hero_summary!A:A, A184)),player_hero_summary!B:B
)</f>
        <v>Rubick</v>
      </c>
      <c r="C184">
        <f>COUNTIFS([3]!players[name],A184)</f>
        <v>50</v>
      </c>
      <c r="D184" t="str" cm="1">
        <f t="array" ref="D184" xml:space="preserve">
_xlfn.XLOOKUP(
1,
(player_hero_summary!A:A=A184)*(player_hero_summary!D:D=_xlfn.MAXIFS(player_hero_summary!D:D, player_hero_summary!A:A, A184)),
player_hero_summary!C:C
)</f>
        <v>Soft Support</v>
      </c>
      <c r="E184">
        <f>COUNTIFS([3]!players[name],A184, [3]!players[win], 1)</f>
        <v>24</v>
      </c>
      <c r="F184" s="1">
        <f t="shared" si="2"/>
        <v>0.48</v>
      </c>
      <c r="G184" s="2">
        <f>AVERAGEIFS([3]!players[gold_per_min], [3]!players[name],A184)</f>
        <v>328.38</v>
      </c>
      <c r="H184" s="2">
        <f>AVERAGEIFS([3]!players[xp_per_min], [3]!players[name],A184)</f>
        <v>451.36</v>
      </c>
    </row>
    <row r="185" spans="1:8" x14ac:dyDescent="0.3">
      <c r="A185" t="str">
        <v>TA2000</v>
      </c>
      <c r="B185" t="str" cm="1">
        <f t="array" ref="B185" xml:space="preserve">
_xlfn.XLOOKUP(1, (player_hero_summary!A:A=A185)*(player_hero_summary!D:D=_xlfn.MAXIFS(player_hero_summary!D:D, player_hero_summary!A:A, A185)),player_hero_summary!B:B
)</f>
        <v>Beastmaster</v>
      </c>
      <c r="C185">
        <f>COUNTIFS([3]!players[name],A185)</f>
        <v>41</v>
      </c>
      <c r="D185" t="str" cm="1">
        <f t="array" ref="D185" xml:space="preserve">
_xlfn.XLOOKUP(
1,
(player_hero_summary!A:A=A185)*(player_hero_summary!D:D=_xlfn.MAXIFS(player_hero_summary!D:D, player_hero_summary!A:A, A185)),
player_hero_summary!C:C
)</f>
        <v>Carry</v>
      </c>
      <c r="E185">
        <f>COUNTIFS([3]!players[name],A185, [3]!players[win], 1)</f>
        <v>22</v>
      </c>
      <c r="F185" s="1">
        <f t="shared" si="2"/>
        <v>0.53658536585365857</v>
      </c>
      <c r="G185" s="2">
        <f>AVERAGEIFS([3]!players[gold_per_min], [3]!players[name],A185)</f>
        <v>701.19512195121956</v>
      </c>
      <c r="H185" s="2">
        <f>AVERAGEIFS([3]!players[xp_per_min], [3]!players[name],A185)</f>
        <v>817.21951219512198</v>
      </c>
    </row>
    <row r="186" spans="1:8" x14ac:dyDescent="0.3">
      <c r="A186" t="str">
        <v>TakecareMia</v>
      </c>
      <c r="B186" t="str" cm="1">
        <f t="array" ref="B186" xml:space="preserve">
_xlfn.XLOOKUP(1, (player_hero_summary!A:A=A186)*(player_hero_summary!D:D=_xlfn.MAXIFS(player_hero_summary!D:D, player_hero_summary!A:A, A186)),player_hero_summary!B:B
)</f>
        <v>Batrider</v>
      </c>
      <c r="C186">
        <f>COUNTIFS([3]!players[name],A186)</f>
        <v>6</v>
      </c>
      <c r="D186" t="str" cm="1">
        <f t="array" ref="D186" xml:space="preserve">
_xlfn.XLOOKUP(
1,
(player_hero_summary!A:A=A186)*(player_hero_summary!D:D=_xlfn.MAXIFS(player_hero_summary!D:D, player_hero_summary!A:A, A186)),
player_hero_summary!C:C
)</f>
        <v>Off Lane</v>
      </c>
      <c r="E186">
        <f>COUNTIFS([3]!players[name],A186, [3]!players[win], 1)</f>
        <v>4</v>
      </c>
      <c r="F186" s="1">
        <f t="shared" si="2"/>
        <v>0.66666666666666663</v>
      </c>
      <c r="G186" s="2">
        <f>AVERAGEIFS([3]!players[gold_per_min], [3]!players[name],A186)</f>
        <v>577.16666666666663</v>
      </c>
      <c r="H186" s="2">
        <f>AVERAGEIFS([3]!players[xp_per_min], [3]!players[name],A186)</f>
        <v>629.33333333333337</v>
      </c>
    </row>
    <row r="187" spans="1:8" x14ac:dyDescent="0.3">
      <c r="A187" t="str">
        <v>takizawa</v>
      </c>
      <c r="B187" t="str" cm="1">
        <f t="array" ref="B187" xml:space="preserve">
_xlfn.XLOOKUP(1, (player_hero_summary!A:A=A187)*(player_hero_summary!D:D=_xlfn.MAXIFS(player_hero_summary!D:D, player_hero_summary!A:A, A187)),player_hero_summary!B:B
)</f>
        <v>Bristleback</v>
      </c>
      <c r="C187">
        <f>COUNTIFS([3]!players[name],A187)</f>
        <v>27</v>
      </c>
      <c r="D187" t="str" cm="1">
        <f t="array" ref="D187" xml:space="preserve">
_xlfn.XLOOKUP(
1,
(player_hero_summary!A:A=A187)*(player_hero_summary!D:D=_xlfn.MAXIFS(player_hero_summary!D:D, player_hero_summary!A:A, A187)),
player_hero_summary!C:C
)</f>
        <v>Off Lane</v>
      </c>
      <c r="E187">
        <f>COUNTIFS([3]!players[name],A187, [3]!players[win], 1)</f>
        <v>8</v>
      </c>
      <c r="F187" s="1">
        <f t="shared" si="2"/>
        <v>0.29629629629629628</v>
      </c>
      <c r="G187" s="2">
        <f>AVERAGEIFS([3]!players[gold_per_min], [3]!players[name],A187)</f>
        <v>545.62962962962968</v>
      </c>
      <c r="H187" s="2">
        <f>AVERAGEIFS([3]!players[xp_per_min], [3]!players[name],A187)</f>
        <v>690.66666666666663</v>
      </c>
    </row>
    <row r="188" spans="1:8" x14ac:dyDescent="0.3">
      <c r="A188" t="str">
        <v>Tala</v>
      </c>
      <c r="B188" t="str" cm="1">
        <f t="array" ref="B188" xml:space="preserve">
_xlfn.XLOOKUP(1, (player_hero_summary!A:A=A188)*(player_hero_summary!D:D=_xlfn.MAXIFS(player_hero_summary!D:D, player_hero_summary!A:A, A188)),player_hero_summary!B:B
)</f>
        <v>Tiny</v>
      </c>
      <c r="C188">
        <f>COUNTIFS([3]!players[name],A188)</f>
        <v>11</v>
      </c>
      <c r="D188" t="str" cm="1">
        <f t="array" ref="D188" xml:space="preserve">
_xlfn.XLOOKUP(
1,
(player_hero_summary!A:A=A188)*(player_hero_summary!D:D=_xlfn.MAXIFS(player_hero_summary!D:D, player_hero_summary!A:A, A188)),
player_hero_summary!C:C
)</f>
        <v>Mid</v>
      </c>
      <c r="E188">
        <f>COUNTIFS([3]!players[name],A188, [3]!players[win], 1)</f>
        <v>8</v>
      </c>
      <c r="F188" s="1">
        <f t="shared" si="2"/>
        <v>0.72727272727272729</v>
      </c>
      <c r="G188" s="2">
        <f>AVERAGEIFS([3]!players[gold_per_min], [3]!players[name],A188)</f>
        <v>536.4545454545455</v>
      </c>
      <c r="H188" s="2">
        <f>AVERAGEIFS([3]!players[xp_per_min], [3]!players[name],A188)</f>
        <v>674.90909090909088</v>
      </c>
    </row>
    <row r="189" spans="1:8" x14ac:dyDescent="0.3">
      <c r="A189" t="str">
        <v>Teehee</v>
      </c>
      <c r="B189" t="str" cm="1">
        <f t="array" ref="B189" xml:space="preserve">
_xlfn.XLOOKUP(1, (player_hero_summary!A:A=A189)*(player_hero_summary!D:D=_xlfn.MAXIFS(player_hero_summary!D:D, player_hero_summary!A:A, A189)),player_hero_summary!B:B
)</f>
        <v>Phoenix</v>
      </c>
      <c r="C189">
        <f>COUNTIFS([3]!players[name],A189)</f>
        <v>54</v>
      </c>
      <c r="D189" t="str" cm="1">
        <f t="array" ref="D189" xml:space="preserve">
_xlfn.XLOOKUP(
1,
(player_hero_summary!A:A=A189)*(player_hero_summary!D:D=_xlfn.MAXIFS(player_hero_summary!D:D, player_hero_summary!A:A, A189)),
player_hero_summary!C:C
)</f>
        <v>Soft Support</v>
      </c>
      <c r="E189">
        <f>COUNTIFS([3]!players[name],A189, [3]!players[win], 1)</f>
        <v>26</v>
      </c>
      <c r="F189" s="1">
        <f t="shared" si="2"/>
        <v>0.48148148148148145</v>
      </c>
      <c r="G189" s="2">
        <f>AVERAGEIFS([3]!players[gold_per_min], [3]!players[name],A189)</f>
        <v>298.83333333333331</v>
      </c>
      <c r="H189" s="2">
        <f>AVERAGEIFS([3]!players[xp_per_min], [3]!players[name],A189)</f>
        <v>431.59259259259261</v>
      </c>
    </row>
    <row r="190" spans="1:8" x14ac:dyDescent="0.3">
      <c r="A190" t="str">
        <v>Thiolicor</v>
      </c>
      <c r="B190" t="str" cm="1">
        <f t="array" ref="B190" xml:space="preserve">
_xlfn.XLOOKUP(1, (player_hero_summary!A:A=A190)*(player_hero_summary!D:D=_xlfn.MAXIFS(player_hero_summary!D:D, player_hero_summary!A:A, A190)),player_hero_summary!B:B
)</f>
        <v>Hoodwink</v>
      </c>
      <c r="C190">
        <f>COUNTIFS([3]!players[name],A190)</f>
        <v>33</v>
      </c>
      <c r="D190" t="str" cm="1">
        <f t="array" ref="D190" xml:space="preserve">
_xlfn.XLOOKUP(
1,
(player_hero_summary!A:A=A190)*(player_hero_summary!D:D=_xlfn.MAXIFS(player_hero_summary!D:D, player_hero_summary!A:A, A190)),
player_hero_summary!C:C
)</f>
        <v>Roam</v>
      </c>
      <c r="E190">
        <f>COUNTIFS([3]!players[name],A190, [3]!players[win], 1)</f>
        <v>16</v>
      </c>
      <c r="F190" s="1">
        <f t="shared" si="2"/>
        <v>0.48484848484848486</v>
      </c>
      <c r="G190" s="2">
        <f>AVERAGEIFS([3]!players[gold_per_min], [3]!players[name],A190)</f>
        <v>324</v>
      </c>
      <c r="H190" s="2">
        <f>AVERAGEIFS([3]!players[xp_per_min], [3]!players[name],A190)</f>
        <v>462.63636363636363</v>
      </c>
    </row>
    <row r="191" spans="1:8" x14ac:dyDescent="0.3">
      <c r="A191" t="str">
        <v>Tianming</v>
      </c>
      <c r="B191" t="str" cm="1">
        <f t="array" ref="B191" xml:space="preserve">
_xlfn.XLOOKUP(1, (player_hero_summary!A:A=A191)*(player_hero_summary!D:D=_xlfn.MAXIFS(player_hero_summary!D:D, player_hero_summary!A:A, A191)),player_hero_summary!B:B
)</f>
        <v>Treant Protector</v>
      </c>
      <c r="C191">
        <f>COUNTIFS([3]!players[name],A191)</f>
        <v>14</v>
      </c>
      <c r="D191" t="str" cm="1">
        <f t="array" ref="D191" xml:space="preserve">
_xlfn.XLOOKUP(
1,
(player_hero_summary!A:A=A191)*(player_hero_summary!D:D=_xlfn.MAXIFS(player_hero_summary!D:D, player_hero_summary!A:A, A191)),
player_hero_summary!C:C
)</f>
        <v>Roam</v>
      </c>
      <c r="E191">
        <f>COUNTIFS([3]!players[name],A191, [3]!players[win], 1)</f>
        <v>6</v>
      </c>
      <c r="F191" s="1">
        <f t="shared" si="2"/>
        <v>0.42857142857142855</v>
      </c>
      <c r="G191" s="2">
        <f>AVERAGEIFS([3]!players[gold_per_min], [3]!players[name],A191)</f>
        <v>313.14285714285717</v>
      </c>
      <c r="H191" s="2">
        <f>AVERAGEIFS([3]!players[xp_per_min], [3]!players[name],A191)</f>
        <v>446.28571428571428</v>
      </c>
    </row>
    <row r="192" spans="1:8" x14ac:dyDescent="0.3">
      <c r="A192" t="str">
        <v>Tiger</v>
      </c>
      <c r="B192" t="str" cm="1">
        <f t="array" ref="B192" xml:space="preserve">
_xlfn.XLOOKUP(1, (player_hero_summary!A:A=A192)*(player_hero_summary!D:D=_xlfn.MAXIFS(player_hero_summary!D:D, player_hero_summary!A:A, A192)),player_hero_summary!B:B
)</f>
        <v>Clockwerk</v>
      </c>
      <c r="C192">
        <f>COUNTIFS([3]!players[name],A192)</f>
        <v>37</v>
      </c>
      <c r="D192" t="str" cm="1">
        <f t="array" ref="D192" xml:space="preserve">
_xlfn.XLOOKUP(
1,
(player_hero_summary!A:A=A192)*(player_hero_summary!D:D=_xlfn.MAXIFS(player_hero_summary!D:D, player_hero_summary!A:A, A192)),
player_hero_summary!C:C
)</f>
        <v>Roam</v>
      </c>
      <c r="E192">
        <f>COUNTIFS([3]!players[name],A192, [3]!players[win], 1)</f>
        <v>20</v>
      </c>
      <c r="F192" s="1">
        <f t="shared" si="2"/>
        <v>0.54054054054054057</v>
      </c>
      <c r="G192" s="2">
        <f>AVERAGEIFS([3]!players[gold_per_min], [3]!players[name],A192)</f>
        <v>374.18918918918916</v>
      </c>
      <c r="H192" s="2">
        <f>AVERAGEIFS([3]!players[xp_per_min], [3]!players[name],A192)</f>
        <v>519.35135135135135</v>
      </c>
    </row>
    <row r="193" spans="1:8" x14ac:dyDescent="0.3">
      <c r="A193" t="str">
        <v>Till The End</v>
      </c>
      <c r="B193" t="str" cm="1">
        <f t="array" ref="B193" xml:space="preserve">
_xlfn.XLOOKUP(1, (player_hero_summary!A:A=A193)*(player_hero_summary!D:D=_xlfn.MAXIFS(player_hero_summary!D:D, player_hero_summary!A:A, A193)),player_hero_summary!B:B
)</f>
        <v>Chen</v>
      </c>
      <c r="C193">
        <f>COUNTIFS([3]!players[name],A193)</f>
        <v>49</v>
      </c>
      <c r="D193" t="str" cm="1">
        <f t="array" ref="D193" xml:space="preserve">
_xlfn.XLOOKUP(
1,
(player_hero_summary!A:A=A193)*(player_hero_summary!D:D=_xlfn.MAXIFS(player_hero_summary!D:D, player_hero_summary!A:A, A193)),
player_hero_summary!C:C
)</f>
        <v>Roam</v>
      </c>
      <c r="E193">
        <f>COUNTIFS([3]!players[name],A193, [3]!players[win], 1)</f>
        <v>25</v>
      </c>
      <c r="F193" s="1">
        <f t="shared" si="2"/>
        <v>0.51020408163265307</v>
      </c>
      <c r="G193" s="2">
        <f>AVERAGEIFS([3]!players[gold_per_min], [3]!players[name],A193)</f>
        <v>335.30612244897958</v>
      </c>
      <c r="H193" s="2">
        <f>AVERAGEIFS([3]!players[xp_per_min], [3]!players[name],A193)</f>
        <v>449.44897959183675</v>
      </c>
    </row>
    <row r="194" spans="1:8" x14ac:dyDescent="0.3">
      <c r="A194" t="str">
        <v>tOfu</v>
      </c>
      <c r="B194" t="str" cm="1">
        <f t="array" ref="B194" xml:space="preserve">
_xlfn.XLOOKUP(1, (player_hero_summary!A:A=A194)*(player_hero_summary!D:D=_xlfn.MAXIFS(player_hero_summary!D:D, player_hero_summary!A:A, A194)),player_hero_summary!B:B
)</f>
        <v>Phoenix</v>
      </c>
      <c r="C194">
        <f>COUNTIFS([3]!players[name],A194)</f>
        <v>38</v>
      </c>
      <c r="D194" t="str" cm="1">
        <f t="array" ref="D194" xml:space="preserve">
_xlfn.XLOOKUP(
1,
(player_hero_summary!A:A=A194)*(player_hero_summary!D:D=_xlfn.MAXIFS(player_hero_summary!D:D, player_hero_summary!A:A, A194)),
player_hero_summary!C:C
)</f>
        <v>Roam</v>
      </c>
      <c r="E194">
        <f>COUNTIFS([3]!players[name],A194, [3]!players[win], 1)</f>
        <v>23</v>
      </c>
      <c r="F194" s="1">
        <f t="shared" si="2"/>
        <v>0.60526315789473684</v>
      </c>
      <c r="G194" s="2">
        <f>AVERAGEIFS([3]!players[gold_per_min], [3]!players[name],A194)</f>
        <v>363.05263157894734</v>
      </c>
      <c r="H194" s="2">
        <f>AVERAGEIFS([3]!players[xp_per_min], [3]!players[name],A194)</f>
        <v>518.86842105263156</v>
      </c>
    </row>
    <row r="195" spans="1:8" x14ac:dyDescent="0.3">
      <c r="A195" t="str">
        <v>ukiyo</v>
      </c>
      <c r="B195" t="str" cm="1">
        <f t="array" ref="B195" xml:space="preserve">
_xlfn.XLOOKUP(1, (player_hero_summary!A:A=A195)*(player_hero_summary!D:D=_xlfn.MAXIFS(player_hero_summary!D:D, player_hero_summary!A:A, A195)),player_hero_summary!B:B
)</f>
        <v>Terrorblade</v>
      </c>
      <c r="C195">
        <f>COUNTIFS([3]!players[name],A195)</f>
        <v>39</v>
      </c>
      <c r="D195" t="str" cm="1">
        <f t="array" ref="D195" xml:space="preserve">
_xlfn.XLOOKUP(
1,
(player_hero_summary!A:A=A195)*(player_hero_summary!D:D=_xlfn.MAXIFS(player_hero_summary!D:D, player_hero_summary!A:A, A195)),
player_hero_summary!C:C
)</f>
        <v>Carry</v>
      </c>
      <c r="E195">
        <f>COUNTIFS([3]!players[name],A195, [3]!players[win], 1)</f>
        <v>16</v>
      </c>
      <c r="F195" s="1">
        <f t="shared" ref="F195:F220" si="3">E195/C195</f>
        <v>0.41025641025641024</v>
      </c>
      <c r="G195" s="2">
        <f>AVERAGEIFS([3]!players[gold_per_min], [3]!players[name],A195)</f>
        <v>689.89743589743591</v>
      </c>
      <c r="H195" s="2">
        <f>AVERAGEIFS([3]!players[xp_per_min], [3]!players[name],A195)</f>
        <v>764.23076923076928</v>
      </c>
    </row>
    <row r="196" spans="1:8" x14ac:dyDescent="0.3">
      <c r="A196" t="str">
        <v>v1olentâ€“</v>
      </c>
      <c r="B196" t="str" cm="1">
        <f t="array" ref="B196" xml:space="preserve">
_xlfn.XLOOKUP(1, (player_hero_summary!A:A=A196)*(player_hero_summary!D:D=_xlfn.MAXIFS(player_hero_summary!D:D, player_hero_summary!A:A, A196)),player_hero_summary!B:B
)</f>
        <v>Monkey King</v>
      </c>
      <c r="C196">
        <f>COUNTIFS([3]!players[name],A196)</f>
        <v>50</v>
      </c>
      <c r="D196" t="str" cm="1">
        <f t="array" ref="D196" xml:space="preserve">
_xlfn.XLOOKUP(
1,
(player_hero_summary!A:A=A196)*(player_hero_summary!D:D=_xlfn.MAXIFS(player_hero_summary!D:D, player_hero_summary!A:A, A196)),
player_hero_summary!C:C
)</f>
        <v>Carry</v>
      </c>
      <c r="E196">
        <f>COUNTIFS([3]!players[name],A196, [3]!players[win], 1)</f>
        <v>24</v>
      </c>
      <c r="F196" s="1">
        <f t="shared" si="3"/>
        <v>0.48</v>
      </c>
      <c r="G196" s="2">
        <f>AVERAGEIFS([3]!players[gold_per_min], [3]!players[name],A196)</f>
        <v>696.64</v>
      </c>
      <c r="H196" s="2">
        <f>AVERAGEIFS([3]!players[xp_per_min], [3]!players[name],A196)</f>
        <v>748.14</v>
      </c>
    </row>
    <row r="197" spans="1:8" x14ac:dyDescent="0.3">
      <c r="A197" t="str">
        <v>Varizh</v>
      </c>
      <c r="B197" t="str" cm="1">
        <f t="array" ref="B197" xml:space="preserve">
_xlfn.XLOOKUP(1, (player_hero_summary!A:A=A197)*(player_hero_summary!D:D=_xlfn.MAXIFS(player_hero_summary!D:D, player_hero_summary!A:A, A197)),player_hero_summary!B:B
)</f>
        <v>Phoenix</v>
      </c>
      <c r="C197">
        <f>COUNTIFS([3]!players[name],A197)</f>
        <v>21</v>
      </c>
      <c r="D197" t="str" cm="1">
        <f t="array" ref="D197" xml:space="preserve">
_xlfn.XLOOKUP(
1,
(player_hero_summary!A:A=A197)*(player_hero_summary!D:D=_xlfn.MAXIFS(player_hero_summary!D:D, player_hero_summary!A:A, A197)),
player_hero_summary!C:C
)</f>
        <v>Soft Support</v>
      </c>
      <c r="E197">
        <f>COUNTIFS([3]!players[name],A197, [3]!players[win], 1)</f>
        <v>15</v>
      </c>
      <c r="F197" s="1">
        <f t="shared" si="3"/>
        <v>0.7142857142857143</v>
      </c>
      <c r="G197" s="2">
        <f>AVERAGEIFS([3]!players[gold_per_min], [3]!players[name],A197)</f>
        <v>351.95238095238096</v>
      </c>
      <c r="H197" s="2">
        <f>AVERAGEIFS([3]!players[xp_per_min], [3]!players[name],A197)</f>
        <v>494</v>
      </c>
    </row>
    <row r="198" spans="1:8" x14ac:dyDescent="0.3">
      <c r="A198" t="str">
        <v>Vitaly èª‡ã‚Š</v>
      </c>
      <c r="B198" t="str" cm="1">
        <f t="array" ref="B198" xml:space="preserve">
_xlfn.XLOOKUP(1, (player_hero_summary!A:A=A198)*(player_hero_summary!D:D=_xlfn.MAXIFS(player_hero_summary!D:D, player_hero_summary!A:A, A198)),player_hero_summary!B:B
)</f>
        <v>Tidehunter</v>
      </c>
      <c r="C198">
        <f>COUNTIFS([3]!players[name],A198)</f>
        <v>19</v>
      </c>
      <c r="D198" t="str" cm="1">
        <f t="array" ref="D198" xml:space="preserve">
_xlfn.XLOOKUP(
1,
(player_hero_summary!A:A=A198)*(player_hero_summary!D:D=_xlfn.MAXIFS(player_hero_summary!D:D, player_hero_summary!A:A, A198)),
player_hero_summary!C:C
)</f>
        <v>Off Lane</v>
      </c>
      <c r="E198">
        <f>COUNTIFS([3]!players[name],A198, [3]!players[win], 1)</f>
        <v>9</v>
      </c>
      <c r="F198" s="1">
        <f t="shared" si="3"/>
        <v>0.47368421052631576</v>
      </c>
      <c r="G198" s="2">
        <f>AVERAGEIFS([3]!players[gold_per_min], [3]!players[name],A198)</f>
        <v>527</v>
      </c>
      <c r="H198" s="2">
        <f>AVERAGEIFS([3]!players[xp_per_min], [3]!players[name],A198)</f>
        <v>673.42105263157896</v>
      </c>
    </row>
    <row r="199" spans="1:8" x14ac:dyDescent="0.3">
      <c r="A199" t="str">
        <v>VoidRift</v>
      </c>
      <c r="B199" t="str" cm="1">
        <f t="array" ref="B199" xml:space="preserve">
_xlfn.XLOOKUP(1, (player_hero_summary!A:A=A199)*(player_hero_summary!D:D=_xlfn.MAXIFS(player_hero_summary!D:D, player_hero_summary!A:A, A199)),player_hero_summary!B:B
)</f>
        <v>Shadow Fiend</v>
      </c>
      <c r="C199">
        <f>COUNTIFS([3]!players[name],A199)</f>
        <v>117</v>
      </c>
      <c r="D199" t="str" cm="1">
        <f t="array" ref="D199" xml:space="preserve">
_xlfn.XLOOKUP(
1,
(player_hero_summary!A:A=A199)*(player_hero_summary!D:D=_xlfn.MAXIFS(player_hero_summary!D:D, player_hero_summary!A:A, A199)),
player_hero_summary!C:C
)</f>
        <v>Mid</v>
      </c>
      <c r="E199">
        <f>COUNTIFS([3]!players[name],A199, [3]!players[win], 1)</f>
        <v>61</v>
      </c>
      <c r="F199" s="1">
        <f t="shared" si="3"/>
        <v>0.5213675213675214</v>
      </c>
      <c r="G199" s="2">
        <f>AVERAGEIFS([3]!players[gold_per_min], [3]!players[name],A199)</f>
        <v>593.46153846153845</v>
      </c>
      <c r="H199" s="2">
        <f>AVERAGEIFS([3]!players[xp_per_min], [3]!players[name],A199)</f>
        <v>840.11965811965808</v>
      </c>
    </row>
    <row r="200" spans="1:8" x14ac:dyDescent="0.3">
      <c r="A200" t="str">
        <v>waveformn</v>
      </c>
      <c r="B200" t="str" cm="1">
        <f t="array" ref="B200" xml:space="preserve">
_xlfn.XLOOKUP(1, (player_hero_summary!A:A=A200)*(player_hero_summary!D:D=_xlfn.MAXIFS(player_hero_summary!D:D, player_hero_summary!A:A, A200)),player_hero_summary!B:B
)</f>
        <v>Hoodwink</v>
      </c>
      <c r="C200">
        <f>COUNTIFS([3]!players[name],A200)</f>
        <v>43</v>
      </c>
      <c r="D200" t="str" cm="1">
        <f t="array" ref="D200" xml:space="preserve">
_xlfn.XLOOKUP(
1,
(player_hero_summary!A:A=A200)*(player_hero_summary!D:D=_xlfn.MAXIFS(player_hero_summary!D:D, player_hero_summary!A:A, A200)),
player_hero_summary!C:C
)</f>
        <v>Soft Support</v>
      </c>
      <c r="E200">
        <f>COUNTIFS([3]!players[name],A200, [3]!players[win], 1)</f>
        <v>18</v>
      </c>
      <c r="F200" s="1">
        <f t="shared" si="3"/>
        <v>0.41860465116279072</v>
      </c>
      <c r="G200" s="2">
        <f>AVERAGEIFS([3]!players[gold_per_min], [3]!players[name],A200)</f>
        <v>335.09302325581393</v>
      </c>
      <c r="H200" s="2">
        <f>AVERAGEIFS([3]!players[xp_per_min], [3]!players[name],A200)</f>
        <v>461.11627906976742</v>
      </c>
    </row>
    <row r="201" spans="1:8" x14ac:dyDescent="0.3">
      <c r="A201" t="str">
        <v>Wisper</v>
      </c>
      <c r="B201" t="str" cm="1">
        <f t="array" ref="B201" xml:space="preserve">
_xlfn.XLOOKUP(1, (player_hero_summary!A:A=A201)*(player_hero_summary!D:D=_xlfn.MAXIFS(player_hero_summary!D:D, player_hero_summary!A:A, A201)),player_hero_summary!B:B
)</f>
        <v>Pangolier</v>
      </c>
      <c r="C201">
        <f>COUNTIFS([3]!players[name],A201)</f>
        <v>33</v>
      </c>
      <c r="D201" t="str" cm="1">
        <f t="array" ref="D201" xml:space="preserve">
_xlfn.XLOOKUP(
1,
(player_hero_summary!A:A=A201)*(player_hero_summary!D:D=_xlfn.MAXIFS(player_hero_summary!D:D, player_hero_summary!A:A, A201)),
player_hero_summary!C:C
)</f>
        <v>Off Lane</v>
      </c>
      <c r="E201">
        <f>COUNTIFS([3]!players[name],A201, [3]!players[win], 1)</f>
        <v>16</v>
      </c>
      <c r="F201" s="1">
        <f t="shared" si="3"/>
        <v>0.48484848484848486</v>
      </c>
      <c r="G201" s="2">
        <f>AVERAGEIFS([3]!players[gold_per_min], [3]!players[name],A201)</f>
        <v>593.78787878787875</v>
      </c>
      <c r="H201" s="2">
        <f>AVERAGEIFS([3]!players[xp_per_min], [3]!players[name],A201)</f>
        <v>745.60606060606062</v>
      </c>
    </row>
    <row r="202" spans="1:8" x14ac:dyDescent="0.3">
      <c r="A202" t="str">
        <v>Wits</v>
      </c>
      <c r="B202" t="str" cm="1">
        <f t="array" ref="B202" xml:space="preserve">
_xlfn.XLOOKUP(1, (player_hero_summary!A:A=A202)*(player_hero_summary!D:D=_xlfn.MAXIFS(player_hero_summary!D:D, player_hero_summary!A:A, A202)),player_hero_summary!B:B
)</f>
        <v>Monkey King</v>
      </c>
      <c r="C202">
        <f>COUNTIFS([3]!players[name],A202)</f>
        <v>68</v>
      </c>
      <c r="D202" t="str" cm="1">
        <f t="array" ref="D202" xml:space="preserve">
_xlfn.XLOOKUP(
1,
(player_hero_summary!A:A=A202)*(player_hero_summary!D:D=_xlfn.MAXIFS(player_hero_summary!D:D, player_hero_summary!A:A, A202)),
player_hero_summary!C:C
)</f>
        <v>Carry</v>
      </c>
      <c r="E202">
        <f>COUNTIFS([3]!players[name],A202, [3]!players[win], 1)</f>
        <v>43</v>
      </c>
      <c r="F202" s="1">
        <f t="shared" si="3"/>
        <v>0.63235294117647056</v>
      </c>
      <c r="G202" s="2">
        <f>AVERAGEIFS([3]!players[gold_per_min], [3]!players[name],A202)</f>
        <v>679.75</v>
      </c>
      <c r="H202" s="2">
        <f>AVERAGEIFS([3]!players[xp_per_min], [3]!players[name],A202)</f>
        <v>790.64705882352939</v>
      </c>
    </row>
    <row r="203" spans="1:8" x14ac:dyDescent="0.3">
      <c r="A203" t="str">
        <v>Worick</v>
      </c>
      <c r="B203" t="str" cm="1">
        <f t="array" ref="B203" xml:space="preserve">
_xlfn.XLOOKUP(1, (player_hero_summary!A:A=A203)*(player_hero_summary!D:D=_xlfn.MAXIFS(player_hero_summary!D:D, player_hero_summary!A:A, A203)),player_hero_summary!B:B
)</f>
        <v>Sand King</v>
      </c>
      <c r="C203">
        <f>COUNTIFS([3]!players[name],A203)</f>
        <v>37</v>
      </c>
      <c r="D203" t="str" cm="1">
        <f t="array" ref="D203" xml:space="preserve">
_xlfn.XLOOKUP(
1,
(player_hero_summary!A:A=A203)*(player_hero_summary!D:D=_xlfn.MAXIFS(player_hero_summary!D:D, player_hero_summary!A:A, A203)),
player_hero_summary!C:C
)</f>
        <v>Mid</v>
      </c>
      <c r="E203">
        <f>COUNTIFS([3]!players[name],A203, [3]!players[win], 1)</f>
        <v>17</v>
      </c>
      <c r="F203" s="1">
        <f t="shared" si="3"/>
        <v>0.45945945945945948</v>
      </c>
      <c r="G203" s="2">
        <f>AVERAGEIFS([3]!players[gold_per_min], [3]!players[name],A203)</f>
        <v>497.7837837837838</v>
      </c>
      <c r="H203" s="2">
        <f>AVERAGEIFS([3]!players[xp_per_min], [3]!players[name],A203)</f>
        <v>650.78378378378375</v>
      </c>
    </row>
    <row r="204" spans="1:8" x14ac:dyDescent="0.3">
      <c r="A204" t="str">
        <v>Ws`</v>
      </c>
      <c r="B204" t="str" cm="1">
        <f t="array" ref="B204" xml:space="preserve">
_xlfn.XLOOKUP(1, (player_hero_summary!A:A=A204)*(player_hero_summary!D:D=_xlfn.MAXIFS(player_hero_summary!D:D, player_hero_summary!A:A, A204)),player_hero_summary!B:B
)</f>
        <v>Largo</v>
      </c>
      <c r="C204">
        <f>COUNTIFS([3]!players[name],A204)</f>
        <v>28</v>
      </c>
      <c r="D204" t="str" cm="1">
        <f t="array" ref="D204" xml:space="preserve">
_xlfn.XLOOKUP(
1,
(player_hero_summary!A:A=A204)*(player_hero_summary!D:D=_xlfn.MAXIFS(player_hero_summary!D:D, player_hero_summary!A:A, A204)),
player_hero_summary!C:C
)</f>
        <v>Off Lane</v>
      </c>
      <c r="E204">
        <f>COUNTIFS([3]!players[name],A204, [3]!players[win], 1)</f>
        <v>17</v>
      </c>
      <c r="F204" s="1">
        <f t="shared" si="3"/>
        <v>0.6071428571428571</v>
      </c>
      <c r="G204" s="2">
        <f>AVERAGEIFS([3]!players[gold_per_min], [3]!players[name],A204)</f>
        <v>563.75</v>
      </c>
      <c r="H204" s="2">
        <f>AVERAGEIFS([3]!players[xp_per_min], [3]!players[name],A204)</f>
        <v>755</v>
      </c>
    </row>
    <row r="205" spans="1:8" x14ac:dyDescent="0.3">
      <c r="A205" t="str">
        <v>Xakoda</v>
      </c>
      <c r="B205" t="str" cm="1">
        <f t="array" ref="B205" xml:space="preserve">
_xlfn.XLOOKUP(1, (player_hero_summary!A:A=A205)*(player_hero_summary!D:D=_xlfn.MAXIFS(player_hero_summary!D:D, player_hero_summary!A:A, A205)),player_hero_summary!B:B
)</f>
        <v>Ringmaster</v>
      </c>
      <c r="C205">
        <f>COUNTIFS([3]!players[name],A205)</f>
        <v>29</v>
      </c>
      <c r="D205" t="str" cm="1">
        <f t="array" ref="D205" xml:space="preserve">
_xlfn.XLOOKUP(
1,
(player_hero_summary!A:A=A205)*(player_hero_summary!D:D=_xlfn.MAXIFS(player_hero_summary!D:D, player_hero_summary!A:A, A205)),
player_hero_summary!C:C
)</f>
        <v>Soft Support</v>
      </c>
      <c r="E205">
        <f>COUNTIFS([3]!players[name],A205, [3]!players[win], 1)</f>
        <v>20</v>
      </c>
      <c r="F205" s="1">
        <f t="shared" si="3"/>
        <v>0.68965517241379315</v>
      </c>
      <c r="G205" s="2">
        <f>AVERAGEIFS([3]!players[gold_per_min], [3]!players[name],A205)</f>
        <v>329.75862068965517</v>
      </c>
      <c r="H205" s="2">
        <f>AVERAGEIFS([3]!players[xp_per_min], [3]!players[name],A205)</f>
        <v>467.10344827586209</v>
      </c>
    </row>
    <row r="206" spans="1:8" x14ac:dyDescent="0.3">
      <c r="A206" t="str">
        <v>XinQ</v>
      </c>
      <c r="B206" t="str" cm="1">
        <f t="array" ref="B206" xml:space="preserve">
_xlfn.XLOOKUP(1, (player_hero_summary!A:A=A206)*(player_hero_summary!D:D=_xlfn.MAXIFS(player_hero_summary!D:D, player_hero_summary!A:A, A206)),player_hero_summary!B:B
)</f>
        <v>Rubick</v>
      </c>
      <c r="C206">
        <f>COUNTIFS([3]!players[name],A206)</f>
        <v>23</v>
      </c>
      <c r="D206" t="str" cm="1">
        <f t="array" ref="D206" xml:space="preserve">
_xlfn.XLOOKUP(
1,
(player_hero_summary!A:A=A206)*(player_hero_summary!D:D=_xlfn.MAXIFS(player_hero_summary!D:D, player_hero_summary!A:A, A206)),
player_hero_summary!C:C
)</f>
        <v>Soft Support</v>
      </c>
      <c r="E206">
        <f>COUNTIFS([3]!players[name],A206, [3]!players[win], 1)</f>
        <v>14</v>
      </c>
      <c r="F206" s="1">
        <f t="shared" si="3"/>
        <v>0.60869565217391308</v>
      </c>
      <c r="G206" s="2">
        <f>AVERAGEIFS([3]!players[gold_per_min], [3]!players[name],A206)</f>
        <v>358.52173913043481</v>
      </c>
      <c r="H206" s="2">
        <f>AVERAGEIFS([3]!players[xp_per_min], [3]!players[name],A206)</f>
        <v>494.13043478260869</v>
      </c>
    </row>
    <row r="207" spans="1:8" x14ac:dyDescent="0.3">
      <c r="A207" t="str">
        <v>Xm</v>
      </c>
      <c r="B207" t="str" cm="1">
        <f t="array" ref="B207" xml:space="preserve">
_xlfn.XLOOKUP(1, (player_hero_summary!A:A=A207)*(player_hero_summary!D:D=_xlfn.MAXIFS(player_hero_summary!D:D, player_hero_summary!A:A, A207)),player_hero_summary!B:B
)</f>
        <v>Ember Spirit</v>
      </c>
      <c r="C207">
        <f>COUNTIFS([3]!players[name],A207)</f>
        <v>23</v>
      </c>
      <c r="D207" t="str" cm="1">
        <f t="array" ref="D207" xml:space="preserve">
_xlfn.XLOOKUP(
1,
(player_hero_summary!A:A=A207)*(player_hero_summary!D:D=_xlfn.MAXIFS(player_hero_summary!D:D, player_hero_summary!A:A, A207)),
player_hero_summary!C:C
)</f>
        <v>Mid</v>
      </c>
      <c r="E207">
        <f>COUNTIFS([3]!players[name],A207, [3]!players[win], 1)</f>
        <v>14</v>
      </c>
      <c r="F207" s="1">
        <f t="shared" si="3"/>
        <v>0.60869565217391308</v>
      </c>
      <c r="G207" s="2">
        <f>AVERAGEIFS([3]!players[gold_per_min], [3]!players[name],A207)</f>
        <v>611.73913043478262</v>
      </c>
      <c r="H207" s="2">
        <f>AVERAGEIFS([3]!players[xp_per_min], [3]!players[name],A207)</f>
        <v>755.39130434782612</v>
      </c>
    </row>
    <row r="208" spans="1:8" x14ac:dyDescent="0.3">
      <c r="A208" t="str">
        <v>xNova</v>
      </c>
      <c r="B208" t="str" cm="1">
        <f t="array" ref="B208" xml:space="preserve">
_xlfn.XLOOKUP(1, (player_hero_summary!A:A=A208)*(player_hero_summary!D:D=_xlfn.MAXIFS(player_hero_summary!D:D, player_hero_summary!A:A, A208)),player_hero_summary!B:B
)</f>
        <v>Phoenix</v>
      </c>
      <c r="C208">
        <f>COUNTIFS([3]!players[name],A208)</f>
        <v>18</v>
      </c>
      <c r="D208" t="str" cm="1">
        <f t="array" ref="D208" xml:space="preserve">
_xlfn.XLOOKUP(
1,
(player_hero_summary!A:A=A208)*(player_hero_summary!D:D=_xlfn.MAXIFS(player_hero_summary!D:D, player_hero_summary!A:A, A208)),
player_hero_summary!C:C
)</f>
        <v>Hard Support</v>
      </c>
      <c r="E208">
        <f>COUNTIFS([3]!players[name],A208, [3]!players[win], 1)</f>
        <v>12</v>
      </c>
      <c r="F208" s="1">
        <f t="shared" si="3"/>
        <v>0.66666666666666663</v>
      </c>
      <c r="G208" s="2">
        <f>AVERAGEIFS([3]!players[gold_per_min], [3]!players[name],A208)</f>
        <v>337.83333333333331</v>
      </c>
      <c r="H208" s="2">
        <f>AVERAGEIFS([3]!players[xp_per_min], [3]!players[name],A208)</f>
        <v>459.44444444444446</v>
      </c>
    </row>
    <row r="209" spans="1:8" x14ac:dyDescent="0.3">
      <c r="A209" t="str">
        <v>Xxs</v>
      </c>
      <c r="B209" t="str" cm="1">
        <f t="array" ref="B209" xml:space="preserve">
_xlfn.XLOOKUP(1, (player_hero_summary!A:A=A209)*(player_hero_summary!D:D=_xlfn.MAXIFS(player_hero_summary!D:D, player_hero_summary!A:A, A209)),player_hero_summary!B:B
)</f>
        <v>Tidehunter</v>
      </c>
      <c r="C209">
        <f>COUNTIFS([3]!players[name],A209)</f>
        <v>18</v>
      </c>
      <c r="D209" t="str" cm="1">
        <f t="array" ref="D209" xml:space="preserve">
_xlfn.XLOOKUP(
1,
(player_hero_summary!A:A=A209)*(player_hero_summary!D:D=_xlfn.MAXIFS(player_hero_summary!D:D, player_hero_summary!A:A, A209)),
player_hero_summary!C:C
)</f>
        <v>Off Lane</v>
      </c>
      <c r="E209">
        <f>COUNTIFS([3]!players[name],A209, [3]!players[win], 1)</f>
        <v>12</v>
      </c>
      <c r="F209" s="1">
        <f t="shared" si="3"/>
        <v>0.66666666666666663</v>
      </c>
      <c r="G209" s="2">
        <f>AVERAGEIFS([3]!players[gold_per_min], [3]!players[name],A209)</f>
        <v>569.77777777777783</v>
      </c>
      <c r="H209" s="2">
        <f>AVERAGEIFS([3]!players[xp_per_min], [3]!players[name],A209)</f>
        <v>700.55555555555554</v>
      </c>
    </row>
    <row r="210" spans="1:8" x14ac:dyDescent="0.3">
      <c r="A210" t="str">
        <v>y`</v>
      </c>
      <c r="B210" t="str" cm="1">
        <f t="array" ref="B210" xml:space="preserve">
_xlfn.XLOOKUP(1, (player_hero_summary!A:A=A210)*(player_hero_summary!D:D=_xlfn.MAXIFS(player_hero_summary!D:D, player_hero_summary!A:A, A210)),player_hero_summary!B:B
)</f>
        <v>Dazzle</v>
      </c>
      <c r="C210">
        <f>COUNTIFS([3]!players[name],A210)</f>
        <v>23</v>
      </c>
      <c r="D210" t="str" cm="1">
        <f t="array" ref="D210" xml:space="preserve">
_xlfn.XLOOKUP(
1,
(player_hero_summary!A:A=A210)*(player_hero_summary!D:D=_xlfn.MAXIFS(player_hero_summary!D:D, player_hero_summary!A:A, A210)),
player_hero_summary!C:C
)</f>
        <v>Hard Support</v>
      </c>
      <c r="E210">
        <f>COUNTIFS([3]!players[name],A210, [3]!players[win], 1)</f>
        <v>14</v>
      </c>
      <c r="F210" s="1">
        <f t="shared" si="3"/>
        <v>0.60869565217391308</v>
      </c>
      <c r="G210" s="2">
        <f>AVERAGEIFS([3]!players[gold_per_min], [3]!players[name],A210)</f>
        <v>329.3478260869565</v>
      </c>
      <c r="H210" s="2">
        <f>AVERAGEIFS([3]!players[xp_per_min], [3]!players[name],A210)</f>
        <v>468.39130434782606</v>
      </c>
    </row>
    <row r="211" spans="1:8" x14ac:dyDescent="0.3">
      <c r="A211" t="str">
        <v>Yatoro</v>
      </c>
      <c r="B211" t="str" cm="1">
        <f t="array" ref="B211" xml:space="preserve">
_xlfn.XLOOKUP(1, (player_hero_summary!A:A=A211)*(player_hero_summary!D:D=_xlfn.MAXIFS(player_hero_summary!D:D, player_hero_summary!A:A, A211)),player_hero_summary!B:B
)</f>
        <v>Monkey King</v>
      </c>
      <c r="C211">
        <f>COUNTIFS([3]!players[name],A211)</f>
        <v>23</v>
      </c>
      <c r="D211" t="str" cm="1">
        <f t="array" ref="D211" xml:space="preserve">
_xlfn.XLOOKUP(
1,
(player_hero_summary!A:A=A211)*(player_hero_summary!D:D=_xlfn.MAXIFS(player_hero_summary!D:D, player_hero_summary!A:A, A211)),
player_hero_summary!C:C
)</f>
        <v>Carry</v>
      </c>
      <c r="E211">
        <f>COUNTIFS([3]!players[name],A211, [3]!players[win], 1)</f>
        <v>9</v>
      </c>
      <c r="F211" s="1">
        <f t="shared" si="3"/>
        <v>0.39130434782608697</v>
      </c>
      <c r="G211" s="2">
        <f>AVERAGEIFS([3]!players[gold_per_min], [3]!players[name],A211)</f>
        <v>697.73913043478262</v>
      </c>
      <c r="H211" s="2">
        <f>AVERAGEIFS([3]!players[xp_per_min], [3]!players[name],A211)</f>
        <v>806.56521739130437</v>
      </c>
    </row>
    <row r="212" spans="1:8" x14ac:dyDescent="0.3">
      <c r="A212" t="str">
        <v>YiSuS</v>
      </c>
      <c r="B212" t="str" cm="1">
        <f t="array" ref="B212" xml:space="preserve">
_xlfn.XLOOKUP(1, (player_hero_summary!A:A=A212)*(player_hero_summary!D:D=_xlfn.MAXIFS(player_hero_summary!D:D, player_hero_summary!A:A, A212)),player_hero_summary!B:B
)</f>
        <v>Beastmaster</v>
      </c>
      <c r="C212">
        <f>COUNTIFS([3]!players[name],A212)</f>
        <v>21</v>
      </c>
      <c r="D212" t="str" cm="1">
        <f t="array" ref="D212" xml:space="preserve">
_xlfn.XLOOKUP(
1,
(player_hero_summary!A:A=A212)*(player_hero_summary!D:D=_xlfn.MAXIFS(player_hero_summary!D:D, player_hero_summary!A:A, A212)),
player_hero_summary!C:C
)</f>
        <v>Carry</v>
      </c>
      <c r="E212">
        <f>COUNTIFS([3]!players[name],A212, [3]!players[win], 1)</f>
        <v>13</v>
      </c>
      <c r="F212" s="1">
        <f t="shared" si="3"/>
        <v>0.61904761904761907</v>
      </c>
      <c r="G212" s="2">
        <f>AVERAGEIFS([3]!players[gold_per_min], [3]!players[name],A212)</f>
        <v>556.28571428571433</v>
      </c>
      <c r="H212" s="2">
        <f>AVERAGEIFS([3]!players[xp_per_min], [3]!players[name],A212)</f>
        <v>703.33333333333337</v>
      </c>
    </row>
    <row r="213" spans="1:8" x14ac:dyDescent="0.3">
      <c r="A213" t="str">
        <v>Yor</v>
      </c>
      <c r="B213" t="str" cm="1">
        <f t="array" ref="B213" xml:space="preserve">
_xlfn.XLOOKUP(1, (player_hero_summary!A:A=A213)*(player_hero_summary!D:D=_xlfn.MAXIFS(player_hero_summary!D:D, player_hero_summary!A:A, A213)),player_hero_summary!B:B
)</f>
        <v>Marci</v>
      </c>
      <c r="C213">
        <f>COUNTIFS([3]!players[name],A213)</f>
        <v>9</v>
      </c>
      <c r="D213" t="str" cm="1">
        <f t="array" ref="D213" xml:space="preserve">
_xlfn.XLOOKUP(
1,
(player_hero_summary!A:A=A213)*(player_hero_summary!D:D=_xlfn.MAXIFS(player_hero_summary!D:D, player_hero_summary!A:A, A213)),
player_hero_summary!C:C
)</f>
        <v>Hard Support</v>
      </c>
      <c r="E213">
        <f>COUNTIFS([3]!players[name],A213, [3]!players[win], 1)</f>
        <v>4</v>
      </c>
      <c r="F213" s="1">
        <f t="shared" si="3"/>
        <v>0.44444444444444442</v>
      </c>
      <c r="G213" s="2">
        <f>AVERAGEIFS([3]!players[gold_per_min], [3]!players[name],A213)</f>
        <v>286.44444444444446</v>
      </c>
      <c r="H213" s="2">
        <f>AVERAGEIFS([3]!players[xp_per_min], [3]!players[name],A213)</f>
        <v>395.55555555555554</v>
      </c>
    </row>
    <row r="214" spans="1:8" x14ac:dyDescent="0.3">
      <c r="A214" t="str">
        <v>YSR-04E</v>
      </c>
      <c r="B214" t="str" cm="1">
        <f t="array" ref="B214" xml:space="preserve">
_xlfn.XLOOKUP(1, (player_hero_summary!A:A=A214)*(player_hero_summary!D:D=_xlfn.MAXIFS(player_hero_summary!D:D, player_hero_summary!A:A, A214)),player_hero_summary!B:B
)</f>
        <v>Muerta</v>
      </c>
      <c r="C214">
        <f>COUNTIFS([3]!players[name],A214)</f>
        <v>15</v>
      </c>
      <c r="D214" t="str" cm="1">
        <f t="array" ref="D214" xml:space="preserve">
_xlfn.XLOOKUP(
1,
(player_hero_summary!A:A=A214)*(player_hero_summary!D:D=_xlfn.MAXIFS(player_hero_summary!D:D, player_hero_summary!A:A, A214)),
player_hero_summary!C:C
)</f>
        <v>Carry</v>
      </c>
      <c r="E214">
        <f>COUNTIFS([3]!players[name],A214, [3]!players[win], 1)</f>
        <v>10</v>
      </c>
      <c r="F214" s="1">
        <f t="shared" si="3"/>
        <v>0.66666666666666663</v>
      </c>
      <c r="G214" s="2">
        <f>AVERAGEIFS([3]!players[gold_per_min], [3]!players[name],A214)</f>
        <v>671.6</v>
      </c>
      <c r="H214" s="2">
        <f>AVERAGEIFS([3]!players[xp_per_min], [3]!players[name],A214)</f>
        <v>730.2</v>
      </c>
    </row>
    <row r="215" spans="1:8" x14ac:dyDescent="0.3">
      <c r="A215" t="str">
        <v>Yuma</v>
      </c>
      <c r="B215" t="str" cm="1">
        <f t="array" ref="B215" xml:space="preserve">
_xlfn.XLOOKUP(1, (player_hero_summary!A:A=A215)*(player_hero_summary!D:D=_xlfn.MAXIFS(player_hero_summary!D:D, player_hero_summary!A:A, A215)),player_hero_summary!B:B
)</f>
        <v>Tiny</v>
      </c>
      <c r="C215">
        <f>COUNTIFS([3]!players[name],A215)</f>
        <v>33</v>
      </c>
      <c r="D215" t="str" cm="1">
        <f t="array" ref="D215" xml:space="preserve">
_xlfn.XLOOKUP(
1,
(player_hero_summary!A:A=A215)*(player_hero_summary!D:D=_xlfn.MAXIFS(player_hero_summary!D:D, player_hero_summary!A:A, A215)),
player_hero_summary!C:C
)</f>
        <v>Carry</v>
      </c>
      <c r="E215">
        <f>COUNTIFS([3]!players[name],A215, [3]!players[win], 1)</f>
        <v>16</v>
      </c>
      <c r="F215" s="1">
        <f t="shared" si="3"/>
        <v>0.48484848484848486</v>
      </c>
      <c r="G215" s="2">
        <f>AVERAGEIFS([3]!players[gold_per_min], [3]!players[name],A215)</f>
        <v>667.63636363636363</v>
      </c>
      <c r="H215" s="2">
        <f>AVERAGEIFS([3]!players[xp_per_min], [3]!players[name],A215)</f>
        <v>777.72727272727275</v>
      </c>
    </row>
    <row r="216" spans="1:8" x14ac:dyDescent="0.3">
      <c r="A216" t="str">
        <v>Yume-</v>
      </c>
      <c r="B216" t="str" cm="1">
        <f t="array" ref="B216" xml:space="preserve">
_xlfn.XLOOKUP(1, (player_hero_summary!A:A=A216)*(player_hero_summary!D:D=_xlfn.MAXIFS(player_hero_summary!D:D, player_hero_summary!A:A, A216)),player_hero_summary!B:B
)</f>
        <v>Batrider</v>
      </c>
      <c r="C216">
        <f>COUNTIFS([3]!players[name],A216)</f>
        <v>4</v>
      </c>
      <c r="D216" t="str" cm="1">
        <f t="array" ref="D216" xml:space="preserve">
_xlfn.XLOOKUP(
1,
(player_hero_summary!A:A=A216)*(player_hero_summary!D:D=_xlfn.MAXIFS(player_hero_summary!D:D, player_hero_summary!A:A, A216)),
player_hero_summary!C:C
)</f>
        <v>Hard Support</v>
      </c>
      <c r="E216">
        <f>COUNTIFS([3]!players[name],A216, [3]!players[win], 1)</f>
        <v>3</v>
      </c>
      <c r="F216" s="1">
        <f t="shared" si="3"/>
        <v>0.75</v>
      </c>
      <c r="G216" s="2">
        <f>AVERAGEIFS([3]!players[gold_per_min], [3]!players[name],A216)</f>
        <v>301.25</v>
      </c>
      <c r="H216" s="2">
        <f>AVERAGEIFS([3]!players[xp_per_min], [3]!players[name],A216)</f>
        <v>472.75</v>
      </c>
    </row>
    <row r="217" spans="1:8" x14ac:dyDescent="0.3">
      <c r="A217" t="str">
        <v>Yumeyume-</v>
      </c>
      <c r="B217" t="str" cm="1">
        <f t="array" ref="B217" xml:space="preserve">
_xlfn.XLOOKUP(1, (player_hero_summary!A:A=A217)*(player_hero_summary!D:D=_xlfn.MAXIFS(player_hero_summary!D:D, player_hero_summary!A:A, A217)),player_hero_summary!B:B
)</f>
        <v>Slark</v>
      </c>
      <c r="C217">
        <f>COUNTIFS([3]!players[name],A217)</f>
        <v>20</v>
      </c>
      <c r="D217" t="str" cm="1">
        <f t="array" ref="D217" xml:space="preserve">
_xlfn.XLOOKUP(
1,
(player_hero_summary!A:A=A217)*(player_hero_summary!D:D=_xlfn.MAXIFS(player_hero_summary!D:D, player_hero_summary!A:A, A217)),
player_hero_summary!C:C
)</f>
        <v>Carry</v>
      </c>
      <c r="E217">
        <f>COUNTIFS([3]!players[name],A217, [3]!players[win], 1)</f>
        <v>10</v>
      </c>
      <c r="F217" s="1">
        <f t="shared" si="3"/>
        <v>0.5</v>
      </c>
      <c r="G217" s="2">
        <f>AVERAGEIFS([3]!players[gold_per_min], [3]!players[name],A217)</f>
        <v>605.6</v>
      </c>
      <c r="H217" s="2">
        <f>AVERAGEIFS([3]!players[xp_per_min], [3]!players[name],A217)</f>
        <v>683.9</v>
      </c>
    </row>
    <row r="218" spans="1:8" x14ac:dyDescent="0.3">
      <c r="A218" t="str">
        <v>Zasa</v>
      </c>
      <c r="B218" t="str" cm="1">
        <f t="array" ref="B218" xml:space="preserve">
_xlfn.XLOOKUP(1, (player_hero_summary!A:A=A218)*(player_hero_summary!D:D=_xlfn.MAXIFS(player_hero_summary!D:D, player_hero_summary!A:A, A218)),player_hero_summary!B:B
)</f>
        <v>Windranger</v>
      </c>
      <c r="C218">
        <f>COUNTIFS([3]!players[name],A218)</f>
        <v>14</v>
      </c>
      <c r="D218" t="str" cm="1">
        <f t="array" ref="D218" xml:space="preserve">
_xlfn.XLOOKUP(
1,
(player_hero_summary!A:A=A218)*(player_hero_summary!D:D=_xlfn.MAXIFS(player_hero_summary!D:D, player_hero_summary!A:A, A218)),
player_hero_summary!C:C
)</f>
        <v>Carry</v>
      </c>
      <c r="E218">
        <f>COUNTIFS([3]!players[name],A218, [3]!players[win], 1)</f>
        <v>9</v>
      </c>
      <c r="F218" s="1">
        <f t="shared" si="3"/>
        <v>0.6428571428571429</v>
      </c>
      <c r="G218" s="2">
        <f>AVERAGEIFS([3]!players[gold_per_min], [3]!players[name],A218)</f>
        <v>653.28571428571433</v>
      </c>
      <c r="H218" s="2">
        <f>AVERAGEIFS([3]!players[xp_per_min], [3]!players[name],A218)</f>
        <v>795.35714285714289</v>
      </c>
    </row>
    <row r="219" spans="1:8" x14ac:dyDescent="0.3">
      <c r="A219" t="str">
        <v>zeal</v>
      </c>
      <c r="B219" t="str" cm="1">
        <f t="array" ref="B219" xml:space="preserve">
_xlfn.XLOOKUP(1, (player_hero_summary!A:A=A219)*(player_hero_summary!D:D=_xlfn.MAXIFS(player_hero_summary!D:D, player_hero_summary!A:A, A219)),player_hero_summary!B:B
)</f>
        <v>Tidehunter</v>
      </c>
      <c r="C219">
        <f>COUNTIFS([3]!players[name],A219)</f>
        <v>26</v>
      </c>
      <c r="D219" t="str" cm="1">
        <f t="array" ref="D219" xml:space="preserve">
_xlfn.XLOOKUP(
1,
(player_hero_summary!A:A=A219)*(player_hero_summary!D:D=_xlfn.MAXIFS(player_hero_summary!D:D, player_hero_summary!A:A, A219)),
player_hero_summary!C:C
)</f>
        <v>Off Lane</v>
      </c>
      <c r="E219">
        <f>COUNTIFS([3]!players[name],A219, [3]!players[win], 1)</f>
        <v>17</v>
      </c>
      <c r="F219" s="1">
        <f t="shared" si="3"/>
        <v>0.65384615384615385</v>
      </c>
      <c r="G219" s="2">
        <f>AVERAGEIFS([3]!players[gold_per_min], [3]!players[name],A219)</f>
        <v>561.30769230769226</v>
      </c>
      <c r="H219" s="2">
        <f>AVERAGEIFS([3]!players[xp_per_min], [3]!players[name],A219)</f>
        <v>702.92307692307691</v>
      </c>
    </row>
    <row r="220" spans="1:8" x14ac:dyDescent="0.3">
      <c r="A220" t="str">
        <v>zzq</v>
      </c>
      <c r="B220" t="str" cm="1">
        <f t="array" ref="B220" xml:space="preserve">
_xlfn.XLOOKUP(1, (player_hero_summary!A:A=A220)*(player_hero_summary!D:D=_xlfn.MAXIFS(player_hero_summary!D:D, player_hero_summary!A:A, A220)),player_hero_summary!B:B
)</f>
        <v>Treant Protector</v>
      </c>
      <c r="C220">
        <f>COUNTIFS([3]!players[name],A220)</f>
        <v>15</v>
      </c>
      <c r="D220" t="str" cm="1">
        <f t="array" ref="D220" xml:space="preserve">
_xlfn.XLOOKUP(
1,
(player_hero_summary!A:A=A220)*(player_hero_summary!D:D=_xlfn.MAXIFS(player_hero_summary!D:D, player_hero_summary!A:A, A220)),
player_hero_summary!C:C
)</f>
        <v>Hard Support</v>
      </c>
      <c r="E220">
        <f>COUNTIFS([3]!players[name],A220, [3]!players[win], 1)</f>
        <v>10</v>
      </c>
      <c r="F220" s="1">
        <f t="shared" si="3"/>
        <v>0.66666666666666663</v>
      </c>
      <c r="G220" s="2">
        <f>AVERAGEIFS([3]!players[gold_per_min], [3]!players[name],A220)</f>
        <v>309.66666666666669</v>
      </c>
      <c r="H220" s="2">
        <f>AVERAGEIFS([3]!players[xp_per_min], [3]!players[name],A220)</f>
        <v>448.06666666666666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0B9C-F871-4BDD-9B57-7CA0B577105F}">
  <dimension ref="A1:M2319"/>
  <sheetViews>
    <sheetView workbookViewId="0">
      <selection activeCell="C2" sqref="C2"/>
    </sheetView>
  </sheetViews>
  <sheetFormatPr defaultRowHeight="14.4" x14ac:dyDescent="0.3"/>
  <cols>
    <col min="1" max="1" width="24.109375" customWidth="1"/>
    <col min="2" max="2" width="15.5546875" customWidth="1"/>
    <col min="3" max="3" width="14.5546875" customWidth="1"/>
    <col min="4" max="4" width="11.77734375" bestFit="1" customWidth="1"/>
    <col min="5" max="5" width="10" bestFit="1" customWidth="1"/>
    <col min="8" max="8" width="9.5546875" bestFit="1" customWidth="1"/>
  </cols>
  <sheetData>
    <row r="1" spans="1:13" x14ac:dyDescent="0.3">
      <c r="A1" t="s">
        <v>264</v>
      </c>
      <c r="B1" t="s">
        <v>265</v>
      </c>
      <c r="C1" t="s">
        <v>266</v>
      </c>
      <c r="D1" t="s">
        <v>260</v>
      </c>
      <c r="E1" t="s">
        <v>261</v>
      </c>
      <c r="F1" t="s">
        <v>262</v>
      </c>
      <c r="G1" t="s">
        <v>267</v>
      </c>
      <c r="H1" t="s">
        <v>268</v>
      </c>
      <c r="L1">
        <f>COUNTA(_xlfn.UNIQUE([3]!players[name]))</f>
        <v>312</v>
      </c>
      <c r="M1">
        <f>COUNTA([3]!players[personaname])</f>
        <v>24930</v>
      </c>
    </row>
    <row r="2" spans="1:13" x14ac:dyDescent="0.3">
      <c r="A2" cm="1">
        <f t="array" ref="A2:B2319" xml:space="preserve">
_xlfn._xlws.SORT(
_xlfn.UNIQUE(
_xlfn._xlws.FILTER(
CHOOSE({1,2}, [3]!players[name], [3]!players[hero_name]),
([3]!players[qualifies] = "Yes")*([3]!players[name]&lt;&gt;"")
)
),
1,1)</f>
        <v>423</v>
      </c>
      <c r="B2" t="str">
        <v>Alchemist</v>
      </c>
      <c r="C2" t="str" cm="1">
        <f t="array" ref="C2">_xlfn.XLOOKUP(1,([3]!players[name]=A2)*([3]!players[hero_name]=B2),[3]!players[lane_name])</f>
        <v>Carry</v>
      </c>
      <c r="D2">
        <f>COUNTIFS([3]!players[name],A2,[3]!players[hero_name],B2)</f>
        <v>3</v>
      </c>
      <c r="E2">
        <f>COUNTIFS([3]!players[name],A2,[3]!players[hero_name],B2, [3]!players[win], 1)</f>
        <v>2</v>
      </c>
      <c r="F2" s="1">
        <f>E2/D2</f>
        <v>0.66666666666666663</v>
      </c>
      <c r="G2" s="2">
        <f>AVERAGEIFS([3]!players[gold_per_min], [3]!players[name],A2,[3]!players[hero_name],B2)</f>
        <v>965</v>
      </c>
      <c r="H2" s="2">
        <f>AVERAGEIFS([3]!players[xp_per_min], [3]!players[name],A2,[3]!players[hero_name],B2)</f>
        <v>965</v>
      </c>
    </row>
    <row r="3" spans="1:13" x14ac:dyDescent="0.3">
      <c r="A3">
        <v>423</v>
      </c>
      <c r="B3" t="str">
        <v>Kez</v>
      </c>
      <c r="C3" t="str" cm="1">
        <f t="array" ref="C3">_xlfn.XLOOKUP(1,([3]!players[name]=A3)*([3]!players[hero_name]=B3),[3]!players[lane_name])</f>
        <v>Carry</v>
      </c>
      <c r="D3">
        <f>COUNTIFS([3]!players[name],A3,[3]!players[hero_name],B3)</f>
        <v>5</v>
      </c>
      <c r="E3">
        <f>COUNTIFS([3]!players[name],A3,[3]!players[hero_name],B3, [3]!players[win], 1)</f>
        <v>3</v>
      </c>
      <c r="F3" s="1">
        <f t="shared" ref="F3:F66" si="0">E3/D3</f>
        <v>0.6</v>
      </c>
      <c r="G3" s="2">
        <f>AVERAGEIFS([3]!players[gold_per_min], [3]!players[name],A3,[3]!players[hero_name],B3)</f>
        <v>661.8</v>
      </c>
      <c r="H3" s="2">
        <f>AVERAGEIFS([3]!players[xp_per_min], [3]!players[name],A3,[3]!players[hero_name],B3)</f>
        <v>825.2</v>
      </c>
    </row>
    <row r="4" spans="1:13" x14ac:dyDescent="0.3">
      <c r="A4">
        <v>423</v>
      </c>
      <c r="B4" t="str">
        <v>Terrorblade</v>
      </c>
      <c r="C4" t="str" cm="1">
        <f t="array" ref="C4">_xlfn.XLOOKUP(1,([3]!players[name]=A4)*([3]!players[hero_name]=B4),[3]!players[lane_name])</f>
        <v>Carry</v>
      </c>
      <c r="D4">
        <f>COUNTIFS([3]!players[name],A4,[3]!players[hero_name],B4)</f>
        <v>6</v>
      </c>
      <c r="E4">
        <f>COUNTIFS([3]!players[name],A4,[3]!players[hero_name],B4, [3]!players[win], 1)</f>
        <v>5</v>
      </c>
      <c r="F4" s="1">
        <f t="shared" si="0"/>
        <v>0.83333333333333337</v>
      </c>
      <c r="G4" s="2">
        <f>AVERAGEIFS([3]!players[gold_per_min], [3]!players[name],A4,[3]!players[hero_name],B4)</f>
        <v>841</v>
      </c>
      <c r="H4" s="2">
        <f>AVERAGEIFS([3]!players[xp_per_min], [3]!players[name],A4,[3]!players[hero_name],B4)</f>
        <v>771</v>
      </c>
    </row>
    <row r="5" spans="1:13" x14ac:dyDescent="0.3">
      <c r="A5">
        <v>423</v>
      </c>
      <c r="B5" t="str">
        <v>Nature's Prophet</v>
      </c>
      <c r="C5" t="str" cm="1">
        <f t="array" ref="C5">_xlfn.XLOOKUP(1,([3]!players[name]=A5)*([3]!players[hero_name]=B5),[3]!players[lane_name])</f>
        <v>Carry</v>
      </c>
      <c r="D5">
        <f>COUNTIFS([3]!players[name],A5,[3]!players[hero_name],B5)</f>
        <v>1</v>
      </c>
      <c r="E5">
        <f>COUNTIFS([3]!players[name],A5,[3]!players[hero_name],B5, [3]!players[win], 1)</f>
        <v>0</v>
      </c>
      <c r="F5" s="1">
        <f t="shared" si="0"/>
        <v>0</v>
      </c>
      <c r="G5" s="2">
        <f>AVERAGEIFS([3]!players[gold_per_min], [3]!players[name],A5,[3]!players[hero_name],B5)</f>
        <v>654</v>
      </c>
      <c r="H5" s="2">
        <f>AVERAGEIFS([3]!players[xp_per_min], [3]!players[name],A5,[3]!players[hero_name],B5)</f>
        <v>654</v>
      </c>
    </row>
    <row r="6" spans="1:13" x14ac:dyDescent="0.3">
      <c r="A6">
        <v>423</v>
      </c>
      <c r="B6" t="str">
        <v>Monkey King</v>
      </c>
      <c r="C6" t="str" cm="1">
        <f t="array" ref="C6">_xlfn.XLOOKUP(1,([3]!players[name]=A6)*([3]!players[hero_name]=B6),[3]!players[lane_name])</f>
        <v>Carry</v>
      </c>
      <c r="D6">
        <f>COUNTIFS([3]!players[name],A6,[3]!players[hero_name],B6)</f>
        <v>3</v>
      </c>
      <c r="E6">
        <f>COUNTIFS([3]!players[name],A6,[3]!players[hero_name],B6, [3]!players[win], 1)</f>
        <v>3</v>
      </c>
      <c r="F6" s="1">
        <f t="shared" si="0"/>
        <v>1</v>
      </c>
      <c r="G6" s="2">
        <f>AVERAGEIFS([3]!players[gold_per_min], [3]!players[name],A6,[3]!players[hero_name],B6)</f>
        <v>725</v>
      </c>
      <c r="H6" s="2">
        <f>AVERAGEIFS([3]!players[xp_per_min], [3]!players[name],A6,[3]!players[hero_name],B6)</f>
        <v>924.66666666666663</v>
      </c>
    </row>
    <row r="7" spans="1:13" x14ac:dyDescent="0.3">
      <c r="A7">
        <v>423</v>
      </c>
      <c r="B7" t="str">
        <v>Tiny</v>
      </c>
      <c r="C7" t="str" cm="1">
        <f t="array" ref="C7">_xlfn.XLOOKUP(1,([3]!players[name]=A7)*([3]!players[hero_name]=B7),[3]!players[lane_name])</f>
        <v>Carry</v>
      </c>
      <c r="D7">
        <f>COUNTIFS([3]!players[name],A7,[3]!players[hero_name],B7)</f>
        <v>4</v>
      </c>
      <c r="E7">
        <f>COUNTIFS([3]!players[name],A7,[3]!players[hero_name],B7, [3]!players[win], 1)</f>
        <v>2</v>
      </c>
      <c r="F7" s="1">
        <f t="shared" si="0"/>
        <v>0.5</v>
      </c>
      <c r="G7" s="2">
        <f>AVERAGEIFS([3]!players[gold_per_min], [3]!players[name],A7,[3]!players[hero_name],B7)</f>
        <v>674.25</v>
      </c>
      <c r="H7" s="2">
        <f>AVERAGEIFS([3]!players[xp_per_min], [3]!players[name],A7,[3]!players[hero_name],B7)</f>
        <v>847.75</v>
      </c>
    </row>
    <row r="8" spans="1:13" x14ac:dyDescent="0.3">
      <c r="A8">
        <v>423</v>
      </c>
      <c r="B8" t="str">
        <v>Faceless Void</v>
      </c>
      <c r="C8" t="str" cm="1">
        <f t="array" ref="C8">_xlfn.XLOOKUP(1,([3]!players[name]=A8)*([3]!players[hero_name]=B8),[3]!players[lane_name])</f>
        <v>Carry</v>
      </c>
      <c r="D8">
        <f>COUNTIFS([3]!players[name],A8,[3]!players[hero_name],B8)</f>
        <v>1</v>
      </c>
      <c r="E8">
        <f>COUNTIFS([3]!players[name],A8,[3]!players[hero_name],B8, [3]!players[win], 1)</f>
        <v>1</v>
      </c>
      <c r="F8" s="1">
        <f t="shared" si="0"/>
        <v>1</v>
      </c>
      <c r="G8" s="2">
        <f>AVERAGEIFS([3]!players[gold_per_min], [3]!players[name],A8,[3]!players[hero_name],B8)</f>
        <v>833</v>
      </c>
      <c r="H8" s="2">
        <f>AVERAGEIFS([3]!players[xp_per_min], [3]!players[name],A8,[3]!players[hero_name],B8)</f>
        <v>1013</v>
      </c>
    </row>
    <row r="9" spans="1:13" x14ac:dyDescent="0.3">
      <c r="A9">
        <v>423</v>
      </c>
      <c r="B9" t="str">
        <v>Clinkz</v>
      </c>
      <c r="C9" t="str" cm="1">
        <f t="array" ref="C9">_xlfn.XLOOKUP(1,([3]!players[name]=A9)*([3]!players[hero_name]=B9),[3]!players[lane_name])</f>
        <v>Carry</v>
      </c>
      <c r="D9">
        <f>COUNTIFS([3]!players[name],A9,[3]!players[hero_name],B9)</f>
        <v>1</v>
      </c>
      <c r="E9">
        <f>COUNTIFS([3]!players[name],A9,[3]!players[hero_name],B9, [3]!players[win], 1)</f>
        <v>1</v>
      </c>
      <c r="F9" s="1">
        <f t="shared" si="0"/>
        <v>1</v>
      </c>
      <c r="G9" s="2">
        <f>AVERAGEIFS([3]!players[gold_per_min], [3]!players[name],A9,[3]!players[hero_name],B9)</f>
        <v>765</v>
      </c>
      <c r="H9" s="2">
        <f>AVERAGEIFS([3]!players[xp_per_min], [3]!players[name],A9,[3]!players[hero_name],B9)</f>
        <v>930</v>
      </c>
    </row>
    <row r="10" spans="1:13" x14ac:dyDescent="0.3">
      <c r="A10">
        <v>423</v>
      </c>
      <c r="B10" t="str">
        <v>Lone Druid</v>
      </c>
      <c r="C10" t="str" cm="1">
        <f t="array" ref="C10">_xlfn.XLOOKUP(1,([3]!players[name]=A10)*([3]!players[hero_name]=B10),[3]!players[lane_name])</f>
        <v>Carry</v>
      </c>
      <c r="D10">
        <f>COUNTIFS([3]!players[name],A10,[3]!players[hero_name],B10)</f>
        <v>2</v>
      </c>
      <c r="E10">
        <f>COUNTIFS([3]!players[name],A10,[3]!players[hero_name],B10, [3]!players[win], 1)</f>
        <v>1</v>
      </c>
      <c r="F10" s="1">
        <f t="shared" si="0"/>
        <v>0.5</v>
      </c>
      <c r="G10" s="2">
        <f>AVERAGEIFS([3]!players[gold_per_min], [3]!players[name],A10,[3]!players[hero_name],B10)</f>
        <v>651</v>
      </c>
      <c r="H10" s="2">
        <f>AVERAGEIFS([3]!players[xp_per_min], [3]!players[name],A10,[3]!players[hero_name],B10)</f>
        <v>623.5</v>
      </c>
    </row>
    <row r="11" spans="1:13" x14ac:dyDescent="0.3">
      <c r="A11">
        <v>423</v>
      </c>
      <c r="B11" t="str">
        <v>Queen of Pain</v>
      </c>
      <c r="C11" t="str" cm="1">
        <f t="array" ref="C11">_xlfn.XLOOKUP(1,([3]!players[name]=A11)*([3]!players[hero_name]=B11),[3]!players[lane_name])</f>
        <v>Carry</v>
      </c>
      <c r="D11">
        <f>COUNTIFS([3]!players[name],A11,[3]!players[hero_name],B11)</f>
        <v>1</v>
      </c>
      <c r="E11">
        <f>COUNTIFS([3]!players[name],A11,[3]!players[hero_name],B11, [3]!players[win], 1)</f>
        <v>1</v>
      </c>
      <c r="F11" s="1">
        <f t="shared" si="0"/>
        <v>1</v>
      </c>
      <c r="G11" s="2">
        <f>AVERAGEIFS([3]!players[gold_per_min], [3]!players[name],A11,[3]!players[hero_name],B11)</f>
        <v>812</v>
      </c>
      <c r="H11" s="2">
        <f>AVERAGEIFS([3]!players[xp_per_min], [3]!players[name],A11,[3]!players[hero_name],B11)</f>
        <v>1201</v>
      </c>
    </row>
    <row r="12" spans="1:13" x14ac:dyDescent="0.3">
      <c r="A12">
        <v>999</v>
      </c>
      <c r="B12" t="str">
        <v>Spirit Breaker</v>
      </c>
      <c r="C12" t="str" cm="1">
        <f t="array" ref="C12">_xlfn.XLOOKUP(1,([3]!players[name]=A12)*([3]!players[hero_name]=B12),[3]!players[lane_name])</f>
        <v>Soft Support</v>
      </c>
      <c r="D12">
        <f>COUNTIFS([3]!players[name],A12,[3]!players[hero_name],B12)</f>
        <v>1</v>
      </c>
      <c r="E12">
        <f>COUNTIFS([3]!players[name],A12,[3]!players[hero_name],B12, [3]!players[win], 1)</f>
        <v>1</v>
      </c>
      <c r="F12" s="1">
        <f t="shared" si="0"/>
        <v>1</v>
      </c>
      <c r="G12" s="2">
        <f>AVERAGEIFS([3]!players[gold_per_min], [3]!players[name],A12,[3]!players[hero_name],B12)</f>
        <v>402</v>
      </c>
      <c r="H12" s="2">
        <f>AVERAGEIFS([3]!players[xp_per_min], [3]!players[name],A12,[3]!players[hero_name],B12)</f>
        <v>547</v>
      </c>
    </row>
    <row r="13" spans="1:13" x14ac:dyDescent="0.3">
      <c r="A13">
        <v>999</v>
      </c>
      <c r="B13" t="str">
        <v>Skywrath Mage</v>
      </c>
      <c r="C13" t="str" cm="1">
        <f t="array" ref="C13">_xlfn.XLOOKUP(1,([3]!players[name]=A13)*([3]!players[hero_name]=B13),[3]!players[lane_name])</f>
        <v>Roam</v>
      </c>
      <c r="D13">
        <f>COUNTIFS([3]!players[name],A13,[3]!players[hero_name],B13)</f>
        <v>1</v>
      </c>
      <c r="E13">
        <f>COUNTIFS([3]!players[name],A13,[3]!players[hero_name],B13, [3]!players[win], 1)</f>
        <v>0</v>
      </c>
      <c r="F13" s="1">
        <f t="shared" si="0"/>
        <v>0</v>
      </c>
      <c r="G13" s="2">
        <f>AVERAGEIFS([3]!players[gold_per_min], [3]!players[name],A13,[3]!players[hero_name],B13)</f>
        <v>267</v>
      </c>
      <c r="H13" s="2">
        <f>AVERAGEIFS([3]!players[xp_per_min], [3]!players[name],A13,[3]!players[hero_name],B13)</f>
        <v>448</v>
      </c>
    </row>
    <row r="14" spans="1:13" x14ac:dyDescent="0.3">
      <c r="A14">
        <v>999</v>
      </c>
      <c r="B14" t="str">
        <v>Tusk</v>
      </c>
      <c r="C14" t="str" cm="1">
        <f t="array" ref="C14">_xlfn.XLOOKUP(1,([3]!players[name]=A14)*([3]!players[hero_name]=B14),[3]!players[lane_name])</f>
        <v>Hard Support</v>
      </c>
      <c r="D14">
        <f>COUNTIFS([3]!players[name],A14,[3]!players[hero_name],B14)</f>
        <v>6</v>
      </c>
      <c r="E14">
        <f>COUNTIFS([3]!players[name],A14,[3]!players[hero_name],B14, [3]!players[win], 1)</f>
        <v>2</v>
      </c>
      <c r="F14" s="1">
        <f t="shared" si="0"/>
        <v>0.33333333333333331</v>
      </c>
      <c r="G14" s="2">
        <f>AVERAGEIFS([3]!players[gold_per_min], [3]!players[name],A14,[3]!players[hero_name],B14)</f>
        <v>278.83333333333331</v>
      </c>
      <c r="H14" s="2">
        <f>AVERAGEIFS([3]!players[xp_per_min], [3]!players[name],A14,[3]!players[hero_name],B14)</f>
        <v>416</v>
      </c>
    </row>
    <row r="15" spans="1:13" x14ac:dyDescent="0.3">
      <c r="A15">
        <v>999</v>
      </c>
      <c r="B15" t="str">
        <v>Shadow Shaman</v>
      </c>
      <c r="C15" t="str" cm="1">
        <f t="array" ref="C15">_xlfn.XLOOKUP(1,([3]!players[name]=A15)*([3]!players[hero_name]=B15),[3]!players[lane_name])</f>
        <v>Hard Support</v>
      </c>
      <c r="D15">
        <f>COUNTIFS([3]!players[name],A15,[3]!players[hero_name],B15)</f>
        <v>2</v>
      </c>
      <c r="E15">
        <f>COUNTIFS([3]!players[name],A15,[3]!players[hero_name],B15, [3]!players[win], 1)</f>
        <v>2</v>
      </c>
      <c r="F15" s="1">
        <f t="shared" si="0"/>
        <v>1</v>
      </c>
      <c r="G15" s="2">
        <f>AVERAGEIFS([3]!players[gold_per_min], [3]!players[name],A15,[3]!players[hero_name],B15)</f>
        <v>342.5</v>
      </c>
      <c r="H15" s="2">
        <f>AVERAGEIFS([3]!players[xp_per_min], [3]!players[name],A15,[3]!players[hero_name],B15)</f>
        <v>416</v>
      </c>
    </row>
    <row r="16" spans="1:13" x14ac:dyDescent="0.3">
      <c r="A16">
        <v>999</v>
      </c>
      <c r="B16" t="str">
        <v>Batrider</v>
      </c>
      <c r="C16" t="str" cm="1">
        <f t="array" ref="C16">_xlfn.XLOOKUP(1,([3]!players[name]=A16)*([3]!players[hero_name]=B16),[3]!players[lane_name])</f>
        <v>Soft Support</v>
      </c>
      <c r="D16">
        <f>COUNTIFS([3]!players[name],A16,[3]!players[hero_name],B16)</f>
        <v>1</v>
      </c>
      <c r="E16">
        <f>COUNTIFS([3]!players[name],A16,[3]!players[hero_name],B16, [3]!players[win], 1)</f>
        <v>0</v>
      </c>
      <c r="F16" s="1">
        <f t="shared" si="0"/>
        <v>0</v>
      </c>
      <c r="G16" s="2">
        <f>AVERAGEIFS([3]!players[gold_per_min], [3]!players[name],A16,[3]!players[hero_name],B16)</f>
        <v>317</v>
      </c>
      <c r="H16" s="2">
        <f>AVERAGEIFS([3]!players[xp_per_min], [3]!players[name],A16,[3]!players[hero_name],B16)</f>
        <v>342</v>
      </c>
    </row>
    <row r="17" spans="1:8" x14ac:dyDescent="0.3">
      <c r="A17">
        <v>999</v>
      </c>
      <c r="B17" t="str">
        <v>Muerta</v>
      </c>
      <c r="C17" t="str" cm="1">
        <f t="array" ref="C17">_xlfn.XLOOKUP(1,([3]!players[name]=A17)*([3]!players[hero_name]=B17),[3]!players[lane_name])</f>
        <v>Roam</v>
      </c>
      <c r="D17">
        <f>COUNTIFS([3]!players[name],A17,[3]!players[hero_name],B17)</f>
        <v>2</v>
      </c>
      <c r="E17">
        <f>COUNTIFS([3]!players[name],A17,[3]!players[hero_name],B17, [3]!players[win], 1)</f>
        <v>1</v>
      </c>
      <c r="F17" s="1">
        <f t="shared" si="0"/>
        <v>0.5</v>
      </c>
      <c r="G17" s="2">
        <f>AVERAGEIFS([3]!players[gold_per_min], [3]!players[name],A17,[3]!players[hero_name],B17)</f>
        <v>324.5</v>
      </c>
      <c r="H17" s="2">
        <f>AVERAGEIFS([3]!players[xp_per_min], [3]!players[name],A17,[3]!players[hero_name],B17)</f>
        <v>429</v>
      </c>
    </row>
    <row r="18" spans="1:8" x14ac:dyDescent="0.3">
      <c r="A18">
        <v>999</v>
      </c>
      <c r="B18" t="str">
        <v>Hoodwink</v>
      </c>
      <c r="C18" t="str" cm="1">
        <f t="array" ref="C18">_xlfn.XLOOKUP(1,([3]!players[name]=A18)*([3]!players[hero_name]=B18),[3]!players[lane_name])</f>
        <v>Soft Support</v>
      </c>
      <c r="D18">
        <f>COUNTIFS([3]!players[name],A18,[3]!players[hero_name],B18)</f>
        <v>5</v>
      </c>
      <c r="E18">
        <f>COUNTIFS([3]!players[name],A18,[3]!players[hero_name],B18, [3]!players[win], 1)</f>
        <v>4</v>
      </c>
      <c r="F18" s="1">
        <f t="shared" si="0"/>
        <v>0.8</v>
      </c>
      <c r="G18" s="2">
        <f>AVERAGEIFS([3]!players[gold_per_min], [3]!players[name],A18,[3]!players[hero_name],B18)</f>
        <v>331.6</v>
      </c>
      <c r="H18" s="2">
        <f>AVERAGEIFS([3]!players[xp_per_min], [3]!players[name],A18,[3]!players[hero_name],B18)</f>
        <v>462</v>
      </c>
    </row>
    <row r="19" spans="1:8" x14ac:dyDescent="0.3">
      <c r="A19">
        <v>999</v>
      </c>
      <c r="B19" t="str">
        <v>Rubick</v>
      </c>
      <c r="C19" t="str" cm="1">
        <f t="array" ref="C19">_xlfn.XLOOKUP(1,([3]!players[name]=A19)*([3]!players[hero_name]=B19),[3]!players[lane_name])</f>
        <v>Hard Support</v>
      </c>
      <c r="D19">
        <f>COUNTIFS([3]!players[name],A19,[3]!players[hero_name],B19)</f>
        <v>1</v>
      </c>
      <c r="E19">
        <f>COUNTIFS([3]!players[name],A19,[3]!players[hero_name],B19, [3]!players[win], 1)</f>
        <v>0</v>
      </c>
      <c r="F19" s="1">
        <f t="shared" si="0"/>
        <v>0</v>
      </c>
      <c r="G19" s="2">
        <f>AVERAGEIFS([3]!players[gold_per_min], [3]!players[name],A19,[3]!players[hero_name],B19)</f>
        <v>185</v>
      </c>
      <c r="H19" s="2">
        <f>AVERAGEIFS([3]!players[xp_per_min], [3]!players[name],A19,[3]!players[hero_name],B19)</f>
        <v>247</v>
      </c>
    </row>
    <row r="20" spans="1:8" x14ac:dyDescent="0.3">
      <c r="A20">
        <v>999</v>
      </c>
      <c r="B20" t="str">
        <v>Shadow Demon</v>
      </c>
      <c r="C20" t="str" cm="1">
        <f t="array" ref="C20">_xlfn.XLOOKUP(1,([3]!players[name]=A20)*([3]!players[hero_name]=B20),[3]!players[lane_name])</f>
        <v>Roam</v>
      </c>
      <c r="D20">
        <f>COUNTIFS([3]!players[name],A20,[3]!players[hero_name],B20)</f>
        <v>2</v>
      </c>
      <c r="E20">
        <f>COUNTIFS([3]!players[name],A20,[3]!players[hero_name],B20, [3]!players[win], 1)</f>
        <v>1</v>
      </c>
      <c r="F20" s="1">
        <f t="shared" si="0"/>
        <v>0.5</v>
      </c>
      <c r="G20" s="2">
        <f>AVERAGEIFS([3]!players[gold_per_min], [3]!players[name],A20,[3]!players[hero_name],B20)</f>
        <v>294</v>
      </c>
      <c r="H20" s="2">
        <f>AVERAGEIFS([3]!players[xp_per_min], [3]!players[name],A20,[3]!players[hero_name],B20)</f>
        <v>447</v>
      </c>
    </row>
    <row r="21" spans="1:8" x14ac:dyDescent="0.3">
      <c r="A21" t="str">
        <v xml:space="preserve"> chipikao</v>
      </c>
      <c r="B21" t="str">
        <v>Batrider</v>
      </c>
      <c r="C21" t="str" cm="1">
        <f t="array" ref="C21">_xlfn.XLOOKUP(1,([3]!players[name]=A21)*([3]!players[hero_name]=B21),[3]!players[lane_name])</f>
        <v>Off Lane</v>
      </c>
      <c r="D21">
        <f>COUNTIFS([3]!players[name],A21,[3]!players[hero_name],B21)</f>
        <v>1</v>
      </c>
      <c r="E21">
        <f>COUNTIFS([3]!players[name],A21,[3]!players[hero_name],B21, [3]!players[win], 1)</f>
        <v>0</v>
      </c>
      <c r="F21" s="1">
        <f t="shared" si="0"/>
        <v>0</v>
      </c>
      <c r="G21" s="2">
        <f>AVERAGEIFS([3]!players[gold_per_min], [3]!players[name],A21,[3]!players[hero_name],B21)</f>
        <v>495</v>
      </c>
      <c r="H21" s="2">
        <f>AVERAGEIFS([3]!players[xp_per_min], [3]!players[name],A21,[3]!players[hero_name],B21)</f>
        <v>675</v>
      </c>
    </row>
    <row r="22" spans="1:8" x14ac:dyDescent="0.3">
      <c r="A22" t="str">
        <v xml:space="preserve"> chipikao</v>
      </c>
      <c r="B22" t="str">
        <v>Bristleback</v>
      </c>
      <c r="C22" t="str" cm="1">
        <f t="array" ref="C22">_xlfn.XLOOKUP(1,([3]!players[name]=A22)*([3]!players[hero_name]=B22),[3]!players[lane_name])</f>
        <v>Off Lane</v>
      </c>
      <c r="D22">
        <f>COUNTIFS([3]!players[name],A22,[3]!players[hero_name],B22)</f>
        <v>3</v>
      </c>
      <c r="E22">
        <f>COUNTIFS([3]!players[name],A22,[3]!players[hero_name],B22, [3]!players[win], 1)</f>
        <v>0</v>
      </c>
      <c r="F22" s="1">
        <f t="shared" si="0"/>
        <v>0</v>
      </c>
      <c r="G22" s="2">
        <f>AVERAGEIFS([3]!players[gold_per_min], [3]!players[name],A22,[3]!players[hero_name],B22)</f>
        <v>541.33333333333337</v>
      </c>
      <c r="H22" s="2">
        <f>AVERAGEIFS([3]!players[xp_per_min], [3]!players[name],A22,[3]!players[hero_name],B22)</f>
        <v>617</v>
      </c>
    </row>
    <row r="23" spans="1:8" x14ac:dyDescent="0.3">
      <c r="A23" t="str">
        <v xml:space="preserve"> chipikao</v>
      </c>
      <c r="B23" t="str">
        <v>Pangolier</v>
      </c>
      <c r="C23" t="str" cm="1">
        <f t="array" ref="C23">_xlfn.XLOOKUP(1,([3]!players[name]=A23)*([3]!players[hero_name]=B23),[3]!players[lane_name])</f>
        <v>Off Lane</v>
      </c>
      <c r="D23">
        <f>COUNTIFS([3]!players[name],A23,[3]!players[hero_name],B23)</f>
        <v>2</v>
      </c>
      <c r="E23">
        <f>COUNTIFS([3]!players[name],A23,[3]!players[hero_name],B23, [3]!players[win], 1)</f>
        <v>1</v>
      </c>
      <c r="F23" s="1">
        <f t="shared" si="0"/>
        <v>0.5</v>
      </c>
      <c r="G23" s="2">
        <f>AVERAGEIFS([3]!players[gold_per_min], [3]!players[name],A23,[3]!players[hero_name],B23)</f>
        <v>583.5</v>
      </c>
      <c r="H23" s="2">
        <f>AVERAGEIFS([3]!players[xp_per_min], [3]!players[name],A23,[3]!players[hero_name],B23)</f>
        <v>769.5</v>
      </c>
    </row>
    <row r="24" spans="1:8" x14ac:dyDescent="0.3">
      <c r="A24" t="str">
        <v xml:space="preserve"> chipikao</v>
      </c>
      <c r="B24" t="str">
        <v>Tidehunter</v>
      </c>
      <c r="C24" t="str" cm="1">
        <f t="array" ref="C24">_xlfn.XLOOKUP(1,([3]!players[name]=A24)*([3]!players[hero_name]=B24),[3]!players[lane_name])</f>
        <v>Off Lane</v>
      </c>
      <c r="D24">
        <f>COUNTIFS([3]!players[name],A24,[3]!players[hero_name],B24)</f>
        <v>2</v>
      </c>
      <c r="E24">
        <f>COUNTIFS([3]!players[name],A24,[3]!players[hero_name],B24, [3]!players[win], 1)</f>
        <v>1</v>
      </c>
      <c r="F24" s="1">
        <f t="shared" si="0"/>
        <v>0.5</v>
      </c>
      <c r="G24" s="2">
        <f>AVERAGEIFS([3]!players[gold_per_min], [3]!players[name],A24,[3]!players[hero_name],B24)</f>
        <v>560.5</v>
      </c>
      <c r="H24" s="2">
        <f>AVERAGEIFS([3]!players[xp_per_min], [3]!players[name],A24,[3]!players[hero_name],B24)</f>
        <v>693</v>
      </c>
    </row>
    <row r="25" spans="1:8" x14ac:dyDescent="0.3">
      <c r="A25" t="str">
        <v xml:space="preserve"> chipikao</v>
      </c>
      <c r="B25" t="str">
        <v>Timbersaw</v>
      </c>
      <c r="C25" t="str" cm="1">
        <f t="array" ref="C25">_xlfn.XLOOKUP(1,([3]!players[name]=A25)*([3]!players[hero_name]=B25),[3]!players[lane_name])</f>
        <v>Off Lane</v>
      </c>
      <c r="D25">
        <f>COUNTIFS([3]!players[name],A25,[3]!players[hero_name],B25)</f>
        <v>1</v>
      </c>
      <c r="E25">
        <f>COUNTIFS([3]!players[name],A25,[3]!players[hero_name],B25, [3]!players[win], 1)</f>
        <v>0</v>
      </c>
      <c r="F25" s="1">
        <f t="shared" si="0"/>
        <v>0</v>
      </c>
      <c r="G25" s="2">
        <f>AVERAGEIFS([3]!players[gold_per_min], [3]!players[name],A25,[3]!players[hero_name],B25)</f>
        <v>375</v>
      </c>
      <c r="H25" s="2">
        <f>AVERAGEIFS([3]!players[xp_per_min], [3]!players[name],A25,[3]!players[hero_name],B25)</f>
        <v>409</v>
      </c>
    </row>
    <row r="26" spans="1:8" x14ac:dyDescent="0.3">
      <c r="A26" t="str">
        <v xml:space="preserve"> chipikao</v>
      </c>
      <c r="B26" t="str">
        <v>Magnus</v>
      </c>
      <c r="C26" t="str" cm="1">
        <f t="array" ref="C26">_xlfn.XLOOKUP(1,([3]!players[name]=A26)*([3]!players[hero_name]=B26),[3]!players[lane_name])</f>
        <v>Off Lane</v>
      </c>
      <c r="D26">
        <f>COUNTIFS([3]!players[name],A26,[3]!players[hero_name],B26)</f>
        <v>1</v>
      </c>
      <c r="E26">
        <f>COUNTIFS([3]!players[name],A26,[3]!players[hero_name],B26, [3]!players[win], 1)</f>
        <v>0</v>
      </c>
      <c r="F26" s="1">
        <f t="shared" si="0"/>
        <v>0</v>
      </c>
      <c r="G26" s="2">
        <f>AVERAGEIFS([3]!players[gold_per_min], [3]!players[name],A26,[3]!players[hero_name],B26)</f>
        <v>302</v>
      </c>
      <c r="H26" s="2">
        <f>AVERAGEIFS([3]!players[xp_per_min], [3]!players[name],A26,[3]!players[hero_name],B26)</f>
        <v>324</v>
      </c>
    </row>
    <row r="27" spans="1:8" x14ac:dyDescent="0.3">
      <c r="A27" t="str">
        <v xml:space="preserve"> chipikao</v>
      </c>
      <c r="B27" t="str">
        <v>Beastmaster</v>
      </c>
      <c r="C27" t="str" cm="1">
        <f t="array" ref="C27">_xlfn.XLOOKUP(1,([3]!players[name]=A27)*([3]!players[hero_name]=B27),[3]!players[lane_name])</f>
        <v>Off Lane</v>
      </c>
      <c r="D27">
        <f>COUNTIFS([3]!players[name],A27,[3]!players[hero_name],B27)</f>
        <v>1</v>
      </c>
      <c r="E27">
        <f>COUNTIFS([3]!players[name],A27,[3]!players[hero_name],B27, [3]!players[win], 1)</f>
        <v>1</v>
      </c>
      <c r="F27" s="1">
        <f t="shared" si="0"/>
        <v>1</v>
      </c>
      <c r="G27" s="2">
        <f>AVERAGEIFS([3]!players[gold_per_min], [3]!players[name],A27,[3]!players[hero_name],B27)</f>
        <v>678</v>
      </c>
      <c r="H27" s="2">
        <f>AVERAGEIFS([3]!players[xp_per_min], [3]!players[name],A27,[3]!players[hero_name],B27)</f>
        <v>626</v>
      </c>
    </row>
    <row r="28" spans="1:8" x14ac:dyDescent="0.3">
      <c r="A28" t="str">
        <v xml:space="preserve"> chipikao</v>
      </c>
      <c r="B28" t="str">
        <v>Mars</v>
      </c>
      <c r="C28" t="str" cm="1">
        <f t="array" ref="C28">_xlfn.XLOOKUP(1,([3]!players[name]=A28)*([3]!players[hero_name]=B28),[3]!players[lane_name])</f>
        <v>Off Lane</v>
      </c>
      <c r="D28">
        <f>COUNTIFS([3]!players[name],A28,[3]!players[hero_name],B28)</f>
        <v>1</v>
      </c>
      <c r="E28">
        <f>COUNTIFS([3]!players[name],A28,[3]!players[hero_name],B28, [3]!players[win], 1)</f>
        <v>0</v>
      </c>
      <c r="F28" s="1">
        <f t="shared" si="0"/>
        <v>0</v>
      </c>
      <c r="G28" s="2">
        <f>AVERAGEIFS([3]!players[gold_per_min], [3]!players[name],A28,[3]!players[hero_name],B28)</f>
        <v>403</v>
      </c>
      <c r="H28" s="2">
        <f>AVERAGEIFS([3]!players[xp_per_min], [3]!players[name],A28,[3]!players[hero_name],B28)</f>
        <v>476</v>
      </c>
    </row>
    <row r="29" spans="1:8" x14ac:dyDescent="0.3">
      <c r="A29" t="str">
        <v>23savage</v>
      </c>
      <c r="B29" t="str">
        <v>Ursa</v>
      </c>
      <c r="C29" t="str" cm="1">
        <f t="array" ref="C29">_xlfn.XLOOKUP(1,([3]!players[name]=A29)*([3]!players[hero_name]=B29),[3]!players[lane_name])</f>
        <v>Carry</v>
      </c>
      <c r="D29">
        <f>COUNTIFS([3]!players[name],A29,[3]!players[hero_name],B29)</f>
        <v>5</v>
      </c>
      <c r="E29">
        <f>COUNTIFS([3]!players[name],A29,[3]!players[hero_name],B29, [3]!players[win], 1)</f>
        <v>4</v>
      </c>
      <c r="F29" s="1">
        <f t="shared" si="0"/>
        <v>0.8</v>
      </c>
      <c r="G29" s="2">
        <f>AVERAGEIFS([3]!players[gold_per_min], [3]!players[name],A29,[3]!players[hero_name],B29)</f>
        <v>726</v>
      </c>
      <c r="H29" s="2">
        <f>AVERAGEIFS([3]!players[xp_per_min], [3]!players[name],A29,[3]!players[hero_name],B29)</f>
        <v>902.8</v>
      </c>
    </row>
    <row r="30" spans="1:8" x14ac:dyDescent="0.3">
      <c r="A30" t="str">
        <v>23savage</v>
      </c>
      <c r="B30" t="str">
        <v>Lifestealer</v>
      </c>
      <c r="C30" t="str" cm="1">
        <f t="array" ref="C30">_xlfn.XLOOKUP(1,([3]!players[name]=A30)*([3]!players[hero_name]=B30),[3]!players[lane_name])</f>
        <v>Carry</v>
      </c>
      <c r="D30">
        <f>COUNTIFS([3]!players[name],A30,[3]!players[hero_name],B30)</f>
        <v>2</v>
      </c>
      <c r="E30">
        <f>COUNTIFS([3]!players[name],A30,[3]!players[hero_name],B30, [3]!players[win], 1)</f>
        <v>1</v>
      </c>
      <c r="F30" s="1">
        <f t="shared" si="0"/>
        <v>0.5</v>
      </c>
      <c r="G30" s="2">
        <f>AVERAGEIFS([3]!players[gold_per_min], [3]!players[name],A30,[3]!players[hero_name],B30)</f>
        <v>654.5</v>
      </c>
      <c r="H30" s="2">
        <f>AVERAGEIFS([3]!players[xp_per_min], [3]!players[name],A30,[3]!players[hero_name],B30)</f>
        <v>839</v>
      </c>
    </row>
    <row r="31" spans="1:8" x14ac:dyDescent="0.3">
      <c r="A31" t="str">
        <v>23savage</v>
      </c>
      <c r="B31" t="str">
        <v>Morphling</v>
      </c>
      <c r="C31" t="str" cm="1">
        <f t="array" ref="C31">_xlfn.XLOOKUP(1,([3]!players[name]=A31)*([3]!players[hero_name]=B31),[3]!players[lane_name])</f>
        <v>Carry</v>
      </c>
      <c r="D31">
        <f>COUNTIFS([3]!players[name],A31,[3]!players[hero_name],B31)</f>
        <v>1</v>
      </c>
      <c r="E31">
        <f>COUNTIFS([3]!players[name],A31,[3]!players[hero_name],B31, [3]!players[win], 1)</f>
        <v>0</v>
      </c>
      <c r="F31" s="1">
        <f t="shared" si="0"/>
        <v>0</v>
      </c>
      <c r="G31" s="2">
        <f>AVERAGEIFS([3]!players[gold_per_min], [3]!players[name],A31,[3]!players[hero_name],B31)</f>
        <v>648</v>
      </c>
      <c r="H31" s="2">
        <f>AVERAGEIFS([3]!players[xp_per_min], [3]!players[name],A31,[3]!players[hero_name],B31)</f>
        <v>690</v>
      </c>
    </row>
    <row r="32" spans="1:8" x14ac:dyDescent="0.3">
      <c r="A32" t="str">
        <v>23savage</v>
      </c>
      <c r="B32" t="str">
        <v>Faceless Void</v>
      </c>
      <c r="C32" t="str" cm="1">
        <f t="array" ref="C32">_xlfn.XLOOKUP(1,([3]!players[name]=A32)*([3]!players[hero_name]=B32),[3]!players[lane_name])</f>
        <v>Carry</v>
      </c>
      <c r="D32">
        <f>COUNTIFS([3]!players[name],A32,[3]!players[hero_name],B32)</f>
        <v>3</v>
      </c>
      <c r="E32">
        <f>COUNTIFS([3]!players[name],A32,[3]!players[hero_name],B32, [3]!players[win], 1)</f>
        <v>2</v>
      </c>
      <c r="F32" s="1">
        <f t="shared" si="0"/>
        <v>0.66666666666666663</v>
      </c>
      <c r="G32" s="2">
        <f>AVERAGEIFS([3]!players[gold_per_min], [3]!players[name],A32,[3]!players[hero_name],B32)</f>
        <v>648.66666666666663</v>
      </c>
      <c r="H32" s="2">
        <f>AVERAGEIFS([3]!players[xp_per_min], [3]!players[name],A32,[3]!players[hero_name],B32)</f>
        <v>794.66666666666663</v>
      </c>
    </row>
    <row r="33" spans="1:8" x14ac:dyDescent="0.3">
      <c r="A33" t="str">
        <v>23savage</v>
      </c>
      <c r="B33" t="str">
        <v>Monkey King</v>
      </c>
      <c r="C33" t="str" cm="1">
        <f t="array" ref="C33">_xlfn.XLOOKUP(1,([3]!players[name]=A33)*([3]!players[hero_name]=B33),[3]!players[lane_name])</f>
        <v>Carry</v>
      </c>
      <c r="D33">
        <f>COUNTIFS([3]!players[name],A33,[3]!players[hero_name],B33)</f>
        <v>2</v>
      </c>
      <c r="E33">
        <f>COUNTIFS([3]!players[name],A33,[3]!players[hero_name],B33, [3]!players[win], 1)</f>
        <v>2</v>
      </c>
      <c r="F33" s="1">
        <f t="shared" si="0"/>
        <v>1</v>
      </c>
      <c r="G33" s="2">
        <f>AVERAGEIFS([3]!players[gold_per_min], [3]!players[name],A33,[3]!players[hero_name],B33)</f>
        <v>770</v>
      </c>
      <c r="H33" s="2">
        <f>AVERAGEIFS([3]!players[xp_per_min], [3]!players[name],A33,[3]!players[hero_name],B33)</f>
        <v>1080.5</v>
      </c>
    </row>
    <row r="34" spans="1:8" x14ac:dyDescent="0.3">
      <c r="A34" t="str">
        <v>23savage</v>
      </c>
      <c r="B34" t="str">
        <v>Slark</v>
      </c>
      <c r="C34" t="str" cm="1">
        <f t="array" ref="C34">_xlfn.XLOOKUP(1,([3]!players[name]=A34)*([3]!players[hero_name]=B34),[3]!players[lane_name])</f>
        <v>Carry</v>
      </c>
      <c r="D34">
        <f>COUNTIFS([3]!players[name],A34,[3]!players[hero_name],B34)</f>
        <v>2</v>
      </c>
      <c r="E34">
        <f>COUNTIFS([3]!players[name],A34,[3]!players[hero_name],B34, [3]!players[win], 1)</f>
        <v>2</v>
      </c>
      <c r="F34" s="1">
        <f t="shared" si="0"/>
        <v>1</v>
      </c>
      <c r="G34" s="2">
        <f>AVERAGEIFS([3]!players[gold_per_min], [3]!players[name],A34,[3]!players[hero_name],B34)</f>
        <v>656.5</v>
      </c>
      <c r="H34" s="2">
        <f>AVERAGEIFS([3]!players[xp_per_min], [3]!players[name],A34,[3]!players[hero_name],B34)</f>
        <v>743</v>
      </c>
    </row>
    <row r="35" spans="1:8" x14ac:dyDescent="0.3">
      <c r="A35" t="str">
        <v>23savage</v>
      </c>
      <c r="B35" t="str">
        <v>Muerta</v>
      </c>
      <c r="C35" t="str" cm="1">
        <f t="array" ref="C35">_xlfn.XLOOKUP(1,([3]!players[name]=A35)*([3]!players[hero_name]=B35),[3]!players[lane_name])</f>
        <v>Carry</v>
      </c>
      <c r="D35">
        <f>COUNTIFS([3]!players[name],A35,[3]!players[hero_name],B35)</f>
        <v>1</v>
      </c>
      <c r="E35">
        <f>COUNTIFS([3]!players[name],A35,[3]!players[hero_name],B35, [3]!players[win], 1)</f>
        <v>0</v>
      </c>
      <c r="F35" s="1">
        <f t="shared" si="0"/>
        <v>0</v>
      </c>
      <c r="G35" s="2">
        <f>AVERAGEIFS([3]!players[gold_per_min], [3]!players[name],A35,[3]!players[hero_name],B35)</f>
        <v>694</v>
      </c>
      <c r="H35" s="2">
        <f>AVERAGEIFS([3]!players[xp_per_min], [3]!players[name],A35,[3]!players[hero_name],B35)</f>
        <v>876</v>
      </c>
    </row>
    <row r="36" spans="1:8" x14ac:dyDescent="0.3">
      <c r="A36" t="str">
        <v>23savage</v>
      </c>
      <c r="B36" t="str">
        <v>Gyrocopter</v>
      </c>
      <c r="C36" t="str" cm="1">
        <f t="array" ref="C36">_xlfn.XLOOKUP(1,([3]!players[name]=A36)*([3]!players[hero_name]=B36),[3]!players[lane_name])</f>
        <v>Carry</v>
      </c>
      <c r="D36">
        <f>COUNTIFS([3]!players[name],A36,[3]!players[hero_name],B36)</f>
        <v>1</v>
      </c>
      <c r="E36">
        <f>COUNTIFS([3]!players[name],A36,[3]!players[hero_name],B36, [3]!players[win], 1)</f>
        <v>1</v>
      </c>
      <c r="F36" s="1">
        <f t="shared" si="0"/>
        <v>1</v>
      </c>
      <c r="G36" s="2">
        <f>AVERAGEIFS([3]!players[gold_per_min], [3]!players[name],A36,[3]!players[hero_name],B36)</f>
        <v>841</v>
      </c>
      <c r="H36" s="2">
        <f>AVERAGEIFS([3]!players[xp_per_min], [3]!players[name],A36,[3]!players[hero_name],B36)</f>
        <v>908</v>
      </c>
    </row>
    <row r="37" spans="1:8" x14ac:dyDescent="0.3">
      <c r="A37" t="str">
        <v>23savage</v>
      </c>
      <c r="B37" t="str">
        <v>Terrorblade</v>
      </c>
      <c r="C37" t="str" cm="1">
        <f t="array" ref="C37">_xlfn.XLOOKUP(1,([3]!players[name]=A37)*([3]!players[hero_name]=B37),[3]!players[lane_name])</f>
        <v>Carry</v>
      </c>
      <c r="D37">
        <f>COUNTIFS([3]!players[name],A37,[3]!players[hero_name],B37)</f>
        <v>1</v>
      </c>
      <c r="E37">
        <f>COUNTIFS([3]!players[name],A37,[3]!players[hero_name],B37, [3]!players[win], 1)</f>
        <v>0</v>
      </c>
      <c r="F37" s="1">
        <f t="shared" si="0"/>
        <v>0</v>
      </c>
      <c r="G37" s="2">
        <f>AVERAGEIFS([3]!players[gold_per_min], [3]!players[name],A37,[3]!players[hero_name],B37)</f>
        <v>657</v>
      </c>
      <c r="H37" s="2">
        <f>AVERAGEIFS([3]!players[xp_per_min], [3]!players[name],A37,[3]!players[hero_name],B37)</f>
        <v>693</v>
      </c>
    </row>
    <row r="38" spans="1:8" x14ac:dyDescent="0.3">
      <c r="A38" t="str">
        <v>7eeeeeee</v>
      </c>
      <c r="B38" t="str">
        <v>Ember Spirit</v>
      </c>
      <c r="C38" t="str" cm="1">
        <f t="array" ref="C38">_xlfn.XLOOKUP(1,([3]!players[name]=A38)*([3]!players[hero_name]=B38),[3]!players[lane_name])</f>
        <v>Mid</v>
      </c>
      <c r="D38">
        <f>COUNTIFS([3]!players[name],A38,[3]!players[hero_name],B38)</f>
        <v>3</v>
      </c>
      <c r="E38">
        <f>COUNTIFS([3]!players[name],A38,[3]!players[hero_name],B38, [3]!players[win], 1)</f>
        <v>1</v>
      </c>
      <c r="F38" s="1">
        <f t="shared" si="0"/>
        <v>0.33333333333333331</v>
      </c>
      <c r="G38" s="2">
        <f>AVERAGEIFS([3]!players[gold_per_min], [3]!players[name],A38,[3]!players[hero_name],B38)</f>
        <v>431</v>
      </c>
      <c r="H38" s="2">
        <f>AVERAGEIFS([3]!players[xp_per_min], [3]!players[name],A38,[3]!players[hero_name],B38)</f>
        <v>564</v>
      </c>
    </row>
    <row r="39" spans="1:8" x14ac:dyDescent="0.3">
      <c r="A39" t="str">
        <v>7eeeeeee</v>
      </c>
      <c r="B39" t="str">
        <v>Earth Spirit</v>
      </c>
      <c r="C39" t="str" cm="1">
        <f t="array" ref="C39">_xlfn.XLOOKUP(1,([3]!players[name]=A39)*([3]!players[hero_name]=B39),[3]!players[lane_name])</f>
        <v>Mid</v>
      </c>
      <c r="D39">
        <f>COUNTIFS([3]!players[name],A39,[3]!players[hero_name],B39)</f>
        <v>1</v>
      </c>
      <c r="E39">
        <f>COUNTIFS([3]!players[name],A39,[3]!players[hero_name],B39, [3]!players[win], 1)</f>
        <v>0</v>
      </c>
      <c r="F39" s="1">
        <f t="shared" si="0"/>
        <v>0</v>
      </c>
      <c r="G39" s="2">
        <f>AVERAGEIFS([3]!players[gold_per_min], [3]!players[name],A39,[3]!players[hero_name],B39)</f>
        <v>422</v>
      </c>
      <c r="H39" s="2">
        <f>AVERAGEIFS([3]!players[xp_per_min], [3]!players[name],A39,[3]!players[hero_name],B39)</f>
        <v>527</v>
      </c>
    </row>
    <row r="40" spans="1:8" x14ac:dyDescent="0.3">
      <c r="A40" t="str">
        <v>7eeeeeee</v>
      </c>
      <c r="B40" t="str">
        <v>Sand King</v>
      </c>
      <c r="C40" t="str" cm="1">
        <f t="array" ref="C40">_xlfn.XLOOKUP(1,([3]!players[name]=A40)*([3]!players[hero_name]=B40),[3]!players[lane_name])</f>
        <v>Mid</v>
      </c>
      <c r="D40">
        <f>COUNTIFS([3]!players[name],A40,[3]!players[hero_name],B40)</f>
        <v>3</v>
      </c>
      <c r="E40">
        <f>COUNTIFS([3]!players[name],A40,[3]!players[hero_name],B40, [3]!players[win], 1)</f>
        <v>2</v>
      </c>
      <c r="F40" s="1">
        <f t="shared" si="0"/>
        <v>0.66666666666666663</v>
      </c>
      <c r="G40" s="2">
        <f>AVERAGEIFS([3]!players[gold_per_min], [3]!players[name],A40,[3]!players[hero_name],B40)</f>
        <v>553.33333333333337</v>
      </c>
      <c r="H40" s="2">
        <f>AVERAGEIFS([3]!players[xp_per_min], [3]!players[name],A40,[3]!players[hero_name],B40)</f>
        <v>729</v>
      </c>
    </row>
    <row r="41" spans="1:8" x14ac:dyDescent="0.3">
      <c r="A41" t="str">
        <v>7eeeeeee</v>
      </c>
      <c r="B41" t="str">
        <v>Leshrac</v>
      </c>
      <c r="C41" t="str" cm="1">
        <f t="array" ref="C41">_xlfn.XLOOKUP(1,([3]!players[name]=A41)*([3]!players[hero_name]=B41),[3]!players[lane_name])</f>
        <v>Mid</v>
      </c>
      <c r="D41">
        <f>COUNTIFS([3]!players[name],A41,[3]!players[hero_name],B41)</f>
        <v>1</v>
      </c>
      <c r="E41">
        <f>COUNTIFS([3]!players[name],A41,[3]!players[hero_name],B41, [3]!players[win], 1)</f>
        <v>0</v>
      </c>
      <c r="F41" s="1">
        <f t="shared" si="0"/>
        <v>0</v>
      </c>
      <c r="G41" s="2">
        <f>AVERAGEIFS([3]!players[gold_per_min], [3]!players[name],A41,[3]!players[hero_name],B41)</f>
        <v>429</v>
      </c>
      <c r="H41" s="2">
        <f>AVERAGEIFS([3]!players[xp_per_min], [3]!players[name],A41,[3]!players[hero_name],B41)</f>
        <v>445</v>
      </c>
    </row>
    <row r="42" spans="1:8" x14ac:dyDescent="0.3">
      <c r="A42" t="str">
        <v>7eeeeeee</v>
      </c>
      <c r="B42" t="str">
        <v>Bristleback</v>
      </c>
      <c r="C42" t="str" cm="1">
        <f t="array" ref="C42">_xlfn.XLOOKUP(1,([3]!players[name]=A42)*([3]!players[hero_name]=B42),[3]!players[lane_name])</f>
        <v>Mid</v>
      </c>
      <c r="D42">
        <f>COUNTIFS([3]!players[name],A42,[3]!players[hero_name],B42)</f>
        <v>1</v>
      </c>
      <c r="E42">
        <f>COUNTIFS([3]!players[name],A42,[3]!players[hero_name],B42, [3]!players[win], 1)</f>
        <v>1</v>
      </c>
      <c r="F42" s="1">
        <f t="shared" si="0"/>
        <v>1</v>
      </c>
      <c r="G42" s="2">
        <f>AVERAGEIFS([3]!players[gold_per_min], [3]!players[name],A42,[3]!players[hero_name],B42)</f>
        <v>604</v>
      </c>
      <c r="H42" s="2">
        <f>AVERAGEIFS([3]!players[xp_per_min], [3]!players[name],A42,[3]!players[hero_name],B42)</f>
        <v>733</v>
      </c>
    </row>
    <row r="43" spans="1:8" x14ac:dyDescent="0.3">
      <c r="A43" t="str">
        <v>7eeeeeee</v>
      </c>
      <c r="B43" t="str">
        <v>Beastmaster</v>
      </c>
      <c r="C43" t="str" cm="1">
        <f t="array" ref="C43">_xlfn.XLOOKUP(1,([3]!players[name]=A43)*([3]!players[hero_name]=B43),[3]!players[lane_name])</f>
        <v>Mid</v>
      </c>
      <c r="D43">
        <f>COUNTIFS([3]!players[name],A43,[3]!players[hero_name],B43)</f>
        <v>6</v>
      </c>
      <c r="E43">
        <f>COUNTIFS([3]!players[name],A43,[3]!players[hero_name],B43, [3]!players[win], 1)</f>
        <v>4</v>
      </c>
      <c r="F43" s="1">
        <f t="shared" si="0"/>
        <v>0.66666666666666663</v>
      </c>
      <c r="G43" s="2">
        <f>AVERAGEIFS([3]!players[gold_per_min], [3]!players[name],A43,[3]!players[hero_name],B43)</f>
        <v>623</v>
      </c>
      <c r="H43" s="2">
        <f>AVERAGEIFS([3]!players[xp_per_min], [3]!players[name],A43,[3]!players[hero_name],B43)</f>
        <v>811</v>
      </c>
    </row>
    <row r="44" spans="1:8" x14ac:dyDescent="0.3">
      <c r="A44" t="str">
        <v>7eeeeeee</v>
      </c>
      <c r="B44" t="str">
        <v>Void Spirit</v>
      </c>
      <c r="C44" t="str" cm="1">
        <f t="array" ref="C44">_xlfn.XLOOKUP(1,([3]!players[name]=A44)*([3]!players[hero_name]=B44),[3]!players[lane_name])</f>
        <v>Mid</v>
      </c>
      <c r="D44">
        <f>COUNTIFS([3]!players[name],A44,[3]!players[hero_name],B44)</f>
        <v>1</v>
      </c>
      <c r="E44">
        <f>COUNTIFS([3]!players[name],A44,[3]!players[hero_name],B44, [3]!players[win], 1)</f>
        <v>0</v>
      </c>
      <c r="F44" s="1">
        <f t="shared" si="0"/>
        <v>0</v>
      </c>
      <c r="G44" s="2">
        <f>AVERAGEIFS([3]!players[gold_per_min], [3]!players[name],A44,[3]!players[hero_name],B44)</f>
        <v>309</v>
      </c>
      <c r="H44" s="2">
        <f>AVERAGEIFS([3]!players[xp_per_min], [3]!players[name],A44,[3]!players[hero_name],B44)</f>
        <v>355</v>
      </c>
    </row>
    <row r="45" spans="1:8" x14ac:dyDescent="0.3">
      <c r="A45" t="str">
        <v>7eeeeeee</v>
      </c>
      <c r="B45" t="str">
        <v>Slardar</v>
      </c>
      <c r="C45" t="str" cm="1">
        <f t="array" ref="C45">_xlfn.XLOOKUP(1,([3]!players[name]=A45)*([3]!players[hero_name]=B45),[3]!players[lane_name])</f>
        <v>Mid</v>
      </c>
      <c r="D45">
        <f>COUNTIFS([3]!players[name],A45,[3]!players[hero_name],B45)</f>
        <v>1</v>
      </c>
      <c r="E45">
        <f>COUNTIFS([3]!players[name],A45,[3]!players[hero_name],B45, [3]!players[win], 1)</f>
        <v>0</v>
      </c>
      <c r="F45" s="1">
        <f t="shared" si="0"/>
        <v>0</v>
      </c>
      <c r="G45" s="2">
        <f>AVERAGEIFS([3]!players[gold_per_min], [3]!players[name],A45,[3]!players[hero_name],B45)</f>
        <v>336</v>
      </c>
      <c r="H45" s="2">
        <f>AVERAGEIFS([3]!players[xp_per_min], [3]!players[name],A45,[3]!players[hero_name],B45)</f>
        <v>413</v>
      </c>
    </row>
    <row r="46" spans="1:8" x14ac:dyDescent="0.3">
      <c r="A46" t="str">
        <v>7eeeeeee</v>
      </c>
      <c r="B46" t="str">
        <v>Puck</v>
      </c>
      <c r="C46" t="str" cm="1">
        <f t="array" ref="C46">_xlfn.XLOOKUP(1,([3]!players[name]=A46)*([3]!players[hero_name]=B46),[3]!players[lane_name])</f>
        <v>Mid</v>
      </c>
      <c r="D46">
        <f>COUNTIFS([3]!players[name],A46,[3]!players[hero_name],B46)</f>
        <v>1</v>
      </c>
      <c r="E46">
        <f>COUNTIFS([3]!players[name],A46,[3]!players[hero_name],B46, [3]!players[win], 1)</f>
        <v>1</v>
      </c>
      <c r="F46" s="1">
        <f t="shared" si="0"/>
        <v>1</v>
      </c>
      <c r="G46" s="2">
        <f>AVERAGEIFS([3]!players[gold_per_min], [3]!players[name],A46,[3]!players[hero_name],B46)</f>
        <v>625</v>
      </c>
      <c r="H46" s="2">
        <f>AVERAGEIFS([3]!players[xp_per_min], [3]!players[name],A46,[3]!players[hero_name],B46)</f>
        <v>917</v>
      </c>
    </row>
    <row r="47" spans="1:8" x14ac:dyDescent="0.3">
      <c r="A47" t="str">
        <v>7eeeeeee</v>
      </c>
      <c r="B47" t="str">
        <v>Storm Spirit</v>
      </c>
      <c r="C47" t="str" cm="1">
        <f t="array" ref="C47">_xlfn.XLOOKUP(1,([3]!players[name]=A47)*([3]!players[hero_name]=B47),[3]!players[lane_name])</f>
        <v>Mid</v>
      </c>
      <c r="D47">
        <f>COUNTIFS([3]!players[name],A47,[3]!players[hero_name],B47)</f>
        <v>2</v>
      </c>
      <c r="E47">
        <f>COUNTIFS([3]!players[name],A47,[3]!players[hero_name],B47, [3]!players[win], 1)</f>
        <v>1</v>
      </c>
      <c r="F47" s="1">
        <f t="shared" si="0"/>
        <v>0.5</v>
      </c>
      <c r="G47" s="2">
        <f>AVERAGEIFS([3]!players[gold_per_min], [3]!players[name],A47,[3]!players[hero_name],B47)</f>
        <v>503</v>
      </c>
      <c r="H47" s="2">
        <f>AVERAGEIFS([3]!players[xp_per_min], [3]!players[name],A47,[3]!players[hero_name],B47)</f>
        <v>681.5</v>
      </c>
    </row>
    <row r="48" spans="1:8" x14ac:dyDescent="0.3">
      <c r="A48" t="str">
        <v>7eeeeeee</v>
      </c>
      <c r="B48" t="str">
        <v>Viper</v>
      </c>
      <c r="C48" t="str" cm="1">
        <f t="array" ref="C48">_xlfn.XLOOKUP(1,([3]!players[name]=A48)*([3]!players[hero_name]=B48),[3]!players[lane_name])</f>
        <v>Mid</v>
      </c>
      <c r="D48">
        <f>COUNTIFS([3]!players[name],A48,[3]!players[hero_name],B48)</f>
        <v>1</v>
      </c>
      <c r="E48">
        <f>COUNTIFS([3]!players[name],A48,[3]!players[hero_name],B48, [3]!players[win], 1)</f>
        <v>1</v>
      </c>
      <c r="F48" s="1">
        <f t="shared" si="0"/>
        <v>1</v>
      </c>
      <c r="G48" s="2">
        <f>AVERAGEIFS([3]!players[gold_per_min], [3]!players[name],A48,[3]!players[hero_name],B48)</f>
        <v>529</v>
      </c>
      <c r="H48" s="2">
        <f>AVERAGEIFS([3]!players[xp_per_min], [3]!players[name],A48,[3]!players[hero_name],B48)</f>
        <v>606</v>
      </c>
    </row>
    <row r="49" spans="1:8" x14ac:dyDescent="0.3">
      <c r="A49" t="str">
        <v>9Class</v>
      </c>
      <c r="B49" t="str">
        <v>Io</v>
      </c>
      <c r="C49" t="str" cm="1">
        <f t="array" ref="C49">_xlfn.XLOOKUP(1,([3]!players[name]=A49)*([3]!players[hero_name]=B49),[3]!players[lane_name])</f>
        <v>Soft Support</v>
      </c>
      <c r="D49">
        <f>COUNTIFS([3]!players[name],A49,[3]!players[hero_name],B49)</f>
        <v>2</v>
      </c>
      <c r="E49">
        <f>COUNTIFS([3]!players[name],A49,[3]!players[hero_name],B49, [3]!players[win], 1)</f>
        <v>2</v>
      </c>
      <c r="F49" s="1">
        <f t="shared" si="0"/>
        <v>1</v>
      </c>
      <c r="G49" s="2">
        <f>AVERAGEIFS([3]!players[gold_per_min], [3]!players[name],A49,[3]!players[hero_name],B49)</f>
        <v>494.5</v>
      </c>
      <c r="H49" s="2">
        <f>AVERAGEIFS([3]!players[xp_per_min], [3]!players[name],A49,[3]!players[hero_name],B49)</f>
        <v>664.5</v>
      </c>
    </row>
    <row r="50" spans="1:8" x14ac:dyDescent="0.3">
      <c r="A50" t="str">
        <v>9Class</v>
      </c>
      <c r="B50" t="str">
        <v>Leshrac</v>
      </c>
      <c r="C50" t="str" cm="1">
        <f t="array" ref="C50">_xlfn.XLOOKUP(1,([3]!players[name]=A50)*([3]!players[hero_name]=B50),[3]!players[lane_name])</f>
        <v>Soft Support</v>
      </c>
      <c r="D50">
        <f>COUNTIFS([3]!players[name],A50,[3]!players[hero_name],B50)</f>
        <v>7</v>
      </c>
      <c r="E50">
        <f>COUNTIFS([3]!players[name],A50,[3]!players[hero_name],B50, [3]!players[win], 1)</f>
        <v>6</v>
      </c>
      <c r="F50" s="1">
        <f t="shared" si="0"/>
        <v>0.8571428571428571</v>
      </c>
      <c r="G50" s="2">
        <f>AVERAGEIFS([3]!players[gold_per_min], [3]!players[name],A50,[3]!players[hero_name],B50)</f>
        <v>456.42857142857144</v>
      </c>
      <c r="H50" s="2">
        <f>AVERAGEIFS([3]!players[xp_per_min], [3]!players[name],A50,[3]!players[hero_name],B50)</f>
        <v>583.85714285714289</v>
      </c>
    </row>
    <row r="51" spans="1:8" x14ac:dyDescent="0.3">
      <c r="A51" t="str">
        <v>9Class</v>
      </c>
      <c r="B51" t="str">
        <v>Rubick</v>
      </c>
      <c r="C51" t="str" cm="1">
        <f t="array" ref="C51">_xlfn.XLOOKUP(1,([3]!players[name]=A51)*([3]!players[hero_name]=B51),[3]!players[lane_name])</f>
        <v>Soft Support</v>
      </c>
      <c r="D51">
        <f>COUNTIFS([3]!players[name],A51,[3]!players[hero_name],B51)</f>
        <v>7</v>
      </c>
      <c r="E51">
        <f>COUNTIFS([3]!players[name],A51,[3]!players[hero_name],B51, [3]!players[win], 1)</f>
        <v>5</v>
      </c>
      <c r="F51" s="1">
        <f t="shared" si="0"/>
        <v>0.7142857142857143</v>
      </c>
      <c r="G51" s="2">
        <f>AVERAGEIFS([3]!players[gold_per_min], [3]!players[name],A51,[3]!players[hero_name],B51)</f>
        <v>403.57142857142856</v>
      </c>
      <c r="H51" s="2">
        <f>AVERAGEIFS([3]!players[xp_per_min], [3]!players[name],A51,[3]!players[hero_name],B51)</f>
        <v>494.57142857142856</v>
      </c>
    </row>
    <row r="52" spans="1:8" x14ac:dyDescent="0.3">
      <c r="A52" t="str">
        <v>9Class</v>
      </c>
      <c r="B52" t="str">
        <v>Muerta</v>
      </c>
      <c r="C52" t="str" cm="1">
        <f t="array" ref="C52">_xlfn.XLOOKUP(1,([3]!players[name]=A52)*([3]!players[hero_name]=B52),[3]!players[lane_name])</f>
        <v>Soft Support</v>
      </c>
      <c r="D52">
        <f>COUNTIFS([3]!players[name],A52,[3]!players[hero_name],B52)</f>
        <v>1</v>
      </c>
      <c r="E52">
        <f>COUNTIFS([3]!players[name],A52,[3]!players[hero_name],B52, [3]!players[win], 1)</f>
        <v>1</v>
      </c>
      <c r="F52" s="1">
        <f t="shared" si="0"/>
        <v>1</v>
      </c>
      <c r="G52" s="2">
        <f>AVERAGEIFS([3]!players[gold_per_min], [3]!players[name],A52,[3]!players[hero_name],B52)</f>
        <v>419</v>
      </c>
      <c r="H52" s="2">
        <f>AVERAGEIFS([3]!players[xp_per_min], [3]!players[name],A52,[3]!players[hero_name],B52)</f>
        <v>508</v>
      </c>
    </row>
    <row r="53" spans="1:8" x14ac:dyDescent="0.3">
      <c r="A53" t="str">
        <v>9Class</v>
      </c>
      <c r="B53" t="str">
        <v>Keeper of the Light</v>
      </c>
      <c r="C53" t="str" cm="1">
        <f t="array" ref="C53">_xlfn.XLOOKUP(1,([3]!players[name]=A53)*([3]!players[hero_name]=B53),[3]!players[lane_name])</f>
        <v>Roam</v>
      </c>
      <c r="D53">
        <f>COUNTIFS([3]!players[name],A53,[3]!players[hero_name],B53)</f>
        <v>8</v>
      </c>
      <c r="E53">
        <f>COUNTIFS([3]!players[name],A53,[3]!players[hero_name],B53, [3]!players[win], 1)</f>
        <v>6</v>
      </c>
      <c r="F53" s="1">
        <f t="shared" si="0"/>
        <v>0.75</v>
      </c>
      <c r="G53" s="2">
        <f>AVERAGEIFS([3]!players[gold_per_min], [3]!players[name],A53,[3]!players[hero_name],B53)</f>
        <v>364.125</v>
      </c>
      <c r="H53" s="2">
        <f>AVERAGEIFS([3]!players[xp_per_min], [3]!players[name],A53,[3]!players[hero_name],B53)</f>
        <v>457.75</v>
      </c>
    </row>
    <row r="54" spans="1:8" x14ac:dyDescent="0.3">
      <c r="A54" t="str">
        <v>9Class</v>
      </c>
      <c r="B54" t="str">
        <v>Monkey King</v>
      </c>
      <c r="C54" t="str" cm="1">
        <f t="array" ref="C54">_xlfn.XLOOKUP(1,([3]!players[name]=A54)*([3]!players[hero_name]=B54),[3]!players[lane_name])</f>
        <v>Roam</v>
      </c>
      <c r="D54">
        <f>COUNTIFS([3]!players[name],A54,[3]!players[hero_name],B54)</f>
        <v>2</v>
      </c>
      <c r="E54">
        <f>COUNTIFS([3]!players[name],A54,[3]!players[hero_name],B54, [3]!players[win], 1)</f>
        <v>1</v>
      </c>
      <c r="F54" s="1">
        <f t="shared" si="0"/>
        <v>0.5</v>
      </c>
      <c r="G54" s="2">
        <f>AVERAGEIFS([3]!players[gold_per_min], [3]!players[name],A54,[3]!players[hero_name],B54)</f>
        <v>303</v>
      </c>
      <c r="H54" s="2">
        <f>AVERAGEIFS([3]!players[xp_per_min], [3]!players[name],A54,[3]!players[hero_name],B54)</f>
        <v>485</v>
      </c>
    </row>
    <row r="55" spans="1:8" x14ac:dyDescent="0.3">
      <c r="A55" t="str">
        <v>9Class</v>
      </c>
      <c r="B55" t="str">
        <v>Enchantress</v>
      </c>
      <c r="C55" t="str" cm="1">
        <f t="array" ref="C55">_xlfn.XLOOKUP(1,([3]!players[name]=A55)*([3]!players[hero_name]=B55),[3]!players[lane_name])</f>
        <v>Soft Support</v>
      </c>
      <c r="D55">
        <f>COUNTIFS([3]!players[name],A55,[3]!players[hero_name],B55)</f>
        <v>2</v>
      </c>
      <c r="E55">
        <f>COUNTIFS([3]!players[name],A55,[3]!players[hero_name],B55, [3]!players[win], 1)</f>
        <v>2</v>
      </c>
      <c r="F55" s="1">
        <f t="shared" si="0"/>
        <v>1</v>
      </c>
      <c r="G55" s="2">
        <f>AVERAGEIFS([3]!players[gold_per_min], [3]!players[name],A55,[3]!players[hero_name],B55)</f>
        <v>435</v>
      </c>
      <c r="H55" s="2">
        <f>AVERAGEIFS([3]!players[xp_per_min], [3]!players[name],A55,[3]!players[hero_name],B55)</f>
        <v>471</v>
      </c>
    </row>
    <row r="56" spans="1:8" x14ac:dyDescent="0.3">
      <c r="A56" t="str">
        <v>9Class</v>
      </c>
      <c r="B56" t="str">
        <v>Lone Druid</v>
      </c>
      <c r="C56" t="str" cm="1">
        <f t="array" ref="C56">_xlfn.XLOOKUP(1,([3]!players[name]=A56)*([3]!players[hero_name]=B56),[3]!players[lane_name])</f>
        <v>Soft Support</v>
      </c>
      <c r="D56">
        <f>COUNTIFS([3]!players[name],A56,[3]!players[hero_name],B56)</f>
        <v>1</v>
      </c>
      <c r="E56">
        <f>COUNTIFS([3]!players[name],A56,[3]!players[hero_name],B56, [3]!players[win], 1)</f>
        <v>0</v>
      </c>
      <c r="F56" s="1">
        <f t="shared" si="0"/>
        <v>0</v>
      </c>
      <c r="G56" s="2">
        <f>AVERAGEIFS([3]!players[gold_per_min], [3]!players[name],A56,[3]!players[hero_name],B56)</f>
        <v>351</v>
      </c>
      <c r="H56" s="2">
        <f>AVERAGEIFS([3]!players[xp_per_min], [3]!players[name],A56,[3]!players[hero_name],B56)</f>
        <v>437</v>
      </c>
    </row>
    <row r="57" spans="1:8" x14ac:dyDescent="0.3">
      <c r="A57" t="str">
        <v>9Class</v>
      </c>
      <c r="B57" t="str">
        <v>Ringmaster</v>
      </c>
      <c r="C57" t="str" cm="1">
        <f t="array" ref="C57">_xlfn.XLOOKUP(1,([3]!players[name]=A57)*([3]!players[hero_name]=B57),[3]!players[lane_name])</f>
        <v>Hard Support</v>
      </c>
      <c r="D57">
        <f>COUNTIFS([3]!players[name],A57,[3]!players[hero_name],B57)</f>
        <v>1</v>
      </c>
      <c r="E57">
        <f>COUNTIFS([3]!players[name],A57,[3]!players[hero_name],B57, [3]!players[win], 1)</f>
        <v>0</v>
      </c>
      <c r="F57" s="1">
        <f t="shared" si="0"/>
        <v>0</v>
      </c>
      <c r="G57" s="2">
        <f>AVERAGEIFS([3]!players[gold_per_min], [3]!players[name],A57,[3]!players[hero_name],B57)</f>
        <v>322</v>
      </c>
      <c r="H57" s="2">
        <f>AVERAGEIFS([3]!players[xp_per_min], [3]!players[name],A57,[3]!players[hero_name],B57)</f>
        <v>456</v>
      </c>
    </row>
    <row r="58" spans="1:8" x14ac:dyDescent="0.3">
      <c r="A58" t="str">
        <v>å‘½é‹ reinprince</v>
      </c>
      <c r="B58" t="str">
        <v>Rubick</v>
      </c>
      <c r="C58" t="str" cm="1">
        <f t="array" ref="C58">_xlfn.XLOOKUP(1,([3]!players[name]=A58)*([3]!players[hero_name]=B58),[3]!players[lane_name])</f>
        <v>Roam</v>
      </c>
      <c r="D58">
        <f>COUNTIFS([3]!players[name],A58,[3]!players[hero_name],B58)</f>
        <v>6</v>
      </c>
      <c r="E58">
        <f>COUNTIFS([3]!players[name],A58,[3]!players[hero_name],B58, [3]!players[win], 1)</f>
        <v>4</v>
      </c>
      <c r="F58" s="1">
        <f t="shared" si="0"/>
        <v>0.66666666666666663</v>
      </c>
      <c r="G58" s="2">
        <f>AVERAGEIFS([3]!players[gold_per_min], [3]!players[name],A58,[3]!players[hero_name],B58)</f>
        <v>359.83333333333331</v>
      </c>
      <c r="H58" s="2">
        <f>AVERAGEIFS([3]!players[xp_per_min], [3]!players[name],A58,[3]!players[hero_name],B58)</f>
        <v>452.5</v>
      </c>
    </row>
    <row r="59" spans="1:8" x14ac:dyDescent="0.3">
      <c r="A59" t="str">
        <v>å‘½é‹ reinprince</v>
      </c>
      <c r="B59" t="str">
        <v>Snapfire</v>
      </c>
      <c r="C59" t="str" cm="1">
        <f t="array" ref="C59">_xlfn.XLOOKUP(1,([3]!players[name]=A59)*([3]!players[hero_name]=B59),[3]!players[lane_name])</f>
        <v>Soft Support</v>
      </c>
      <c r="D59">
        <f>COUNTIFS([3]!players[name],A59,[3]!players[hero_name],B59)</f>
        <v>1</v>
      </c>
      <c r="E59">
        <f>COUNTIFS([3]!players[name],A59,[3]!players[hero_name],B59, [3]!players[win], 1)</f>
        <v>0</v>
      </c>
      <c r="F59" s="1">
        <f t="shared" si="0"/>
        <v>0</v>
      </c>
      <c r="G59" s="2">
        <f>AVERAGEIFS([3]!players[gold_per_min], [3]!players[name],A59,[3]!players[hero_name],B59)</f>
        <v>370</v>
      </c>
      <c r="H59" s="2">
        <f>AVERAGEIFS([3]!players[xp_per_min], [3]!players[name],A59,[3]!players[hero_name],B59)</f>
        <v>397</v>
      </c>
    </row>
    <row r="60" spans="1:8" x14ac:dyDescent="0.3">
      <c r="A60" t="str">
        <v>å‘½é‹ reinprince</v>
      </c>
      <c r="B60" t="str">
        <v>Venomancer</v>
      </c>
      <c r="C60" t="str" cm="1">
        <f t="array" ref="C60">_xlfn.XLOOKUP(1,([3]!players[name]=A60)*([3]!players[hero_name]=B60),[3]!players[lane_name])</f>
        <v>Soft Support</v>
      </c>
      <c r="D60">
        <f>COUNTIFS([3]!players[name],A60,[3]!players[hero_name],B60)</f>
        <v>15</v>
      </c>
      <c r="E60">
        <f>COUNTIFS([3]!players[name],A60,[3]!players[hero_name],B60, [3]!players[win], 1)</f>
        <v>9</v>
      </c>
      <c r="F60" s="1">
        <f t="shared" si="0"/>
        <v>0.6</v>
      </c>
      <c r="G60" s="2">
        <f>AVERAGEIFS([3]!players[gold_per_min], [3]!players[name],A60,[3]!players[hero_name],B60)</f>
        <v>399.06666666666666</v>
      </c>
      <c r="H60" s="2">
        <f>AVERAGEIFS([3]!players[xp_per_min], [3]!players[name],A60,[3]!players[hero_name],B60)</f>
        <v>410.73333333333335</v>
      </c>
    </row>
    <row r="61" spans="1:8" x14ac:dyDescent="0.3">
      <c r="A61" t="str">
        <v>å‘½é‹ reinprince</v>
      </c>
      <c r="B61" t="str">
        <v>Pugna</v>
      </c>
      <c r="C61" t="str" cm="1">
        <f t="array" ref="C61">_xlfn.XLOOKUP(1,([3]!players[name]=A61)*([3]!players[hero_name]=B61),[3]!players[lane_name])</f>
        <v>Hard Support</v>
      </c>
      <c r="D61">
        <f>COUNTIFS([3]!players[name],A61,[3]!players[hero_name],B61)</f>
        <v>3</v>
      </c>
      <c r="E61">
        <f>COUNTIFS([3]!players[name],A61,[3]!players[hero_name],B61, [3]!players[win], 1)</f>
        <v>2</v>
      </c>
      <c r="F61" s="1">
        <f t="shared" si="0"/>
        <v>0.66666666666666663</v>
      </c>
      <c r="G61" s="2">
        <f>AVERAGEIFS([3]!players[gold_per_min], [3]!players[name],A61,[3]!players[hero_name],B61)</f>
        <v>359.33333333333331</v>
      </c>
      <c r="H61" s="2">
        <f>AVERAGEIFS([3]!players[xp_per_min], [3]!players[name],A61,[3]!players[hero_name],B61)</f>
        <v>498.66666666666669</v>
      </c>
    </row>
    <row r="62" spans="1:8" x14ac:dyDescent="0.3">
      <c r="A62" t="str">
        <v>å‘½é‹ reinprince</v>
      </c>
      <c r="B62" t="str">
        <v>Phoenix</v>
      </c>
      <c r="C62" t="str" cm="1">
        <f t="array" ref="C62">_xlfn.XLOOKUP(1,([3]!players[name]=A62)*([3]!players[hero_name]=B62),[3]!players[lane_name])</f>
        <v>Soft Support</v>
      </c>
      <c r="D62">
        <f>COUNTIFS([3]!players[name],A62,[3]!players[hero_name],B62)</f>
        <v>2</v>
      </c>
      <c r="E62">
        <f>COUNTIFS([3]!players[name],A62,[3]!players[hero_name],B62, [3]!players[win], 1)</f>
        <v>0</v>
      </c>
      <c r="F62" s="1">
        <f t="shared" si="0"/>
        <v>0</v>
      </c>
      <c r="G62" s="2">
        <f>AVERAGEIFS([3]!players[gold_per_min], [3]!players[name],A62,[3]!players[hero_name],B62)</f>
        <v>318.5</v>
      </c>
      <c r="H62" s="2">
        <f>AVERAGEIFS([3]!players[xp_per_min], [3]!players[name],A62,[3]!players[hero_name],B62)</f>
        <v>405.5</v>
      </c>
    </row>
    <row r="63" spans="1:8" x14ac:dyDescent="0.3">
      <c r="A63" t="str">
        <v>å‘½é‹ reinprince</v>
      </c>
      <c r="B63" t="str">
        <v>Enchantress</v>
      </c>
      <c r="C63" t="str" cm="1">
        <f t="array" ref="C63">_xlfn.XLOOKUP(1,([3]!players[name]=A63)*([3]!players[hero_name]=B63),[3]!players[lane_name])</f>
        <v>Roam</v>
      </c>
      <c r="D63">
        <f>COUNTIFS([3]!players[name],A63,[3]!players[hero_name],B63)</f>
        <v>5</v>
      </c>
      <c r="E63">
        <f>COUNTIFS([3]!players[name],A63,[3]!players[hero_name],B63, [3]!players[win], 1)</f>
        <v>2</v>
      </c>
      <c r="F63" s="1">
        <f t="shared" si="0"/>
        <v>0.4</v>
      </c>
      <c r="G63" s="2">
        <f>AVERAGEIFS([3]!players[gold_per_min], [3]!players[name],A63,[3]!players[hero_name],B63)</f>
        <v>364.2</v>
      </c>
      <c r="H63" s="2">
        <f>AVERAGEIFS([3]!players[xp_per_min], [3]!players[name],A63,[3]!players[hero_name],B63)</f>
        <v>467.8</v>
      </c>
    </row>
    <row r="64" spans="1:8" x14ac:dyDescent="0.3">
      <c r="A64" t="str">
        <v>å‘½é‹ reinprince</v>
      </c>
      <c r="B64" t="str">
        <v>Warlock</v>
      </c>
      <c r="C64" t="str" cm="1">
        <f t="array" ref="C64">_xlfn.XLOOKUP(1,([3]!players[name]=A64)*([3]!players[hero_name]=B64),[3]!players[lane_name])</f>
        <v>Soft Support</v>
      </c>
      <c r="D64">
        <f>COUNTIFS([3]!players[name],A64,[3]!players[hero_name],B64)</f>
        <v>4</v>
      </c>
      <c r="E64">
        <f>COUNTIFS([3]!players[name],A64,[3]!players[hero_name],B64, [3]!players[win], 1)</f>
        <v>0</v>
      </c>
      <c r="F64" s="1">
        <f t="shared" si="0"/>
        <v>0</v>
      </c>
      <c r="G64" s="2">
        <f>AVERAGEIFS([3]!players[gold_per_min], [3]!players[name],A64,[3]!players[hero_name],B64)</f>
        <v>341.25</v>
      </c>
      <c r="H64" s="2">
        <f>AVERAGEIFS([3]!players[xp_per_min], [3]!players[name],A64,[3]!players[hero_name],B64)</f>
        <v>353</v>
      </c>
    </row>
    <row r="65" spans="1:8" x14ac:dyDescent="0.3">
      <c r="A65" t="str">
        <v>å‘½é‹ reinprince</v>
      </c>
      <c r="B65" t="str">
        <v>Ringmaster</v>
      </c>
      <c r="C65" t="str" cm="1">
        <f t="array" ref="C65">_xlfn.XLOOKUP(1,([3]!players[name]=A65)*([3]!players[hero_name]=B65),[3]!players[lane_name])</f>
        <v>Hard Support</v>
      </c>
      <c r="D65">
        <f>COUNTIFS([3]!players[name],A65,[3]!players[hero_name],B65)</f>
        <v>1</v>
      </c>
      <c r="E65">
        <f>COUNTIFS([3]!players[name],A65,[3]!players[hero_name],B65, [3]!players[win], 1)</f>
        <v>0</v>
      </c>
      <c r="F65" s="1">
        <f t="shared" si="0"/>
        <v>0</v>
      </c>
      <c r="G65" s="2">
        <f>AVERAGEIFS([3]!players[gold_per_min], [3]!players[name],A65,[3]!players[hero_name],B65)</f>
        <v>201</v>
      </c>
      <c r="H65" s="2">
        <f>AVERAGEIFS([3]!players[xp_per_min], [3]!players[name],A65,[3]!players[hero_name],B65)</f>
        <v>231</v>
      </c>
    </row>
    <row r="66" spans="1:8" x14ac:dyDescent="0.3">
      <c r="A66" t="str">
        <v>å‘½é‹ reinprince</v>
      </c>
      <c r="B66" t="str">
        <v>Chen</v>
      </c>
      <c r="C66" t="str" cm="1">
        <f t="array" ref="C66">_xlfn.XLOOKUP(1,([3]!players[name]=A66)*([3]!players[hero_name]=B66),[3]!players[lane_name])</f>
        <v>Soft Support</v>
      </c>
      <c r="D66">
        <f>COUNTIFS([3]!players[name],A66,[3]!players[hero_name],B66)</f>
        <v>1</v>
      </c>
      <c r="E66">
        <f>COUNTIFS([3]!players[name],A66,[3]!players[hero_name],B66, [3]!players[win], 1)</f>
        <v>0</v>
      </c>
      <c r="F66" s="1">
        <f t="shared" si="0"/>
        <v>0</v>
      </c>
      <c r="G66" s="2">
        <f>AVERAGEIFS([3]!players[gold_per_min], [3]!players[name],A66,[3]!players[hero_name],B66)</f>
        <v>299</v>
      </c>
      <c r="H66" s="2">
        <f>AVERAGEIFS([3]!players[xp_per_min], [3]!players[name],A66,[3]!players[hero_name],B66)</f>
        <v>236</v>
      </c>
    </row>
    <row r="67" spans="1:8" x14ac:dyDescent="0.3">
      <c r="A67" t="str">
        <v>å‘½é‹ reinprince</v>
      </c>
      <c r="B67" t="str">
        <v>Lich</v>
      </c>
      <c r="C67" t="str" cm="1">
        <f t="array" ref="C67">_xlfn.XLOOKUP(1,([3]!players[name]=A67)*([3]!players[hero_name]=B67),[3]!players[lane_name])</f>
        <v>Hard Support</v>
      </c>
      <c r="D67">
        <f>COUNTIFS([3]!players[name],A67,[3]!players[hero_name],B67)</f>
        <v>5</v>
      </c>
      <c r="E67">
        <f>COUNTIFS([3]!players[name],A67,[3]!players[hero_name],B67, [3]!players[win], 1)</f>
        <v>4</v>
      </c>
      <c r="F67" s="1">
        <f t="shared" ref="F67:F130" si="1">E67/D67</f>
        <v>0.8</v>
      </c>
      <c r="G67" s="2">
        <f>AVERAGEIFS([3]!players[gold_per_min], [3]!players[name],A67,[3]!players[hero_name],B67)</f>
        <v>340.2</v>
      </c>
      <c r="H67" s="2">
        <f>AVERAGEIFS([3]!players[xp_per_min], [3]!players[name],A67,[3]!players[hero_name],B67)</f>
        <v>477.8</v>
      </c>
    </row>
    <row r="68" spans="1:8" x14ac:dyDescent="0.3">
      <c r="A68" t="str">
        <v>å‘½é‹ reinprince</v>
      </c>
      <c r="B68" t="str">
        <v>Treant Protector</v>
      </c>
      <c r="C68" t="str" cm="1">
        <f t="array" ref="C68">_xlfn.XLOOKUP(1,([3]!players[name]=A68)*([3]!players[hero_name]=B68),[3]!players[lane_name])</f>
        <v>Hard Support</v>
      </c>
      <c r="D68">
        <f>COUNTIFS([3]!players[name],A68,[3]!players[hero_name],B68)</f>
        <v>4</v>
      </c>
      <c r="E68">
        <f>COUNTIFS([3]!players[name],A68,[3]!players[hero_name],B68, [3]!players[win], 1)</f>
        <v>2</v>
      </c>
      <c r="F68" s="1">
        <f t="shared" si="1"/>
        <v>0.5</v>
      </c>
      <c r="G68" s="2">
        <f>AVERAGEIFS([3]!players[gold_per_min], [3]!players[name],A68,[3]!players[hero_name],B68)</f>
        <v>301.25</v>
      </c>
      <c r="H68" s="2">
        <f>AVERAGEIFS([3]!players[xp_per_min], [3]!players[name],A68,[3]!players[hero_name],B68)</f>
        <v>433</v>
      </c>
    </row>
    <row r="69" spans="1:8" x14ac:dyDescent="0.3">
      <c r="A69" t="str">
        <v>å‘½é‹ reinprince</v>
      </c>
      <c r="B69" t="str">
        <v>Bane</v>
      </c>
      <c r="C69" t="str" cm="1">
        <f t="array" ref="C69">_xlfn.XLOOKUP(1,([3]!players[name]=A69)*([3]!players[hero_name]=B69),[3]!players[lane_name])</f>
        <v>Roam</v>
      </c>
      <c r="D69">
        <f>COUNTIFS([3]!players[name],A69,[3]!players[hero_name],B69)</f>
        <v>1</v>
      </c>
      <c r="E69">
        <f>COUNTIFS([3]!players[name],A69,[3]!players[hero_name],B69, [3]!players[win], 1)</f>
        <v>1</v>
      </c>
      <c r="F69" s="1">
        <f t="shared" si="1"/>
        <v>1</v>
      </c>
      <c r="G69" s="2">
        <f>AVERAGEIFS([3]!players[gold_per_min], [3]!players[name],A69,[3]!players[hero_name],B69)</f>
        <v>293</v>
      </c>
      <c r="H69" s="2">
        <f>AVERAGEIFS([3]!players[xp_per_min], [3]!players[name],A69,[3]!players[hero_name],B69)</f>
        <v>355</v>
      </c>
    </row>
    <row r="70" spans="1:8" x14ac:dyDescent="0.3">
      <c r="A70" t="str">
        <v>å‘½é‹ reinprince</v>
      </c>
      <c r="B70" t="str">
        <v>Disruptor</v>
      </c>
      <c r="C70" t="str" cm="1">
        <f t="array" ref="C70">_xlfn.XLOOKUP(1,([3]!players[name]=A70)*([3]!players[hero_name]=B70),[3]!players[lane_name])</f>
        <v>Hard Support</v>
      </c>
      <c r="D70">
        <f>COUNTIFS([3]!players[name],A70,[3]!players[hero_name],B70)</f>
        <v>1</v>
      </c>
      <c r="E70">
        <f>COUNTIFS([3]!players[name],A70,[3]!players[hero_name],B70, [3]!players[win], 1)</f>
        <v>0</v>
      </c>
      <c r="F70" s="1">
        <f t="shared" si="1"/>
        <v>0</v>
      </c>
      <c r="G70" s="2">
        <f>AVERAGEIFS([3]!players[gold_per_min], [3]!players[name],A70,[3]!players[hero_name],B70)</f>
        <v>241</v>
      </c>
      <c r="H70" s="2">
        <f>AVERAGEIFS([3]!players[xp_per_min], [3]!players[name],A70,[3]!players[hero_name],B70)</f>
        <v>300</v>
      </c>
    </row>
    <row r="71" spans="1:8" x14ac:dyDescent="0.3">
      <c r="A71" t="str">
        <v>å‘½é‹ reinprince</v>
      </c>
      <c r="B71" t="str">
        <v>Silencer</v>
      </c>
      <c r="C71" t="str" cm="1">
        <f t="array" ref="C71">_xlfn.XLOOKUP(1,([3]!players[name]=A71)*([3]!players[hero_name]=B71),[3]!players[lane_name])</f>
        <v>Soft Support</v>
      </c>
      <c r="D71">
        <f>COUNTIFS([3]!players[name],A71,[3]!players[hero_name],B71)</f>
        <v>1</v>
      </c>
      <c r="E71">
        <f>COUNTIFS([3]!players[name],A71,[3]!players[hero_name],B71, [3]!players[win], 1)</f>
        <v>0</v>
      </c>
      <c r="F71" s="1">
        <f t="shared" si="1"/>
        <v>0</v>
      </c>
      <c r="G71" s="2">
        <f>AVERAGEIFS([3]!players[gold_per_min], [3]!players[name],A71,[3]!players[hero_name],B71)</f>
        <v>367</v>
      </c>
      <c r="H71" s="2">
        <f>AVERAGEIFS([3]!players[xp_per_min], [3]!players[name],A71,[3]!players[hero_name],B71)</f>
        <v>509</v>
      </c>
    </row>
    <row r="72" spans="1:8" x14ac:dyDescent="0.3">
      <c r="A72" t="str">
        <v>Abed</v>
      </c>
      <c r="B72" t="str">
        <v>Pangolier</v>
      </c>
      <c r="C72" t="str" cm="1">
        <f t="array" ref="C72">_xlfn.XLOOKUP(1,([3]!players[name]=A72)*([3]!players[hero_name]=B72),[3]!players[lane_name])</f>
        <v>Mid</v>
      </c>
      <c r="D72">
        <f>COUNTIFS([3]!players[name],A72,[3]!players[hero_name],B72)</f>
        <v>2</v>
      </c>
      <c r="E72">
        <f>COUNTIFS([3]!players[name],A72,[3]!players[hero_name],B72, [3]!players[win], 1)</f>
        <v>1</v>
      </c>
      <c r="F72" s="1">
        <f t="shared" si="1"/>
        <v>0.5</v>
      </c>
      <c r="G72" s="2">
        <f>AVERAGEIFS([3]!players[gold_per_min], [3]!players[name],A72,[3]!players[hero_name],B72)</f>
        <v>513.5</v>
      </c>
      <c r="H72" s="2">
        <f>AVERAGEIFS([3]!players[xp_per_min], [3]!players[name],A72,[3]!players[hero_name],B72)</f>
        <v>724.5</v>
      </c>
    </row>
    <row r="73" spans="1:8" x14ac:dyDescent="0.3">
      <c r="A73" t="str">
        <v>Abed</v>
      </c>
      <c r="B73" t="str">
        <v>Puck</v>
      </c>
      <c r="C73" t="str" cm="1">
        <f t="array" ref="C73">_xlfn.XLOOKUP(1,([3]!players[name]=A73)*([3]!players[hero_name]=B73),[3]!players[lane_name])</f>
        <v>Mid</v>
      </c>
      <c r="D73">
        <f>COUNTIFS([3]!players[name],A73,[3]!players[hero_name],B73)</f>
        <v>4</v>
      </c>
      <c r="E73">
        <f>COUNTIFS([3]!players[name],A73,[3]!players[hero_name],B73, [3]!players[win], 1)</f>
        <v>1</v>
      </c>
      <c r="F73" s="1">
        <f t="shared" si="1"/>
        <v>0.25</v>
      </c>
      <c r="G73" s="2">
        <f>AVERAGEIFS([3]!players[gold_per_min], [3]!players[name],A73,[3]!players[hero_name],B73)</f>
        <v>563.75</v>
      </c>
      <c r="H73" s="2">
        <f>AVERAGEIFS([3]!players[xp_per_min], [3]!players[name],A73,[3]!players[hero_name],B73)</f>
        <v>754.75</v>
      </c>
    </row>
    <row r="74" spans="1:8" x14ac:dyDescent="0.3">
      <c r="A74" t="str">
        <v>Abed</v>
      </c>
      <c r="B74" t="str">
        <v>Void Spirit</v>
      </c>
      <c r="C74" t="str" cm="1">
        <f t="array" ref="C74">_xlfn.XLOOKUP(1,([3]!players[name]=A74)*([3]!players[hero_name]=B74),[3]!players[lane_name])</f>
        <v>Mid</v>
      </c>
      <c r="D74">
        <f>COUNTIFS([3]!players[name],A74,[3]!players[hero_name],B74)</f>
        <v>7</v>
      </c>
      <c r="E74">
        <f>COUNTIFS([3]!players[name],A74,[3]!players[hero_name],B74, [3]!players[win], 1)</f>
        <v>4</v>
      </c>
      <c r="F74" s="1">
        <f t="shared" si="1"/>
        <v>0.5714285714285714</v>
      </c>
      <c r="G74" s="2">
        <f>AVERAGEIFS([3]!players[gold_per_min], [3]!players[name],A74,[3]!players[hero_name],B74)</f>
        <v>595.28571428571433</v>
      </c>
      <c r="H74" s="2">
        <f>AVERAGEIFS([3]!players[xp_per_min], [3]!players[name],A74,[3]!players[hero_name],B74)</f>
        <v>696.85714285714289</v>
      </c>
    </row>
    <row r="75" spans="1:8" x14ac:dyDescent="0.3">
      <c r="A75" t="str">
        <v>Abed</v>
      </c>
      <c r="B75" t="str">
        <v>Dragon Knight</v>
      </c>
      <c r="C75" t="str" cm="1">
        <f t="array" ref="C75">_xlfn.XLOOKUP(1,([3]!players[name]=A75)*([3]!players[hero_name]=B75),[3]!players[lane_name])</f>
        <v>Mid</v>
      </c>
      <c r="D75">
        <f>COUNTIFS([3]!players[name],A75,[3]!players[hero_name],B75)</f>
        <v>1</v>
      </c>
      <c r="E75">
        <f>COUNTIFS([3]!players[name],A75,[3]!players[hero_name],B75, [3]!players[win], 1)</f>
        <v>0</v>
      </c>
      <c r="F75" s="1">
        <f t="shared" si="1"/>
        <v>0</v>
      </c>
      <c r="G75" s="2">
        <f>AVERAGEIFS([3]!players[gold_per_min], [3]!players[name],A75,[3]!players[hero_name],B75)</f>
        <v>508</v>
      </c>
      <c r="H75" s="2">
        <f>AVERAGEIFS([3]!players[xp_per_min], [3]!players[name],A75,[3]!players[hero_name],B75)</f>
        <v>603</v>
      </c>
    </row>
    <row r="76" spans="1:8" x14ac:dyDescent="0.3">
      <c r="A76" t="str">
        <v>Abed</v>
      </c>
      <c r="B76" t="str">
        <v>Queen of Pain</v>
      </c>
      <c r="C76" t="str" cm="1">
        <f t="array" ref="C76">_xlfn.XLOOKUP(1,([3]!players[name]=A76)*([3]!players[hero_name]=B76),[3]!players[lane_name])</f>
        <v>Mid</v>
      </c>
      <c r="D76">
        <f>COUNTIFS([3]!players[name],A76,[3]!players[hero_name],B76)</f>
        <v>1</v>
      </c>
      <c r="E76">
        <f>COUNTIFS([3]!players[name],A76,[3]!players[hero_name],B76, [3]!players[win], 1)</f>
        <v>1</v>
      </c>
      <c r="F76" s="1">
        <f t="shared" si="1"/>
        <v>1</v>
      </c>
      <c r="G76" s="2">
        <f>AVERAGEIFS([3]!players[gold_per_min], [3]!players[name],A76,[3]!players[hero_name],B76)</f>
        <v>629</v>
      </c>
      <c r="H76" s="2">
        <f>AVERAGEIFS([3]!players[xp_per_min], [3]!players[name],A76,[3]!players[hero_name],B76)</f>
        <v>859</v>
      </c>
    </row>
    <row r="77" spans="1:8" x14ac:dyDescent="0.3">
      <c r="A77" t="str">
        <v>Abed</v>
      </c>
      <c r="B77" t="str">
        <v>Sand King</v>
      </c>
      <c r="C77" t="str" cm="1">
        <f t="array" ref="C77">_xlfn.XLOOKUP(1,([3]!players[name]=A77)*([3]!players[hero_name]=B77),[3]!players[lane_name])</f>
        <v>Mid</v>
      </c>
      <c r="D77">
        <f>COUNTIFS([3]!players[name],A77,[3]!players[hero_name],B77)</f>
        <v>2</v>
      </c>
      <c r="E77">
        <f>COUNTIFS([3]!players[name],A77,[3]!players[hero_name],B77, [3]!players[win], 1)</f>
        <v>0</v>
      </c>
      <c r="F77" s="1">
        <f t="shared" si="1"/>
        <v>0</v>
      </c>
      <c r="G77" s="2">
        <f>AVERAGEIFS([3]!players[gold_per_min], [3]!players[name],A77,[3]!players[hero_name],B77)</f>
        <v>535</v>
      </c>
      <c r="H77" s="2">
        <f>AVERAGEIFS([3]!players[xp_per_min], [3]!players[name],A77,[3]!players[hero_name],B77)</f>
        <v>717</v>
      </c>
    </row>
    <row r="78" spans="1:8" x14ac:dyDescent="0.3">
      <c r="A78" t="str">
        <v>Abed</v>
      </c>
      <c r="B78" t="str">
        <v>Ember Spirit</v>
      </c>
      <c r="C78" t="str" cm="1">
        <f t="array" ref="C78">_xlfn.XLOOKUP(1,([3]!players[name]=A78)*([3]!players[hero_name]=B78),[3]!players[lane_name])</f>
        <v>Mid</v>
      </c>
      <c r="D78">
        <f>COUNTIFS([3]!players[name],A78,[3]!players[hero_name],B78)</f>
        <v>1</v>
      </c>
      <c r="E78">
        <f>COUNTIFS([3]!players[name],A78,[3]!players[hero_name],B78, [3]!players[win], 1)</f>
        <v>0</v>
      </c>
      <c r="F78" s="1">
        <f t="shared" si="1"/>
        <v>0</v>
      </c>
      <c r="G78" s="2">
        <f>AVERAGEIFS([3]!players[gold_per_min], [3]!players[name],A78,[3]!players[hero_name],B78)</f>
        <v>385</v>
      </c>
      <c r="H78" s="2">
        <f>AVERAGEIFS([3]!players[xp_per_min], [3]!players[name],A78,[3]!players[hero_name],B78)</f>
        <v>462</v>
      </c>
    </row>
    <row r="79" spans="1:8" x14ac:dyDescent="0.3">
      <c r="A79" t="str">
        <v>Abed</v>
      </c>
      <c r="B79" t="str">
        <v>Invoker</v>
      </c>
      <c r="C79" t="str" cm="1">
        <f t="array" ref="C79">_xlfn.XLOOKUP(1,([3]!players[name]=A79)*([3]!players[hero_name]=B79),[3]!players[lane_name])</f>
        <v>Mid</v>
      </c>
      <c r="D79">
        <f>COUNTIFS([3]!players[name],A79,[3]!players[hero_name],B79)</f>
        <v>1</v>
      </c>
      <c r="E79">
        <f>COUNTIFS([3]!players[name],A79,[3]!players[hero_name],B79, [3]!players[win], 1)</f>
        <v>0</v>
      </c>
      <c r="F79" s="1">
        <f t="shared" si="1"/>
        <v>0</v>
      </c>
      <c r="G79" s="2">
        <f>AVERAGEIFS([3]!players[gold_per_min], [3]!players[name],A79,[3]!players[hero_name],B79)</f>
        <v>658</v>
      </c>
      <c r="H79" s="2">
        <f>AVERAGEIFS([3]!players[xp_per_min], [3]!players[name],A79,[3]!players[hero_name],B79)</f>
        <v>651</v>
      </c>
    </row>
    <row r="80" spans="1:8" x14ac:dyDescent="0.3">
      <c r="A80" t="str">
        <v>AbyssWalker</v>
      </c>
      <c r="B80" t="str">
        <v>Disruptor</v>
      </c>
      <c r="C80" t="str" cm="1">
        <f t="array" ref="C80">_xlfn.XLOOKUP(1,([3]!players[name]=A80)*([3]!players[hero_name]=B80),[3]!players[lane_name])</f>
        <v>Soft Support</v>
      </c>
      <c r="D80">
        <f>COUNTIFS([3]!players[name],A80,[3]!players[hero_name],B80)</f>
        <v>5</v>
      </c>
      <c r="E80">
        <f>COUNTIFS([3]!players[name],A80,[3]!players[hero_name],B80, [3]!players[win], 1)</f>
        <v>3</v>
      </c>
      <c r="F80" s="1">
        <f t="shared" si="1"/>
        <v>0.6</v>
      </c>
      <c r="G80" s="2">
        <f>AVERAGEIFS([3]!players[gold_per_min], [3]!players[name],A80,[3]!players[hero_name],B80)</f>
        <v>303.8</v>
      </c>
      <c r="H80" s="2">
        <f>AVERAGEIFS([3]!players[xp_per_min], [3]!players[name],A80,[3]!players[hero_name],B80)</f>
        <v>442</v>
      </c>
    </row>
    <row r="81" spans="1:8" x14ac:dyDescent="0.3">
      <c r="A81" t="str">
        <v>AbyssWalker</v>
      </c>
      <c r="B81" t="str">
        <v>Shadow Demon</v>
      </c>
      <c r="C81" t="str" cm="1">
        <f t="array" ref="C81">_xlfn.XLOOKUP(1,([3]!players[name]=A81)*([3]!players[hero_name]=B81),[3]!players[lane_name])</f>
        <v>Soft Support</v>
      </c>
      <c r="D81">
        <f>COUNTIFS([3]!players[name],A81,[3]!players[hero_name],B81)</f>
        <v>2</v>
      </c>
      <c r="E81">
        <f>COUNTIFS([3]!players[name],A81,[3]!players[hero_name],B81, [3]!players[win], 1)</f>
        <v>1</v>
      </c>
      <c r="F81" s="1">
        <f t="shared" si="1"/>
        <v>0.5</v>
      </c>
      <c r="G81" s="2">
        <f>AVERAGEIFS([3]!players[gold_per_min], [3]!players[name],A81,[3]!players[hero_name],B81)</f>
        <v>325.5</v>
      </c>
      <c r="H81" s="2">
        <f>AVERAGEIFS([3]!players[xp_per_min], [3]!players[name],A81,[3]!players[hero_name],B81)</f>
        <v>450</v>
      </c>
    </row>
    <row r="82" spans="1:8" x14ac:dyDescent="0.3">
      <c r="A82" t="str">
        <v>AbyssWalker</v>
      </c>
      <c r="B82" t="str">
        <v>Snapfire</v>
      </c>
      <c r="C82" t="str" cm="1">
        <f t="array" ref="C82">_xlfn.XLOOKUP(1,([3]!players[name]=A82)*([3]!players[hero_name]=B82),[3]!players[lane_name])</f>
        <v>Soft Support</v>
      </c>
      <c r="D82">
        <f>COUNTIFS([3]!players[name],A82,[3]!players[hero_name],B82)</f>
        <v>5</v>
      </c>
      <c r="E82">
        <f>COUNTIFS([3]!players[name],A82,[3]!players[hero_name],B82, [3]!players[win], 1)</f>
        <v>4</v>
      </c>
      <c r="F82" s="1">
        <f t="shared" si="1"/>
        <v>0.8</v>
      </c>
      <c r="G82" s="2">
        <f>AVERAGEIFS([3]!players[gold_per_min], [3]!players[name],A82,[3]!players[hero_name],B82)</f>
        <v>370.6</v>
      </c>
      <c r="H82" s="2">
        <f>AVERAGEIFS([3]!players[xp_per_min], [3]!players[name],A82,[3]!players[hero_name],B82)</f>
        <v>512</v>
      </c>
    </row>
    <row r="83" spans="1:8" x14ac:dyDescent="0.3">
      <c r="A83" t="str">
        <v>AbyssWalker</v>
      </c>
      <c r="B83" t="str">
        <v>Crystal Maiden</v>
      </c>
      <c r="C83" t="str" cm="1">
        <f t="array" ref="C83">_xlfn.XLOOKUP(1,([3]!players[name]=A83)*([3]!players[hero_name]=B83),[3]!players[lane_name])</f>
        <v>Hard Support</v>
      </c>
      <c r="D83">
        <f>COUNTIFS([3]!players[name],A83,[3]!players[hero_name],B83)</f>
        <v>4</v>
      </c>
      <c r="E83">
        <f>COUNTIFS([3]!players[name],A83,[3]!players[hero_name],B83, [3]!players[win], 1)</f>
        <v>2</v>
      </c>
      <c r="F83" s="1">
        <f t="shared" si="1"/>
        <v>0.5</v>
      </c>
      <c r="G83" s="2">
        <f>AVERAGEIFS([3]!players[gold_per_min], [3]!players[name],A83,[3]!players[hero_name],B83)</f>
        <v>289.75</v>
      </c>
      <c r="H83" s="2">
        <f>AVERAGEIFS([3]!players[xp_per_min], [3]!players[name],A83,[3]!players[hero_name],B83)</f>
        <v>419.75</v>
      </c>
    </row>
    <row r="84" spans="1:8" x14ac:dyDescent="0.3">
      <c r="A84" t="str">
        <v>AbyssWalker</v>
      </c>
      <c r="B84" t="str">
        <v>Skywrath Mage</v>
      </c>
      <c r="C84" t="str" cm="1">
        <f t="array" ref="C84">_xlfn.XLOOKUP(1,([3]!players[name]=A84)*([3]!players[hero_name]=B84),[3]!players[lane_name])</f>
        <v>Soft Support</v>
      </c>
      <c r="D84">
        <f>COUNTIFS([3]!players[name],A84,[3]!players[hero_name],B84)</f>
        <v>3</v>
      </c>
      <c r="E84">
        <f>COUNTIFS([3]!players[name],A84,[3]!players[hero_name],B84, [3]!players[win], 1)</f>
        <v>1</v>
      </c>
      <c r="F84" s="1">
        <f t="shared" si="1"/>
        <v>0.33333333333333331</v>
      </c>
      <c r="G84" s="2">
        <f>AVERAGEIFS([3]!players[gold_per_min], [3]!players[name],A84,[3]!players[hero_name],B84)</f>
        <v>286</v>
      </c>
      <c r="H84" s="2">
        <f>AVERAGEIFS([3]!players[xp_per_min], [3]!players[name],A84,[3]!players[hero_name],B84)</f>
        <v>404.33333333333331</v>
      </c>
    </row>
    <row r="85" spans="1:8" x14ac:dyDescent="0.3">
      <c r="A85" t="str">
        <v>AbyssWalker</v>
      </c>
      <c r="B85" t="str">
        <v>Vengeful Spirit</v>
      </c>
      <c r="C85" t="str" cm="1">
        <f t="array" ref="C85">_xlfn.XLOOKUP(1,([3]!players[name]=A85)*([3]!players[hero_name]=B85),[3]!players[lane_name])</f>
        <v>Hard Support</v>
      </c>
      <c r="D85">
        <f>COUNTIFS([3]!players[name],A85,[3]!players[hero_name],B85)</f>
        <v>3</v>
      </c>
      <c r="E85">
        <f>COUNTIFS([3]!players[name],A85,[3]!players[hero_name],B85, [3]!players[win], 1)</f>
        <v>2</v>
      </c>
      <c r="F85" s="1">
        <f t="shared" si="1"/>
        <v>0.66666666666666663</v>
      </c>
      <c r="G85" s="2">
        <f>AVERAGEIFS([3]!players[gold_per_min], [3]!players[name],A85,[3]!players[hero_name],B85)</f>
        <v>215.33333333333334</v>
      </c>
      <c r="H85" s="2">
        <f>AVERAGEIFS([3]!players[xp_per_min], [3]!players[name],A85,[3]!players[hero_name],B85)</f>
        <v>372.66666666666669</v>
      </c>
    </row>
    <row r="86" spans="1:8" x14ac:dyDescent="0.3">
      <c r="A86" t="str">
        <v>AbyssWalker</v>
      </c>
      <c r="B86" t="str">
        <v>Witch Doctor</v>
      </c>
      <c r="C86" t="str" cm="1">
        <f t="array" ref="C86">_xlfn.XLOOKUP(1,([3]!players[name]=A86)*([3]!players[hero_name]=B86),[3]!players[lane_name])</f>
        <v>Soft Support</v>
      </c>
      <c r="D86">
        <f>COUNTIFS([3]!players[name],A86,[3]!players[hero_name],B86)</f>
        <v>2</v>
      </c>
      <c r="E86">
        <f>COUNTIFS([3]!players[name],A86,[3]!players[hero_name],B86, [3]!players[win], 1)</f>
        <v>1</v>
      </c>
      <c r="F86" s="1">
        <f t="shared" si="1"/>
        <v>0.5</v>
      </c>
      <c r="G86" s="2">
        <f>AVERAGEIFS([3]!players[gold_per_min], [3]!players[name],A86,[3]!players[hero_name],B86)</f>
        <v>318</v>
      </c>
      <c r="H86" s="2">
        <f>AVERAGEIFS([3]!players[xp_per_min], [3]!players[name],A86,[3]!players[hero_name],B86)</f>
        <v>381.5</v>
      </c>
    </row>
    <row r="87" spans="1:8" x14ac:dyDescent="0.3">
      <c r="A87" t="str">
        <v>AbyssWalker</v>
      </c>
      <c r="B87" t="str">
        <v>Lich</v>
      </c>
      <c r="C87" t="str" cm="1">
        <f t="array" ref="C87">_xlfn.XLOOKUP(1,([3]!players[name]=A87)*([3]!players[hero_name]=B87),[3]!players[lane_name])</f>
        <v>Soft Support</v>
      </c>
      <c r="D87">
        <f>COUNTIFS([3]!players[name],A87,[3]!players[hero_name],B87)</f>
        <v>12</v>
      </c>
      <c r="E87">
        <f>COUNTIFS([3]!players[name],A87,[3]!players[hero_name],B87, [3]!players[win], 1)</f>
        <v>7</v>
      </c>
      <c r="F87" s="1">
        <f t="shared" si="1"/>
        <v>0.58333333333333337</v>
      </c>
      <c r="G87" s="2">
        <f>AVERAGEIFS([3]!players[gold_per_min], [3]!players[name],A87,[3]!players[hero_name],B87)</f>
        <v>303.08333333333331</v>
      </c>
      <c r="H87" s="2">
        <f>AVERAGEIFS([3]!players[xp_per_min], [3]!players[name],A87,[3]!players[hero_name],B87)</f>
        <v>471.83333333333331</v>
      </c>
    </row>
    <row r="88" spans="1:8" x14ac:dyDescent="0.3">
      <c r="A88" t="str">
        <v>AbyssWalker</v>
      </c>
      <c r="B88" t="str">
        <v>Warlock</v>
      </c>
      <c r="C88" t="str" cm="1">
        <f t="array" ref="C88">_xlfn.XLOOKUP(1,([3]!players[name]=A88)*([3]!players[hero_name]=B88),[3]!players[lane_name])</f>
        <v>Soft Support</v>
      </c>
      <c r="D88">
        <f>COUNTIFS([3]!players[name],A88,[3]!players[hero_name],B88)</f>
        <v>7</v>
      </c>
      <c r="E88">
        <f>COUNTIFS([3]!players[name],A88,[3]!players[hero_name],B88, [3]!players[win], 1)</f>
        <v>3</v>
      </c>
      <c r="F88" s="1">
        <f t="shared" si="1"/>
        <v>0.42857142857142855</v>
      </c>
      <c r="G88" s="2">
        <f>AVERAGEIFS([3]!players[gold_per_min], [3]!players[name],A88,[3]!players[hero_name],B88)</f>
        <v>363.42857142857144</v>
      </c>
      <c r="H88" s="2">
        <f>AVERAGEIFS([3]!players[xp_per_min], [3]!players[name],A88,[3]!players[hero_name],B88)</f>
        <v>439</v>
      </c>
    </row>
    <row r="89" spans="1:8" x14ac:dyDescent="0.3">
      <c r="A89" t="str">
        <v>AbyssWalker</v>
      </c>
      <c r="B89" t="str">
        <v>Grimstroke</v>
      </c>
      <c r="C89" t="str" cm="1">
        <f t="array" ref="C89">_xlfn.XLOOKUP(1,([3]!players[name]=A89)*([3]!players[hero_name]=B89),[3]!players[lane_name])</f>
        <v>Soft Support</v>
      </c>
      <c r="D89">
        <f>COUNTIFS([3]!players[name],A89,[3]!players[hero_name],B89)</f>
        <v>3</v>
      </c>
      <c r="E89">
        <f>COUNTIFS([3]!players[name],A89,[3]!players[hero_name],B89, [3]!players[win], 1)</f>
        <v>2</v>
      </c>
      <c r="F89" s="1">
        <f t="shared" si="1"/>
        <v>0.66666666666666663</v>
      </c>
      <c r="G89" s="2">
        <f>AVERAGEIFS([3]!players[gold_per_min], [3]!players[name],A89,[3]!players[hero_name],B89)</f>
        <v>276.33333333333331</v>
      </c>
      <c r="H89" s="2">
        <f>AVERAGEIFS([3]!players[xp_per_min], [3]!players[name],A89,[3]!players[hero_name],B89)</f>
        <v>441.33333333333331</v>
      </c>
    </row>
    <row r="90" spans="1:8" x14ac:dyDescent="0.3">
      <c r="A90" t="str">
        <v>AbyssWalker</v>
      </c>
      <c r="B90" t="str">
        <v>Alchemist</v>
      </c>
      <c r="C90" t="str" cm="1">
        <f t="array" ref="C90">_xlfn.XLOOKUP(1,([3]!players[name]=A90)*([3]!players[hero_name]=B90),[3]!players[lane_name])</f>
        <v>Carry</v>
      </c>
      <c r="D90">
        <f>COUNTIFS([3]!players[name],A90,[3]!players[hero_name],B90)</f>
        <v>2</v>
      </c>
      <c r="E90">
        <f>COUNTIFS([3]!players[name],A90,[3]!players[hero_name],B90, [3]!players[win], 1)</f>
        <v>0</v>
      </c>
      <c r="F90" s="1">
        <f t="shared" si="1"/>
        <v>0</v>
      </c>
      <c r="G90" s="2">
        <f>AVERAGEIFS([3]!players[gold_per_min], [3]!players[name],A90,[3]!players[hero_name],B90)</f>
        <v>428.5</v>
      </c>
      <c r="H90" s="2">
        <f>AVERAGEIFS([3]!players[xp_per_min], [3]!players[name],A90,[3]!players[hero_name],B90)</f>
        <v>414</v>
      </c>
    </row>
    <row r="91" spans="1:8" x14ac:dyDescent="0.3">
      <c r="A91" t="str">
        <v>AbyssWalker</v>
      </c>
      <c r="B91" t="str">
        <v>Techies</v>
      </c>
      <c r="C91" t="str" cm="1">
        <f t="array" ref="C91">_xlfn.XLOOKUP(1,([3]!players[name]=A91)*([3]!players[hero_name]=B91),[3]!players[lane_name])</f>
        <v>Soft Support</v>
      </c>
      <c r="D91">
        <f>COUNTIFS([3]!players[name],A91,[3]!players[hero_name],B91)</f>
        <v>3</v>
      </c>
      <c r="E91">
        <f>COUNTIFS([3]!players[name],A91,[3]!players[hero_name],B91, [3]!players[win], 1)</f>
        <v>2</v>
      </c>
      <c r="F91" s="1">
        <f t="shared" si="1"/>
        <v>0.66666666666666663</v>
      </c>
      <c r="G91" s="2">
        <f>AVERAGEIFS([3]!players[gold_per_min], [3]!players[name],A91,[3]!players[hero_name],B91)</f>
        <v>340</v>
      </c>
      <c r="H91" s="2">
        <f>AVERAGEIFS([3]!players[xp_per_min], [3]!players[name],A91,[3]!players[hero_name],B91)</f>
        <v>481.66666666666669</v>
      </c>
    </row>
    <row r="92" spans="1:8" x14ac:dyDescent="0.3">
      <c r="A92" t="str">
        <v>AbyssWalker</v>
      </c>
      <c r="B92" t="str">
        <v>Tusk</v>
      </c>
      <c r="C92" t="str" cm="1">
        <f t="array" ref="C92">_xlfn.XLOOKUP(1,([3]!players[name]=A92)*([3]!players[hero_name]=B92),[3]!players[lane_name])</f>
        <v>Soft Support</v>
      </c>
      <c r="D92">
        <f>COUNTIFS([3]!players[name],A92,[3]!players[hero_name],B92)</f>
        <v>2</v>
      </c>
      <c r="E92">
        <f>COUNTIFS([3]!players[name],A92,[3]!players[hero_name],B92, [3]!players[win], 1)</f>
        <v>0</v>
      </c>
      <c r="F92" s="1">
        <f t="shared" si="1"/>
        <v>0</v>
      </c>
      <c r="G92" s="2">
        <f>AVERAGEIFS([3]!players[gold_per_min], [3]!players[name],A92,[3]!players[hero_name],B92)</f>
        <v>263</v>
      </c>
      <c r="H92" s="2">
        <f>AVERAGEIFS([3]!players[xp_per_min], [3]!players[name],A92,[3]!players[hero_name],B92)</f>
        <v>392</v>
      </c>
    </row>
    <row r="93" spans="1:8" x14ac:dyDescent="0.3">
      <c r="A93" t="str">
        <v>AbyssWalker</v>
      </c>
      <c r="B93" t="str">
        <v>Venomancer</v>
      </c>
      <c r="C93" t="str" cm="1">
        <f t="array" ref="C93">_xlfn.XLOOKUP(1,([3]!players[name]=A93)*([3]!players[hero_name]=B93),[3]!players[lane_name])</f>
        <v>Hard Support</v>
      </c>
      <c r="D93">
        <f>COUNTIFS([3]!players[name],A93,[3]!players[hero_name],B93)</f>
        <v>3</v>
      </c>
      <c r="E93">
        <f>COUNTIFS([3]!players[name],A93,[3]!players[hero_name],B93, [3]!players[win], 1)</f>
        <v>0</v>
      </c>
      <c r="F93" s="1">
        <f t="shared" si="1"/>
        <v>0</v>
      </c>
      <c r="G93" s="2">
        <f>AVERAGEIFS([3]!players[gold_per_min], [3]!players[name],A93,[3]!players[hero_name],B93)</f>
        <v>307.66666666666669</v>
      </c>
      <c r="H93" s="2">
        <f>AVERAGEIFS([3]!players[xp_per_min], [3]!players[name],A93,[3]!players[hero_name],B93)</f>
        <v>336.66666666666669</v>
      </c>
    </row>
    <row r="94" spans="1:8" x14ac:dyDescent="0.3">
      <c r="A94" t="str">
        <v>AbyssWalker</v>
      </c>
      <c r="B94" t="str">
        <v>Pudge</v>
      </c>
      <c r="C94" t="str" cm="1">
        <f t="array" ref="C94">_xlfn.XLOOKUP(1,([3]!players[name]=A94)*([3]!players[hero_name]=B94),[3]!players[lane_name])</f>
        <v>Roam</v>
      </c>
      <c r="D94">
        <f>COUNTIFS([3]!players[name],A94,[3]!players[hero_name],B94)</f>
        <v>4</v>
      </c>
      <c r="E94">
        <f>COUNTIFS([3]!players[name],A94,[3]!players[hero_name],B94, [3]!players[win], 1)</f>
        <v>3</v>
      </c>
      <c r="F94" s="1">
        <f t="shared" si="1"/>
        <v>0.75</v>
      </c>
      <c r="G94" s="2">
        <f>AVERAGEIFS([3]!players[gold_per_min], [3]!players[name],A94,[3]!players[hero_name],B94)</f>
        <v>279</v>
      </c>
      <c r="H94" s="2">
        <f>AVERAGEIFS([3]!players[xp_per_min], [3]!players[name],A94,[3]!players[hero_name],B94)</f>
        <v>486.5</v>
      </c>
    </row>
    <row r="95" spans="1:8" x14ac:dyDescent="0.3">
      <c r="A95" t="str">
        <v>AbyssWalker</v>
      </c>
      <c r="B95" t="str">
        <v>Ogre Magi</v>
      </c>
      <c r="C95" t="str" cm="1">
        <f t="array" ref="C95">_xlfn.XLOOKUP(1,([3]!players[name]=A95)*([3]!players[hero_name]=B95),[3]!players[lane_name])</f>
        <v>Hard Support</v>
      </c>
      <c r="D95">
        <f>COUNTIFS([3]!players[name],A95,[3]!players[hero_name],B95)</f>
        <v>16</v>
      </c>
      <c r="E95">
        <f>COUNTIFS([3]!players[name],A95,[3]!players[hero_name],B95, [3]!players[win], 1)</f>
        <v>9</v>
      </c>
      <c r="F95" s="1">
        <f t="shared" si="1"/>
        <v>0.5625</v>
      </c>
      <c r="G95" s="2">
        <f>AVERAGEIFS([3]!players[gold_per_min], [3]!players[name],A95,[3]!players[hero_name],B95)</f>
        <v>261.8125</v>
      </c>
      <c r="H95" s="2">
        <f>AVERAGEIFS([3]!players[xp_per_min], [3]!players[name],A95,[3]!players[hero_name],B95)</f>
        <v>496.625</v>
      </c>
    </row>
    <row r="96" spans="1:8" x14ac:dyDescent="0.3">
      <c r="A96" t="str">
        <v>AbyssWalker</v>
      </c>
      <c r="B96" t="str">
        <v>Io</v>
      </c>
      <c r="C96" t="str" cm="1">
        <f t="array" ref="C96">_xlfn.XLOOKUP(1,([3]!players[name]=A96)*([3]!players[hero_name]=B96),[3]!players[lane_name])</f>
        <v>Hard Support</v>
      </c>
      <c r="D96">
        <f>COUNTIFS([3]!players[name],A96,[3]!players[hero_name],B96)</f>
        <v>2</v>
      </c>
      <c r="E96">
        <f>COUNTIFS([3]!players[name],A96,[3]!players[hero_name],B96, [3]!players[win], 1)</f>
        <v>1</v>
      </c>
      <c r="F96" s="1">
        <f t="shared" si="1"/>
        <v>0.5</v>
      </c>
      <c r="G96" s="2">
        <f>AVERAGEIFS([3]!players[gold_per_min], [3]!players[name],A96,[3]!players[hero_name],B96)</f>
        <v>258.5</v>
      </c>
      <c r="H96" s="2">
        <f>AVERAGEIFS([3]!players[xp_per_min], [3]!players[name],A96,[3]!players[hero_name],B96)</f>
        <v>499</v>
      </c>
    </row>
    <row r="97" spans="1:8" x14ac:dyDescent="0.3">
      <c r="A97" t="str">
        <v>AbyssWalker</v>
      </c>
      <c r="B97" t="str">
        <v>Winter Wyvern</v>
      </c>
      <c r="C97" t="str" cm="1">
        <f t="array" ref="C97">_xlfn.XLOOKUP(1,([3]!players[name]=A97)*([3]!players[hero_name]=B97),[3]!players[lane_name])</f>
        <v>Hard Support</v>
      </c>
      <c r="D97">
        <f>COUNTIFS([3]!players[name],A97,[3]!players[hero_name],B97)</f>
        <v>2</v>
      </c>
      <c r="E97">
        <f>COUNTIFS([3]!players[name],A97,[3]!players[hero_name],B97, [3]!players[win], 1)</f>
        <v>2</v>
      </c>
      <c r="F97" s="1">
        <f t="shared" si="1"/>
        <v>1</v>
      </c>
      <c r="G97" s="2">
        <f>AVERAGEIFS([3]!players[gold_per_min], [3]!players[name],A97,[3]!players[hero_name],B97)</f>
        <v>319</v>
      </c>
      <c r="H97" s="2">
        <f>AVERAGEIFS([3]!players[xp_per_min], [3]!players[name],A97,[3]!players[hero_name],B97)</f>
        <v>488</v>
      </c>
    </row>
    <row r="98" spans="1:8" x14ac:dyDescent="0.3">
      <c r="A98" t="str">
        <v>AbyssWalker</v>
      </c>
      <c r="B98" t="str">
        <v>Treant Protector</v>
      </c>
      <c r="C98" t="str" cm="1">
        <f t="array" ref="C98">_xlfn.XLOOKUP(1,([3]!players[name]=A98)*([3]!players[hero_name]=B98),[3]!players[lane_name])</f>
        <v>Soft Support</v>
      </c>
      <c r="D98">
        <f>COUNTIFS([3]!players[name],A98,[3]!players[hero_name],B98)</f>
        <v>3</v>
      </c>
      <c r="E98">
        <f>COUNTIFS([3]!players[name],A98,[3]!players[hero_name],B98, [3]!players[win], 1)</f>
        <v>1</v>
      </c>
      <c r="F98" s="1">
        <f t="shared" si="1"/>
        <v>0.33333333333333331</v>
      </c>
      <c r="G98" s="2">
        <f>AVERAGEIFS([3]!players[gold_per_min], [3]!players[name],A98,[3]!players[hero_name],B98)</f>
        <v>254</v>
      </c>
      <c r="H98" s="2">
        <f>AVERAGEIFS([3]!players[xp_per_min], [3]!players[name],A98,[3]!players[hero_name],B98)</f>
        <v>382.66666666666669</v>
      </c>
    </row>
    <row r="99" spans="1:8" x14ac:dyDescent="0.3">
      <c r="A99" t="str">
        <v>AbyssWalker</v>
      </c>
      <c r="B99" t="str">
        <v>Enchantress</v>
      </c>
      <c r="C99" t="str" cm="1">
        <f t="array" ref="C99">_xlfn.XLOOKUP(1,([3]!players[name]=A99)*([3]!players[hero_name]=B99),[3]!players[lane_name])</f>
        <v>Soft Support</v>
      </c>
      <c r="D99">
        <f>COUNTIFS([3]!players[name],A99,[3]!players[hero_name],B99)</f>
        <v>2</v>
      </c>
      <c r="E99">
        <f>COUNTIFS([3]!players[name],A99,[3]!players[hero_name],B99, [3]!players[win], 1)</f>
        <v>2</v>
      </c>
      <c r="F99" s="1">
        <f t="shared" si="1"/>
        <v>1</v>
      </c>
      <c r="G99" s="2">
        <f>AVERAGEIFS([3]!players[gold_per_min], [3]!players[name],A99,[3]!players[hero_name],B99)</f>
        <v>346</v>
      </c>
      <c r="H99" s="2">
        <f>AVERAGEIFS([3]!players[xp_per_min], [3]!players[name],A99,[3]!players[hero_name],B99)</f>
        <v>514.5</v>
      </c>
    </row>
    <row r="100" spans="1:8" x14ac:dyDescent="0.3">
      <c r="A100" t="str">
        <v>AbyssWalker</v>
      </c>
      <c r="B100" t="str">
        <v>Spirit Breaker</v>
      </c>
      <c r="C100" t="str" cm="1">
        <f t="array" ref="C100">_xlfn.XLOOKUP(1,([3]!players[name]=A100)*([3]!players[hero_name]=B100),[3]!players[lane_name])</f>
        <v>Hard Support</v>
      </c>
      <c r="D100">
        <f>COUNTIFS([3]!players[name],A100,[3]!players[hero_name],B100)</f>
        <v>3</v>
      </c>
      <c r="E100">
        <f>COUNTIFS([3]!players[name],A100,[3]!players[hero_name],B100, [3]!players[win], 1)</f>
        <v>2</v>
      </c>
      <c r="F100" s="1">
        <f t="shared" si="1"/>
        <v>0.66666666666666663</v>
      </c>
      <c r="G100" s="2">
        <f>AVERAGEIFS([3]!players[gold_per_min], [3]!players[name],A100,[3]!players[hero_name],B100)</f>
        <v>372.66666666666669</v>
      </c>
      <c r="H100" s="2">
        <f>AVERAGEIFS([3]!players[xp_per_min], [3]!players[name],A100,[3]!players[hero_name],B100)</f>
        <v>589</v>
      </c>
    </row>
    <row r="101" spans="1:8" x14ac:dyDescent="0.3">
      <c r="A101" t="str">
        <v>AbyssWalker</v>
      </c>
      <c r="B101" t="str">
        <v>Largo</v>
      </c>
      <c r="C101" t="str" cm="1">
        <f t="array" ref="C101">_xlfn.XLOOKUP(1,([3]!players[name]=A101)*([3]!players[hero_name]=B101),[3]!players[lane_name])</f>
        <v>Hard Support</v>
      </c>
      <c r="D101">
        <f>COUNTIFS([3]!players[name],A101,[3]!players[hero_name],B101)</f>
        <v>1</v>
      </c>
      <c r="E101">
        <f>COUNTIFS([3]!players[name],A101,[3]!players[hero_name],B101, [3]!players[win], 1)</f>
        <v>1</v>
      </c>
      <c r="F101" s="1">
        <f t="shared" si="1"/>
        <v>1</v>
      </c>
      <c r="G101" s="2">
        <f>AVERAGEIFS([3]!players[gold_per_min], [3]!players[name],A101,[3]!players[hero_name],B101)</f>
        <v>328</v>
      </c>
      <c r="H101" s="2">
        <f>AVERAGEIFS([3]!players[xp_per_min], [3]!players[name],A101,[3]!players[hero_name],B101)</f>
        <v>615</v>
      </c>
    </row>
    <row r="102" spans="1:8" x14ac:dyDescent="0.3">
      <c r="A102" t="str">
        <v>AbyssWalker</v>
      </c>
      <c r="B102" t="str">
        <v>Earth Spirit</v>
      </c>
      <c r="C102" t="str" cm="1">
        <f t="array" ref="C102">_xlfn.XLOOKUP(1,([3]!players[name]=A102)*([3]!players[hero_name]=B102),[3]!players[lane_name])</f>
        <v>Soft Support</v>
      </c>
      <c r="D102">
        <f>COUNTIFS([3]!players[name],A102,[3]!players[hero_name],B102)</f>
        <v>1</v>
      </c>
      <c r="E102">
        <f>COUNTIFS([3]!players[name],A102,[3]!players[hero_name],B102, [3]!players[win], 1)</f>
        <v>1</v>
      </c>
      <c r="F102" s="1">
        <f t="shared" si="1"/>
        <v>1</v>
      </c>
      <c r="G102" s="2">
        <f>AVERAGEIFS([3]!players[gold_per_min], [3]!players[name],A102,[3]!players[hero_name],B102)</f>
        <v>429</v>
      </c>
      <c r="H102" s="2">
        <f>AVERAGEIFS([3]!players[xp_per_min], [3]!players[name],A102,[3]!players[hero_name],B102)</f>
        <v>647</v>
      </c>
    </row>
    <row r="103" spans="1:8" x14ac:dyDescent="0.3">
      <c r="A103" t="str">
        <v>AbyssWalker</v>
      </c>
      <c r="B103" t="str">
        <v>Shadow Shaman</v>
      </c>
      <c r="C103" t="str" cm="1">
        <f t="array" ref="C103">_xlfn.XLOOKUP(1,([3]!players[name]=A103)*([3]!players[hero_name]=B103),[3]!players[lane_name])</f>
        <v>Hard Support</v>
      </c>
      <c r="D103">
        <f>COUNTIFS([3]!players[name],A103,[3]!players[hero_name],B103)</f>
        <v>5</v>
      </c>
      <c r="E103">
        <f>COUNTIFS([3]!players[name],A103,[3]!players[hero_name],B103, [3]!players[win], 1)</f>
        <v>2</v>
      </c>
      <c r="F103" s="1">
        <f t="shared" si="1"/>
        <v>0.4</v>
      </c>
      <c r="G103" s="2">
        <f>AVERAGEIFS([3]!players[gold_per_min], [3]!players[name],A103,[3]!players[hero_name],B103)</f>
        <v>291</v>
      </c>
      <c r="H103" s="2">
        <f>AVERAGEIFS([3]!players[xp_per_min], [3]!players[name],A103,[3]!players[hero_name],B103)</f>
        <v>437.8</v>
      </c>
    </row>
    <row r="104" spans="1:8" x14ac:dyDescent="0.3">
      <c r="A104" t="str">
        <v>AbyssWalker</v>
      </c>
      <c r="B104" t="str">
        <v>Silencer</v>
      </c>
      <c r="C104" t="str" cm="1">
        <f t="array" ref="C104">_xlfn.XLOOKUP(1,([3]!players[name]=A104)*([3]!players[hero_name]=B104),[3]!players[lane_name])</f>
        <v>Hard Support</v>
      </c>
      <c r="D104">
        <f>COUNTIFS([3]!players[name],A104,[3]!players[hero_name],B104)</f>
        <v>1</v>
      </c>
      <c r="E104">
        <f>COUNTIFS([3]!players[name],A104,[3]!players[hero_name],B104, [3]!players[win], 1)</f>
        <v>0</v>
      </c>
      <c r="F104" s="1">
        <f t="shared" si="1"/>
        <v>0</v>
      </c>
      <c r="G104" s="2">
        <f>AVERAGEIFS([3]!players[gold_per_min], [3]!players[name],A104,[3]!players[hero_name],B104)</f>
        <v>258</v>
      </c>
      <c r="H104" s="2">
        <f>AVERAGEIFS([3]!players[xp_per_min], [3]!players[name],A104,[3]!players[hero_name],B104)</f>
        <v>231</v>
      </c>
    </row>
    <row r="105" spans="1:8" x14ac:dyDescent="0.3">
      <c r="A105" t="str">
        <v>AbyssWalker</v>
      </c>
      <c r="B105" t="str">
        <v>Phoenix</v>
      </c>
      <c r="C105" t="str" cm="1">
        <f t="array" ref="C105">_xlfn.XLOOKUP(1,([3]!players[name]=A105)*([3]!players[hero_name]=B105),[3]!players[lane_name])</f>
        <v>Soft Support</v>
      </c>
      <c r="D105">
        <f>COUNTIFS([3]!players[name],A105,[3]!players[hero_name],B105)</f>
        <v>4</v>
      </c>
      <c r="E105">
        <f>COUNTIFS([3]!players[name],A105,[3]!players[hero_name],B105, [3]!players[win], 1)</f>
        <v>2</v>
      </c>
      <c r="F105" s="1">
        <f t="shared" si="1"/>
        <v>0.5</v>
      </c>
      <c r="G105" s="2">
        <f>AVERAGEIFS([3]!players[gold_per_min], [3]!players[name],A105,[3]!players[hero_name],B105)</f>
        <v>358.25</v>
      </c>
      <c r="H105" s="2">
        <f>AVERAGEIFS([3]!players[xp_per_min], [3]!players[name],A105,[3]!players[hero_name],B105)</f>
        <v>531.25</v>
      </c>
    </row>
    <row r="106" spans="1:8" x14ac:dyDescent="0.3">
      <c r="A106" t="str">
        <v>AbyssWalker</v>
      </c>
      <c r="B106" t="str">
        <v>Batrider</v>
      </c>
      <c r="C106" t="str" cm="1">
        <f t="array" ref="C106">_xlfn.XLOOKUP(1,([3]!players[name]=A106)*([3]!players[hero_name]=B106),[3]!players[lane_name])</f>
        <v>Soft Support</v>
      </c>
      <c r="D106">
        <f>COUNTIFS([3]!players[name],A106,[3]!players[hero_name],B106)</f>
        <v>1</v>
      </c>
      <c r="E106">
        <f>COUNTIFS([3]!players[name],A106,[3]!players[hero_name],B106, [3]!players[win], 1)</f>
        <v>0</v>
      </c>
      <c r="F106" s="1">
        <f t="shared" si="1"/>
        <v>0</v>
      </c>
      <c r="G106" s="2">
        <f>AVERAGEIFS([3]!players[gold_per_min], [3]!players[name],A106,[3]!players[hero_name],B106)</f>
        <v>275</v>
      </c>
      <c r="H106" s="2">
        <f>AVERAGEIFS([3]!players[xp_per_min], [3]!players[name],A106,[3]!players[hero_name],B106)</f>
        <v>335</v>
      </c>
    </row>
    <row r="107" spans="1:8" x14ac:dyDescent="0.3">
      <c r="A107" t="str">
        <v>AbyssWalker</v>
      </c>
      <c r="B107" t="str">
        <v>Nyx Assassin</v>
      </c>
      <c r="C107" t="str" cm="1">
        <f t="array" ref="C107">_xlfn.XLOOKUP(1,([3]!players[name]=A107)*([3]!players[hero_name]=B107),[3]!players[lane_name])</f>
        <v>Hard Support</v>
      </c>
      <c r="D107">
        <f>COUNTIFS([3]!players[name],A107,[3]!players[hero_name],B107)</f>
        <v>1</v>
      </c>
      <c r="E107">
        <f>COUNTIFS([3]!players[name],A107,[3]!players[hero_name],B107, [3]!players[win], 1)</f>
        <v>1</v>
      </c>
      <c r="F107" s="1">
        <f t="shared" si="1"/>
        <v>1</v>
      </c>
      <c r="G107" s="2">
        <f>AVERAGEIFS([3]!players[gold_per_min], [3]!players[name],A107,[3]!players[hero_name],B107)</f>
        <v>337</v>
      </c>
      <c r="H107" s="2">
        <f>AVERAGEIFS([3]!players[xp_per_min], [3]!players[name],A107,[3]!players[hero_name],B107)</f>
        <v>388</v>
      </c>
    </row>
    <row r="108" spans="1:8" x14ac:dyDescent="0.3">
      <c r="A108" t="str">
        <v>AbyssWalker</v>
      </c>
      <c r="B108" t="str">
        <v>Ringmaster</v>
      </c>
      <c r="C108" t="str" cm="1">
        <f t="array" ref="C108">_xlfn.XLOOKUP(1,([3]!players[name]=A108)*([3]!players[hero_name]=B108),[3]!players[lane_name])</f>
        <v>Soft Support</v>
      </c>
      <c r="D108">
        <f>COUNTIFS([3]!players[name],A108,[3]!players[hero_name],B108)</f>
        <v>1</v>
      </c>
      <c r="E108">
        <f>COUNTIFS([3]!players[name],A108,[3]!players[hero_name],B108, [3]!players[win], 1)</f>
        <v>1</v>
      </c>
      <c r="F108" s="1">
        <f t="shared" si="1"/>
        <v>1</v>
      </c>
      <c r="G108" s="2">
        <f>AVERAGEIFS([3]!players[gold_per_min], [3]!players[name],A108,[3]!players[hero_name],B108)</f>
        <v>324</v>
      </c>
      <c r="H108" s="2">
        <f>AVERAGEIFS([3]!players[xp_per_min], [3]!players[name],A108,[3]!players[hero_name],B108)</f>
        <v>458</v>
      </c>
    </row>
    <row r="109" spans="1:8" x14ac:dyDescent="0.3">
      <c r="A109" t="str">
        <v>AbyssWalker</v>
      </c>
      <c r="B109" t="str">
        <v>Pugna</v>
      </c>
      <c r="C109" t="str" cm="1">
        <f t="array" ref="C109">_xlfn.XLOOKUP(1,([3]!players[name]=A109)*([3]!players[hero_name]=B109),[3]!players[lane_name])</f>
        <v>Soft Support</v>
      </c>
      <c r="D109">
        <f>COUNTIFS([3]!players[name],A109,[3]!players[hero_name],B109)</f>
        <v>3</v>
      </c>
      <c r="E109">
        <f>COUNTIFS([3]!players[name],A109,[3]!players[hero_name],B109, [3]!players[win], 1)</f>
        <v>1</v>
      </c>
      <c r="F109" s="1">
        <f t="shared" si="1"/>
        <v>0.33333333333333331</v>
      </c>
      <c r="G109" s="2">
        <f>AVERAGEIFS([3]!players[gold_per_min], [3]!players[name],A109,[3]!players[hero_name],B109)</f>
        <v>390</v>
      </c>
      <c r="H109" s="2">
        <f>AVERAGEIFS([3]!players[xp_per_min], [3]!players[name],A109,[3]!players[hero_name],B109)</f>
        <v>570</v>
      </c>
    </row>
    <row r="110" spans="1:8" x14ac:dyDescent="0.3">
      <c r="A110" t="str">
        <v>AbyssWalker</v>
      </c>
      <c r="B110" t="str">
        <v>Jakiro</v>
      </c>
      <c r="C110" t="str" cm="1">
        <f t="array" ref="C110">_xlfn.XLOOKUP(1,([3]!players[name]=A110)*([3]!players[hero_name]=B110),[3]!players[lane_name])</f>
        <v>Hard Support</v>
      </c>
      <c r="D110">
        <f>COUNTIFS([3]!players[name],A110,[3]!players[hero_name],B110)</f>
        <v>3</v>
      </c>
      <c r="E110">
        <f>COUNTIFS([3]!players[name],A110,[3]!players[hero_name],B110, [3]!players[win], 1)</f>
        <v>3</v>
      </c>
      <c r="F110" s="1">
        <f t="shared" si="1"/>
        <v>1</v>
      </c>
      <c r="G110" s="2">
        <f>AVERAGEIFS([3]!players[gold_per_min], [3]!players[name],A110,[3]!players[hero_name],B110)</f>
        <v>326</v>
      </c>
      <c r="H110" s="2">
        <f>AVERAGEIFS([3]!players[xp_per_min], [3]!players[name],A110,[3]!players[hero_name],B110)</f>
        <v>488.33333333333331</v>
      </c>
    </row>
    <row r="111" spans="1:8" x14ac:dyDescent="0.3">
      <c r="A111" t="str">
        <v>AbyssWalker</v>
      </c>
      <c r="B111" t="str">
        <v>Lion</v>
      </c>
      <c r="C111" t="str" cm="1">
        <f t="array" ref="C111">_xlfn.XLOOKUP(1,([3]!players[name]=A111)*([3]!players[hero_name]=B111),[3]!players[lane_name])</f>
        <v>Hard Support</v>
      </c>
      <c r="D111">
        <f>COUNTIFS([3]!players[name],A111,[3]!players[hero_name],B111)</f>
        <v>3</v>
      </c>
      <c r="E111">
        <f>COUNTIFS([3]!players[name],A111,[3]!players[hero_name],B111, [3]!players[win], 1)</f>
        <v>0</v>
      </c>
      <c r="F111" s="1">
        <f t="shared" si="1"/>
        <v>0</v>
      </c>
      <c r="G111" s="2">
        <f>AVERAGEIFS([3]!players[gold_per_min], [3]!players[name],A111,[3]!players[hero_name],B111)</f>
        <v>245</v>
      </c>
      <c r="H111" s="2">
        <f>AVERAGEIFS([3]!players[xp_per_min], [3]!players[name],A111,[3]!players[hero_name],B111)</f>
        <v>356.66666666666669</v>
      </c>
    </row>
    <row r="112" spans="1:8" x14ac:dyDescent="0.3">
      <c r="A112" t="str">
        <v>AbyssWalker</v>
      </c>
      <c r="B112" t="str">
        <v>Oracle</v>
      </c>
      <c r="C112" t="str" cm="1">
        <f t="array" ref="C112">_xlfn.XLOOKUP(1,([3]!players[name]=A112)*([3]!players[hero_name]=B112),[3]!players[lane_name])</f>
        <v>Soft Support</v>
      </c>
      <c r="D112">
        <f>COUNTIFS([3]!players[name],A112,[3]!players[hero_name],B112)</f>
        <v>2</v>
      </c>
      <c r="E112">
        <f>COUNTIFS([3]!players[name],A112,[3]!players[hero_name],B112, [3]!players[win], 1)</f>
        <v>1</v>
      </c>
      <c r="F112" s="1">
        <f t="shared" si="1"/>
        <v>0.5</v>
      </c>
      <c r="G112" s="2">
        <f>AVERAGEIFS([3]!players[gold_per_min], [3]!players[name],A112,[3]!players[hero_name],B112)</f>
        <v>330.5</v>
      </c>
      <c r="H112" s="2">
        <f>AVERAGEIFS([3]!players[xp_per_min], [3]!players[name],A112,[3]!players[hero_name],B112)</f>
        <v>540</v>
      </c>
    </row>
    <row r="113" spans="1:8" x14ac:dyDescent="0.3">
      <c r="A113" t="str">
        <v>AbyssWalker</v>
      </c>
      <c r="B113" t="str">
        <v>Templar Assassin</v>
      </c>
      <c r="C113" t="str" cm="1">
        <f t="array" ref="C113">_xlfn.XLOOKUP(1,([3]!players[name]=A113)*([3]!players[hero_name]=B113),[3]!players[lane_name])</f>
        <v>Carry</v>
      </c>
      <c r="D113">
        <f>COUNTIFS([3]!players[name],A113,[3]!players[hero_name],B113)</f>
        <v>1</v>
      </c>
      <c r="E113">
        <f>COUNTIFS([3]!players[name],A113,[3]!players[hero_name],B113, [3]!players[win], 1)</f>
        <v>0</v>
      </c>
      <c r="F113" s="1">
        <f t="shared" si="1"/>
        <v>0</v>
      </c>
      <c r="G113" s="2">
        <f>AVERAGEIFS([3]!players[gold_per_min], [3]!players[name],A113,[3]!players[hero_name],B113)</f>
        <v>551</v>
      </c>
      <c r="H113" s="2">
        <f>AVERAGEIFS([3]!players[xp_per_min], [3]!players[name],A113,[3]!players[hero_name],B113)</f>
        <v>693</v>
      </c>
    </row>
    <row r="114" spans="1:8" x14ac:dyDescent="0.3">
      <c r="A114" t="str">
        <v>AbyssWalker</v>
      </c>
      <c r="B114" t="str">
        <v>Chen</v>
      </c>
      <c r="C114" t="str" cm="1">
        <f t="array" ref="C114">_xlfn.XLOOKUP(1,([3]!players[name]=A114)*([3]!players[hero_name]=B114),[3]!players[lane_name])</f>
        <v>Soft Support</v>
      </c>
      <c r="D114">
        <f>COUNTIFS([3]!players[name],A114,[3]!players[hero_name],B114)</f>
        <v>1</v>
      </c>
      <c r="E114">
        <f>COUNTIFS([3]!players[name],A114,[3]!players[hero_name],B114, [3]!players[win], 1)</f>
        <v>0</v>
      </c>
      <c r="F114" s="1">
        <f t="shared" si="1"/>
        <v>0</v>
      </c>
      <c r="G114" s="2">
        <f>AVERAGEIFS([3]!players[gold_per_min], [3]!players[name],A114,[3]!players[hero_name],B114)</f>
        <v>279</v>
      </c>
      <c r="H114" s="2">
        <f>AVERAGEIFS([3]!players[xp_per_min], [3]!players[name],A114,[3]!players[hero_name],B114)</f>
        <v>328</v>
      </c>
    </row>
    <row r="115" spans="1:8" x14ac:dyDescent="0.3">
      <c r="A115" t="str">
        <v>AbyssWalker</v>
      </c>
      <c r="B115" t="str">
        <v>Undying</v>
      </c>
      <c r="C115" t="str" cm="1">
        <f t="array" ref="C115">_xlfn.XLOOKUP(1,([3]!players[name]=A115)*([3]!players[hero_name]=B115),[3]!players[lane_name])</f>
        <v>Soft Support</v>
      </c>
      <c r="D115">
        <f>COUNTIFS([3]!players[name],A115,[3]!players[hero_name],B115)</f>
        <v>1</v>
      </c>
      <c r="E115">
        <f>COUNTIFS([3]!players[name],A115,[3]!players[hero_name],B115, [3]!players[win], 1)</f>
        <v>0</v>
      </c>
      <c r="F115" s="1">
        <f t="shared" si="1"/>
        <v>0</v>
      </c>
      <c r="G115" s="2">
        <f>AVERAGEIFS([3]!players[gold_per_min], [3]!players[name],A115,[3]!players[hero_name],B115)</f>
        <v>260</v>
      </c>
      <c r="H115" s="2">
        <f>AVERAGEIFS([3]!players[xp_per_min], [3]!players[name],A115,[3]!players[hero_name],B115)</f>
        <v>329</v>
      </c>
    </row>
    <row r="116" spans="1:8" x14ac:dyDescent="0.3">
      <c r="A116" t="str">
        <v>Ace â™ </v>
      </c>
      <c r="B116" t="str">
        <v>Axe</v>
      </c>
      <c r="C116" t="str" cm="1">
        <f t="array" ref="C116">_xlfn.XLOOKUP(1,([3]!players[name]=A116)*([3]!players[hero_name]=B116),[3]!players[lane_name])</f>
        <v>Off Lane</v>
      </c>
      <c r="D116">
        <f>COUNTIFS([3]!players[name],A116,[3]!players[hero_name],B116)</f>
        <v>1</v>
      </c>
      <c r="E116">
        <f>COUNTIFS([3]!players[name],A116,[3]!players[hero_name],B116, [3]!players[win], 1)</f>
        <v>0</v>
      </c>
      <c r="F116" s="1">
        <f t="shared" si="1"/>
        <v>0</v>
      </c>
      <c r="G116" s="2">
        <f>AVERAGEIFS([3]!players[gold_per_min], [3]!players[name],A116,[3]!players[hero_name],B116)</f>
        <v>526</v>
      </c>
      <c r="H116" s="2">
        <f>AVERAGEIFS([3]!players[xp_per_min], [3]!players[name],A116,[3]!players[hero_name],B116)</f>
        <v>756</v>
      </c>
    </row>
    <row r="117" spans="1:8" x14ac:dyDescent="0.3">
      <c r="A117" t="str">
        <v>Ace â™ </v>
      </c>
      <c r="B117" t="str">
        <v>Slardar</v>
      </c>
      <c r="C117" t="str" cm="1">
        <f t="array" ref="C117">_xlfn.XLOOKUP(1,([3]!players[name]=A117)*([3]!players[hero_name]=B117),[3]!players[lane_name])</f>
        <v>Off Lane</v>
      </c>
      <c r="D117">
        <f>COUNTIFS([3]!players[name],A117,[3]!players[hero_name],B117)</f>
        <v>4</v>
      </c>
      <c r="E117">
        <f>COUNTIFS([3]!players[name],A117,[3]!players[hero_name],B117, [3]!players[win], 1)</f>
        <v>4</v>
      </c>
      <c r="F117" s="1">
        <f t="shared" si="1"/>
        <v>1</v>
      </c>
      <c r="G117" s="2">
        <f>AVERAGEIFS([3]!players[gold_per_min], [3]!players[name],A117,[3]!players[hero_name],B117)</f>
        <v>569</v>
      </c>
      <c r="H117" s="2">
        <f>AVERAGEIFS([3]!players[xp_per_min], [3]!players[name],A117,[3]!players[hero_name],B117)</f>
        <v>760.25</v>
      </c>
    </row>
    <row r="118" spans="1:8" x14ac:dyDescent="0.3">
      <c r="A118" t="str">
        <v>Ace â™ </v>
      </c>
      <c r="B118" t="str">
        <v>Dark Seer</v>
      </c>
      <c r="C118" t="str" cm="1">
        <f t="array" ref="C118">_xlfn.XLOOKUP(1,([3]!players[name]=A118)*([3]!players[hero_name]=B118),[3]!players[lane_name])</f>
        <v>Off Lane</v>
      </c>
      <c r="D118">
        <f>COUNTIFS([3]!players[name],A118,[3]!players[hero_name],B118)</f>
        <v>1</v>
      </c>
      <c r="E118">
        <f>COUNTIFS([3]!players[name],A118,[3]!players[hero_name],B118, [3]!players[win], 1)</f>
        <v>0</v>
      </c>
      <c r="F118" s="1">
        <f t="shared" si="1"/>
        <v>0</v>
      </c>
      <c r="G118" s="2">
        <f>AVERAGEIFS([3]!players[gold_per_min], [3]!players[name],A118,[3]!players[hero_name],B118)</f>
        <v>524</v>
      </c>
      <c r="H118" s="2">
        <f>AVERAGEIFS([3]!players[xp_per_min], [3]!players[name],A118,[3]!players[hero_name],B118)</f>
        <v>527</v>
      </c>
    </row>
    <row r="119" spans="1:8" x14ac:dyDescent="0.3">
      <c r="A119" t="str">
        <v>Ace â™ </v>
      </c>
      <c r="B119" t="str">
        <v>Pangolier</v>
      </c>
      <c r="C119" t="str" cm="1">
        <f t="array" ref="C119">_xlfn.XLOOKUP(1,([3]!players[name]=A119)*([3]!players[hero_name]=B119),[3]!players[lane_name])</f>
        <v>Off Lane</v>
      </c>
      <c r="D119">
        <f>COUNTIFS([3]!players[name],A119,[3]!players[hero_name],B119)</f>
        <v>9</v>
      </c>
      <c r="E119">
        <f>COUNTIFS([3]!players[name],A119,[3]!players[hero_name],B119, [3]!players[win], 1)</f>
        <v>6</v>
      </c>
      <c r="F119" s="1">
        <f t="shared" si="1"/>
        <v>0.66666666666666663</v>
      </c>
      <c r="G119" s="2">
        <f>AVERAGEIFS([3]!players[gold_per_min], [3]!players[name],A119,[3]!players[hero_name],B119)</f>
        <v>605.77777777777783</v>
      </c>
      <c r="H119" s="2">
        <f>AVERAGEIFS([3]!players[xp_per_min], [3]!players[name],A119,[3]!players[hero_name],B119)</f>
        <v>855.77777777777783</v>
      </c>
    </row>
    <row r="120" spans="1:8" x14ac:dyDescent="0.3">
      <c r="A120" t="str">
        <v>Ace â™ </v>
      </c>
      <c r="B120" t="str">
        <v>Beastmaster</v>
      </c>
      <c r="C120" t="str" cm="1">
        <f t="array" ref="C120">_xlfn.XLOOKUP(1,([3]!players[name]=A120)*([3]!players[hero_name]=B120),[3]!players[lane_name])</f>
        <v>Off Lane</v>
      </c>
      <c r="D120">
        <f>COUNTIFS([3]!players[name],A120,[3]!players[hero_name],B120)</f>
        <v>3</v>
      </c>
      <c r="E120">
        <f>COUNTIFS([3]!players[name],A120,[3]!players[hero_name],B120, [3]!players[win], 1)</f>
        <v>1</v>
      </c>
      <c r="F120" s="1">
        <f t="shared" si="1"/>
        <v>0.33333333333333331</v>
      </c>
      <c r="G120" s="2">
        <f>AVERAGEIFS([3]!players[gold_per_min], [3]!players[name],A120,[3]!players[hero_name],B120)</f>
        <v>605.66666666666663</v>
      </c>
      <c r="H120" s="2">
        <f>AVERAGEIFS([3]!players[xp_per_min], [3]!players[name],A120,[3]!players[hero_name],B120)</f>
        <v>841.33333333333337</v>
      </c>
    </row>
    <row r="121" spans="1:8" x14ac:dyDescent="0.3">
      <c r="A121" t="str">
        <v>Ace â™ </v>
      </c>
      <c r="B121" t="str">
        <v>Bristleback</v>
      </c>
      <c r="C121" t="str" cm="1">
        <f t="array" ref="C121">_xlfn.XLOOKUP(1,([3]!players[name]=A121)*([3]!players[hero_name]=B121),[3]!players[lane_name])</f>
        <v>Off Lane</v>
      </c>
      <c r="D121">
        <f>COUNTIFS([3]!players[name],A121,[3]!players[hero_name],B121)</f>
        <v>4</v>
      </c>
      <c r="E121">
        <f>COUNTIFS([3]!players[name],A121,[3]!players[hero_name],B121, [3]!players[win], 1)</f>
        <v>3</v>
      </c>
      <c r="F121" s="1">
        <f t="shared" si="1"/>
        <v>0.75</v>
      </c>
      <c r="G121" s="2">
        <f>AVERAGEIFS([3]!players[gold_per_min], [3]!players[name],A121,[3]!players[hero_name],B121)</f>
        <v>619.25</v>
      </c>
      <c r="H121" s="2">
        <f>AVERAGEIFS([3]!players[xp_per_min], [3]!players[name],A121,[3]!players[hero_name],B121)</f>
        <v>824.5</v>
      </c>
    </row>
    <row r="122" spans="1:8" x14ac:dyDescent="0.3">
      <c r="A122" t="str">
        <v>Ace â™ </v>
      </c>
      <c r="B122" t="str">
        <v>Underlord</v>
      </c>
      <c r="C122" t="str" cm="1">
        <f t="array" ref="C122">_xlfn.XLOOKUP(1,([3]!players[name]=A122)*([3]!players[hero_name]=B122),[3]!players[lane_name])</f>
        <v>Off Lane</v>
      </c>
      <c r="D122">
        <f>COUNTIFS([3]!players[name],A122,[3]!players[hero_name],B122)</f>
        <v>6</v>
      </c>
      <c r="E122">
        <f>COUNTIFS([3]!players[name],A122,[3]!players[hero_name],B122, [3]!players[win], 1)</f>
        <v>6</v>
      </c>
      <c r="F122" s="1">
        <f t="shared" si="1"/>
        <v>1</v>
      </c>
      <c r="G122" s="2">
        <f>AVERAGEIFS([3]!players[gold_per_min], [3]!players[name],A122,[3]!players[hero_name],B122)</f>
        <v>603.5</v>
      </c>
      <c r="H122" s="2">
        <f>AVERAGEIFS([3]!players[xp_per_min], [3]!players[name],A122,[3]!players[hero_name],B122)</f>
        <v>908.16666666666663</v>
      </c>
    </row>
    <row r="123" spans="1:8" x14ac:dyDescent="0.3">
      <c r="A123" t="str">
        <v>Ace â™ </v>
      </c>
      <c r="B123" t="str">
        <v>Dawnbreaker</v>
      </c>
      <c r="C123" t="str" cm="1">
        <f t="array" ref="C123">_xlfn.XLOOKUP(1,([3]!players[name]=A123)*([3]!players[hero_name]=B123),[3]!players[lane_name])</f>
        <v>Off Lane</v>
      </c>
      <c r="D123">
        <f>COUNTIFS([3]!players[name],A123,[3]!players[hero_name],B123)</f>
        <v>3</v>
      </c>
      <c r="E123">
        <f>COUNTIFS([3]!players[name],A123,[3]!players[hero_name],B123, [3]!players[win], 1)</f>
        <v>1</v>
      </c>
      <c r="F123" s="1">
        <f t="shared" si="1"/>
        <v>0.33333333333333331</v>
      </c>
      <c r="G123" s="2">
        <f>AVERAGEIFS([3]!players[gold_per_min], [3]!players[name],A123,[3]!players[hero_name],B123)</f>
        <v>606.66666666666663</v>
      </c>
      <c r="H123" s="2">
        <f>AVERAGEIFS([3]!players[xp_per_min], [3]!players[name],A123,[3]!players[hero_name],B123)</f>
        <v>857.66666666666663</v>
      </c>
    </row>
    <row r="124" spans="1:8" x14ac:dyDescent="0.3">
      <c r="A124" t="str">
        <v>Ace â™ </v>
      </c>
      <c r="B124" t="str">
        <v>Lycan</v>
      </c>
      <c r="C124" t="str" cm="1">
        <f t="array" ref="C124">_xlfn.XLOOKUP(1,([3]!players[name]=A124)*([3]!players[hero_name]=B124),[3]!players[lane_name])</f>
        <v>Off Lane</v>
      </c>
      <c r="D124">
        <f>COUNTIFS([3]!players[name],A124,[3]!players[hero_name],B124)</f>
        <v>2</v>
      </c>
      <c r="E124">
        <f>COUNTIFS([3]!players[name],A124,[3]!players[hero_name],B124, [3]!players[win], 1)</f>
        <v>0</v>
      </c>
      <c r="F124" s="1">
        <f t="shared" si="1"/>
        <v>0</v>
      </c>
      <c r="G124" s="2">
        <f>AVERAGEIFS([3]!players[gold_per_min], [3]!players[name],A124,[3]!players[hero_name],B124)</f>
        <v>415</v>
      </c>
      <c r="H124" s="2">
        <f>AVERAGEIFS([3]!players[xp_per_min], [3]!players[name],A124,[3]!players[hero_name],B124)</f>
        <v>455</v>
      </c>
    </row>
    <row r="125" spans="1:8" x14ac:dyDescent="0.3">
      <c r="A125" t="str">
        <v>Ace â™ </v>
      </c>
      <c r="B125" t="str">
        <v>Brewmaster</v>
      </c>
      <c r="C125" t="str" cm="1">
        <f t="array" ref="C125">_xlfn.XLOOKUP(1,([3]!players[name]=A125)*([3]!players[hero_name]=B125),[3]!players[lane_name])</f>
        <v>Off Lane</v>
      </c>
      <c r="D125">
        <f>COUNTIFS([3]!players[name],A125,[3]!players[hero_name],B125)</f>
        <v>1</v>
      </c>
      <c r="E125">
        <f>COUNTIFS([3]!players[name],A125,[3]!players[hero_name],B125, [3]!players[win], 1)</f>
        <v>0</v>
      </c>
      <c r="F125" s="1">
        <f t="shared" si="1"/>
        <v>0</v>
      </c>
      <c r="G125" s="2">
        <f>AVERAGEIFS([3]!players[gold_per_min], [3]!players[name],A125,[3]!players[hero_name],B125)</f>
        <v>489</v>
      </c>
      <c r="H125" s="2">
        <f>AVERAGEIFS([3]!players[xp_per_min], [3]!players[name],A125,[3]!players[hero_name],B125)</f>
        <v>548</v>
      </c>
    </row>
    <row r="126" spans="1:8" x14ac:dyDescent="0.3">
      <c r="A126" t="str">
        <v>Ace â™ </v>
      </c>
      <c r="B126" t="str">
        <v>Batrider</v>
      </c>
      <c r="C126" t="str" cm="1">
        <f t="array" ref="C126">_xlfn.XLOOKUP(1,([3]!players[name]=A126)*([3]!players[hero_name]=B126),[3]!players[lane_name])</f>
        <v>Off Lane</v>
      </c>
      <c r="D126">
        <f>COUNTIFS([3]!players[name],A126,[3]!players[hero_name],B126)</f>
        <v>3</v>
      </c>
      <c r="E126">
        <f>COUNTIFS([3]!players[name],A126,[3]!players[hero_name],B126, [3]!players[win], 1)</f>
        <v>2</v>
      </c>
      <c r="F126" s="1">
        <f t="shared" si="1"/>
        <v>0.66666666666666663</v>
      </c>
      <c r="G126" s="2">
        <f>AVERAGEIFS([3]!players[gold_per_min], [3]!players[name],A126,[3]!players[hero_name],B126)</f>
        <v>563</v>
      </c>
      <c r="H126" s="2">
        <f>AVERAGEIFS([3]!players[xp_per_min], [3]!players[name],A126,[3]!players[hero_name],B126)</f>
        <v>817</v>
      </c>
    </row>
    <row r="127" spans="1:8" x14ac:dyDescent="0.3">
      <c r="A127" t="str">
        <v>Ace â™ </v>
      </c>
      <c r="B127" t="str">
        <v>Largo</v>
      </c>
      <c r="C127" t="str" cm="1">
        <f t="array" ref="C127">_xlfn.XLOOKUP(1,([3]!players[name]=A127)*([3]!players[hero_name]=B127),[3]!players[lane_name])</f>
        <v>Off Lane</v>
      </c>
      <c r="D127">
        <f>COUNTIFS([3]!players[name],A127,[3]!players[hero_name],B127)</f>
        <v>1</v>
      </c>
      <c r="E127">
        <f>COUNTIFS([3]!players[name],A127,[3]!players[hero_name],B127, [3]!players[win], 1)</f>
        <v>0</v>
      </c>
      <c r="F127" s="1">
        <f t="shared" si="1"/>
        <v>0</v>
      </c>
      <c r="G127" s="2">
        <f>AVERAGEIFS([3]!players[gold_per_min], [3]!players[name],A127,[3]!players[hero_name],B127)</f>
        <v>500</v>
      </c>
      <c r="H127" s="2">
        <f>AVERAGEIFS([3]!players[xp_per_min], [3]!players[name],A127,[3]!players[hero_name],B127)</f>
        <v>593</v>
      </c>
    </row>
    <row r="128" spans="1:8" x14ac:dyDescent="0.3">
      <c r="A128" t="str">
        <v>æ¥¼</v>
      </c>
      <c r="B128" t="str">
        <v>Alchemist</v>
      </c>
      <c r="C128" t="str" cm="1">
        <f t="array" ref="C128">_xlfn.XLOOKUP(1,([3]!players[name]=A128)*([3]!players[hero_name]=B128),[3]!players[lane_name])</f>
        <v>Carry</v>
      </c>
      <c r="D128">
        <f>COUNTIFS([3]!players[name],A128,[3]!players[hero_name],B128)</f>
        <v>2</v>
      </c>
      <c r="E128">
        <f>COUNTIFS([3]!players[name],A128,[3]!players[hero_name],B128, [3]!players[win], 1)</f>
        <v>1</v>
      </c>
      <c r="F128" s="1">
        <f t="shared" si="1"/>
        <v>0.5</v>
      </c>
      <c r="G128" s="2">
        <f>AVERAGEIFS([3]!players[gold_per_min], [3]!players[name],A128,[3]!players[hero_name],B128)</f>
        <v>956</v>
      </c>
      <c r="H128" s="2">
        <f>AVERAGEIFS([3]!players[xp_per_min], [3]!players[name],A128,[3]!players[hero_name],B128)</f>
        <v>840</v>
      </c>
    </row>
    <row r="129" spans="1:8" x14ac:dyDescent="0.3">
      <c r="A129" t="str">
        <v>æ¥¼</v>
      </c>
      <c r="B129" t="str">
        <v>Ursa</v>
      </c>
      <c r="C129" t="str" cm="1">
        <f t="array" ref="C129">_xlfn.XLOOKUP(1,([3]!players[name]=A129)*([3]!players[hero_name]=B129),[3]!players[lane_name])</f>
        <v>Carry</v>
      </c>
      <c r="D129">
        <f>COUNTIFS([3]!players[name],A129,[3]!players[hero_name],B129)</f>
        <v>2</v>
      </c>
      <c r="E129">
        <f>COUNTIFS([3]!players[name],A129,[3]!players[hero_name],B129, [3]!players[win], 1)</f>
        <v>0</v>
      </c>
      <c r="F129" s="1">
        <f t="shared" si="1"/>
        <v>0</v>
      </c>
      <c r="G129" s="2">
        <f>AVERAGEIFS([3]!players[gold_per_min], [3]!players[name],A129,[3]!players[hero_name],B129)</f>
        <v>604.5</v>
      </c>
      <c r="H129" s="2">
        <f>AVERAGEIFS([3]!players[xp_per_min], [3]!players[name],A129,[3]!players[hero_name],B129)</f>
        <v>669</v>
      </c>
    </row>
    <row r="130" spans="1:8" x14ac:dyDescent="0.3">
      <c r="A130" t="str">
        <v>æ¥¼</v>
      </c>
      <c r="B130" t="str">
        <v>Templar Assassin</v>
      </c>
      <c r="C130" t="str" cm="1">
        <f t="array" ref="C130">_xlfn.XLOOKUP(1,([3]!players[name]=A130)*([3]!players[hero_name]=B130),[3]!players[lane_name])</f>
        <v>Carry</v>
      </c>
      <c r="D130">
        <f>COUNTIFS([3]!players[name],A130,[3]!players[hero_name],B130)</f>
        <v>1</v>
      </c>
      <c r="E130">
        <f>COUNTIFS([3]!players[name],A130,[3]!players[hero_name],B130, [3]!players[win], 1)</f>
        <v>0</v>
      </c>
      <c r="F130" s="1">
        <f t="shared" si="1"/>
        <v>0</v>
      </c>
      <c r="G130" s="2">
        <f>AVERAGEIFS([3]!players[gold_per_min], [3]!players[name],A130,[3]!players[hero_name],B130)</f>
        <v>793</v>
      </c>
      <c r="H130" s="2">
        <f>AVERAGEIFS([3]!players[xp_per_min], [3]!players[name],A130,[3]!players[hero_name],B130)</f>
        <v>1021</v>
      </c>
    </row>
    <row r="131" spans="1:8" x14ac:dyDescent="0.3">
      <c r="A131" t="str">
        <v>æ¥¼</v>
      </c>
      <c r="B131" t="str">
        <v>Kez</v>
      </c>
      <c r="C131" t="str" cm="1">
        <f t="array" ref="C131">_xlfn.XLOOKUP(1,([3]!players[name]=A131)*([3]!players[hero_name]=B131),[3]!players[lane_name])</f>
        <v>Carry</v>
      </c>
      <c r="D131">
        <f>COUNTIFS([3]!players[name],A131,[3]!players[hero_name],B131)</f>
        <v>3</v>
      </c>
      <c r="E131">
        <f>COUNTIFS([3]!players[name],A131,[3]!players[hero_name],B131, [3]!players[win], 1)</f>
        <v>2</v>
      </c>
      <c r="F131" s="1">
        <f t="shared" ref="F131:F194" si="2">E131/D131</f>
        <v>0.66666666666666663</v>
      </c>
      <c r="G131" s="2">
        <f>AVERAGEIFS([3]!players[gold_per_min], [3]!players[name],A131,[3]!players[hero_name],B131)</f>
        <v>662.66666666666663</v>
      </c>
      <c r="H131" s="2">
        <f>AVERAGEIFS([3]!players[xp_per_min], [3]!players[name],A131,[3]!players[hero_name],B131)</f>
        <v>769.33333333333337</v>
      </c>
    </row>
    <row r="132" spans="1:8" x14ac:dyDescent="0.3">
      <c r="A132" t="str">
        <v>æ¥¼</v>
      </c>
      <c r="B132" t="str">
        <v>Muerta</v>
      </c>
      <c r="C132" t="str" cm="1">
        <f t="array" ref="C132">_xlfn.XLOOKUP(1,([3]!players[name]=A132)*([3]!players[hero_name]=B132),[3]!players[lane_name])</f>
        <v>Carry</v>
      </c>
      <c r="D132">
        <f>COUNTIFS([3]!players[name],A132,[3]!players[hero_name],B132)</f>
        <v>1</v>
      </c>
      <c r="E132">
        <f>COUNTIFS([3]!players[name],A132,[3]!players[hero_name],B132, [3]!players[win], 1)</f>
        <v>1</v>
      </c>
      <c r="F132" s="1">
        <f t="shared" si="2"/>
        <v>1</v>
      </c>
      <c r="G132" s="2">
        <f>AVERAGEIFS([3]!players[gold_per_min], [3]!players[name],A132,[3]!players[hero_name],B132)</f>
        <v>779</v>
      </c>
      <c r="H132" s="2">
        <f>AVERAGEIFS([3]!players[xp_per_min], [3]!players[name],A132,[3]!players[hero_name],B132)</f>
        <v>891</v>
      </c>
    </row>
    <row r="133" spans="1:8" x14ac:dyDescent="0.3">
      <c r="A133" t="str">
        <v>æ¥¼</v>
      </c>
      <c r="B133" t="str">
        <v>Faceless Void</v>
      </c>
      <c r="C133" t="str" cm="1">
        <f t="array" ref="C133">_xlfn.XLOOKUP(1,([3]!players[name]=A133)*([3]!players[hero_name]=B133),[3]!players[lane_name])</f>
        <v>Carry</v>
      </c>
      <c r="D133">
        <f>COUNTIFS([3]!players[name],A133,[3]!players[hero_name],B133)</f>
        <v>1</v>
      </c>
      <c r="E133">
        <f>COUNTIFS([3]!players[name],A133,[3]!players[hero_name],B133, [3]!players[win], 1)</f>
        <v>1</v>
      </c>
      <c r="F133" s="1">
        <f t="shared" si="2"/>
        <v>1</v>
      </c>
      <c r="G133" s="2">
        <f>AVERAGEIFS([3]!players[gold_per_min], [3]!players[name],A133,[3]!players[hero_name],B133)</f>
        <v>630</v>
      </c>
      <c r="H133" s="2">
        <f>AVERAGEIFS([3]!players[xp_per_min], [3]!players[name],A133,[3]!players[hero_name],B133)</f>
        <v>714</v>
      </c>
    </row>
    <row r="134" spans="1:8" x14ac:dyDescent="0.3">
      <c r="A134" t="str">
        <v>æ¥¼</v>
      </c>
      <c r="B134" t="str">
        <v>Luna</v>
      </c>
      <c r="C134" t="str" cm="1">
        <f t="array" ref="C134">_xlfn.XLOOKUP(1,([3]!players[name]=A134)*([3]!players[hero_name]=B134),[3]!players[lane_name])</f>
        <v>Carry</v>
      </c>
      <c r="D134">
        <f>COUNTIFS([3]!players[name],A134,[3]!players[hero_name],B134)</f>
        <v>1</v>
      </c>
      <c r="E134">
        <f>COUNTIFS([3]!players[name],A134,[3]!players[hero_name],B134, [3]!players[win], 1)</f>
        <v>0</v>
      </c>
      <c r="F134" s="1">
        <f t="shared" si="2"/>
        <v>0</v>
      </c>
      <c r="G134" s="2">
        <f>AVERAGEIFS([3]!players[gold_per_min], [3]!players[name],A134,[3]!players[hero_name],B134)</f>
        <v>836</v>
      </c>
      <c r="H134" s="2">
        <f>AVERAGEIFS([3]!players[xp_per_min], [3]!players[name],A134,[3]!players[hero_name],B134)</f>
        <v>902</v>
      </c>
    </row>
    <row r="135" spans="1:8" x14ac:dyDescent="0.3">
      <c r="A135" t="str">
        <v>aik</v>
      </c>
      <c r="B135" t="str">
        <v>Jakiro</v>
      </c>
      <c r="C135" t="str" cm="1">
        <f t="array" ref="C135">_xlfn.XLOOKUP(1,([3]!players[name]=A135)*([3]!players[hero_name]=B135),[3]!players[lane_name])</f>
        <v>Roam</v>
      </c>
      <c r="D135">
        <f>COUNTIFS([3]!players[name],A135,[3]!players[hero_name],B135)</f>
        <v>6</v>
      </c>
      <c r="E135">
        <f>COUNTIFS([3]!players[name],A135,[3]!players[hero_name],B135, [3]!players[win], 1)</f>
        <v>2</v>
      </c>
      <c r="F135" s="1">
        <f t="shared" si="2"/>
        <v>0.33333333333333331</v>
      </c>
      <c r="G135" s="2">
        <f>AVERAGEIFS([3]!players[gold_per_min], [3]!players[name],A135,[3]!players[hero_name],B135)</f>
        <v>354.5</v>
      </c>
      <c r="H135" s="2">
        <f>AVERAGEIFS([3]!players[xp_per_min], [3]!players[name],A135,[3]!players[hero_name],B135)</f>
        <v>442.66666666666669</v>
      </c>
    </row>
    <row r="136" spans="1:8" x14ac:dyDescent="0.3">
      <c r="A136" t="str">
        <v>aik</v>
      </c>
      <c r="B136" t="str">
        <v>Phoenix</v>
      </c>
      <c r="C136" t="str" cm="1">
        <f t="array" ref="C136">_xlfn.XLOOKUP(1,([3]!players[name]=A136)*([3]!players[hero_name]=B136),[3]!players[lane_name])</f>
        <v>Soft Support</v>
      </c>
      <c r="D136">
        <f>COUNTIFS([3]!players[name],A136,[3]!players[hero_name],B136)</f>
        <v>7</v>
      </c>
      <c r="E136">
        <f>COUNTIFS([3]!players[name],A136,[3]!players[hero_name],B136, [3]!players[win], 1)</f>
        <v>3</v>
      </c>
      <c r="F136" s="1">
        <f t="shared" si="2"/>
        <v>0.42857142857142855</v>
      </c>
      <c r="G136" s="2">
        <f>AVERAGEIFS([3]!players[gold_per_min], [3]!players[name],A136,[3]!players[hero_name],B136)</f>
        <v>408.71428571428572</v>
      </c>
      <c r="H136" s="2">
        <f>AVERAGEIFS([3]!players[xp_per_min], [3]!players[name],A136,[3]!players[hero_name],B136)</f>
        <v>523.28571428571433</v>
      </c>
    </row>
    <row r="137" spans="1:8" x14ac:dyDescent="0.3">
      <c r="A137" t="str">
        <v>aik</v>
      </c>
      <c r="B137" t="str">
        <v>Hoodwink</v>
      </c>
      <c r="C137" t="str" cm="1">
        <f t="array" ref="C137">_xlfn.XLOOKUP(1,([3]!players[name]=A137)*([3]!players[hero_name]=B137),[3]!players[lane_name])</f>
        <v>Hard Support</v>
      </c>
      <c r="D137">
        <f>COUNTIFS([3]!players[name],A137,[3]!players[hero_name],B137)</f>
        <v>2</v>
      </c>
      <c r="E137">
        <f>COUNTIFS([3]!players[name],A137,[3]!players[hero_name],B137, [3]!players[win], 1)</f>
        <v>1</v>
      </c>
      <c r="F137" s="1">
        <f t="shared" si="2"/>
        <v>0.5</v>
      </c>
      <c r="G137" s="2">
        <f>AVERAGEIFS([3]!players[gold_per_min], [3]!players[name],A137,[3]!players[hero_name],B137)</f>
        <v>389.5</v>
      </c>
      <c r="H137" s="2">
        <f>AVERAGEIFS([3]!players[xp_per_min], [3]!players[name],A137,[3]!players[hero_name],B137)</f>
        <v>540.5</v>
      </c>
    </row>
    <row r="138" spans="1:8" x14ac:dyDescent="0.3">
      <c r="A138" t="str">
        <v>aik</v>
      </c>
      <c r="B138" t="str">
        <v>Lich</v>
      </c>
      <c r="C138" t="str" cm="1">
        <f t="array" ref="C138">_xlfn.XLOOKUP(1,([3]!players[name]=A138)*([3]!players[hero_name]=B138),[3]!players[lane_name])</f>
        <v>Soft Support</v>
      </c>
      <c r="D138">
        <f>COUNTIFS([3]!players[name],A138,[3]!players[hero_name],B138)</f>
        <v>1</v>
      </c>
      <c r="E138">
        <f>COUNTIFS([3]!players[name],A138,[3]!players[hero_name],B138, [3]!players[win], 1)</f>
        <v>0</v>
      </c>
      <c r="F138" s="1">
        <f t="shared" si="2"/>
        <v>0</v>
      </c>
      <c r="G138" s="2">
        <f>AVERAGEIFS([3]!players[gold_per_min], [3]!players[name],A138,[3]!players[hero_name],B138)</f>
        <v>330</v>
      </c>
      <c r="H138" s="2">
        <f>AVERAGEIFS([3]!players[xp_per_min], [3]!players[name],A138,[3]!players[hero_name],B138)</f>
        <v>394</v>
      </c>
    </row>
    <row r="139" spans="1:8" x14ac:dyDescent="0.3">
      <c r="A139" t="str">
        <v>aik</v>
      </c>
      <c r="B139" t="str">
        <v>Pugna</v>
      </c>
      <c r="C139" t="str" cm="1">
        <f t="array" ref="C139">_xlfn.XLOOKUP(1,([3]!players[name]=A139)*([3]!players[hero_name]=B139),[3]!players[lane_name])</f>
        <v>Soft Support</v>
      </c>
      <c r="D139">
        <f>COUNTIFS([3]!players[name],A139,[3]!players[hero_name],B139)</f>
        <v>1</v>
      </c>
      <c r="E139">
        <f>COUNTIFS([3]!players[name],A139,[3]!players[hero_name],B139, [3]!players[win], 1)</f>
        <v>1</v>
      </c>
      <c r="F139" s="1">
        <f t="shared" si="2"/>
        <v>1</v>
      </c>
      <c r="G139" s="2">
        <f>AVERAGEIFS([3]!players[gold_per_min], [3]!players[name],A139,[3]!players[hero_name],B139)</f>
        <v>406</v>
      </c>
      <c r="H139" s="2">
        <f>AVERAGEIFS([3]!players[xp_per_min], [3]!players[name],A139,[3]!players[hero_name],B139)</f>
        <v>617</v>
      </c>
    </row>
    <row r="140" spans="1:8" x14ac:dyDescent="0.3">
      <c r="A140" t="str">
        <v>aik</v>
      </c>
      <c r="B140" t="str">
        <v>Shadow Shaman</v>
      </c>
      <c r="C140" t="str" cm="1">
        <f t="array" ref="C140">_xlfn.XLOOKUP(1,([3]!players[name]=A140)*([3]!players[hero_name]=B140),[3]!players[lane_name])</f>
        <v>Roam</v>
      </c>
      <c r="D140">
        <f>COUNTIFS([3]!players[name],A140,[3]!players[hero_name],B140)</f>
        <v>1</v>
      </c>
      <c r="E140">
        <f>COUNTIFS([3]!players[name],A140,[3]!players[hero_name],B140, [3]!players[win], 1)</f>
        <v>0</v>
      </c>
      <c r="F140" s="1">
        <f t="shared" si="2"/>
        <v>0</v>
      </c>
      <c r="G140" s="2">
        <f>AVERAGEIFS([3]!players[gold_per_min], [3]!players[name],A140,[3]!players[hero_name],B140)</f>
        <v>284</v>
      </c>
      <c r="H140" s="2">
        <f>AVERAGEIFS([3]!players[xp_per_min], [3]!players[name],A140,[3]!players[hero_name],B140)</f>
        <v>306</v>
      </c>
    </row>
    <row r="141" spans="1:8" x14ac:dyDescent="0.3">
      <c r="A141" t="str">
        <v>aik</v>
      </c>
      <c r="B141" t="str">
        <v>Enchantress</v>
      </c>
      <c r="C141" t="str" cm="1">
        <f t="array" ref="C141">_xlfn.XLOOKUP(1,([3]!players[name]=A141)*([3]!players[hero_name]=B141),[3]!players[lane_name])</f>
        <v>Roam</v>
      </c>
      <c r="D141">
        <f>COUNTIFS([3]!players[name],A141,[3]!players[hero_name],B141)</f>
        <v>2</v>
      </c>
      <c r="E141">
        <f>COUNTIFS([3]!players[name],A141,[3]!players[hero_name],B141, [3]!players[win], 1)</f>
        <v>0</v>
      </c>
      <c r="F141" s="1">
        <f t="shared" si="2"/>
        <v>0</v>
      </c>
      <c r="G141" s="2">
        <f>AVERAGEIFS([3]!players[gold_per_min], [3]!players[name],A141,[3]!players[hero_name],B141)</f>
        <v>269.5</v>
      </c>
      <c r="H141" s="2">
        <f>AVERAGEIFS([3]!players[xp_per_min], [3]!players[name],A141,[3]!players[hero_name],B141)</f>
        <v>351.5</v>
      </c>
    </row>
    <row r="142" spans="1:8" x14ac:dyDescent="0.3">
      <c r="A142" t="str">
        <v>aik</v>
      </c>
      <c r="B142" t="str">
        <v>Ringmaster</v>
      </c>
      <c r="C142" t="str" cm="1">
        <f t="array" ref="C142">_xlfn.XLOOKUP(1,([3]!players[name]=A142)*([3]!players[hero_name]=B142),[3]!players[lane_name])</f>
        <v>Soft Support</v>
      </c>
      <c r="D142">
        <f>COUNTIFS([3]!players[name],A142,[3]!players[hero_name],B142)</f>
        <v>4</v>
      </c>
      <c r="E142">
        <f>COUNTIFS([3]!players[name],A142,[3]!players[hero_name],B142, [3]!players[win], 1)</f>
        <v>1</v>
      </c>
      <c r="F142" s="1">
        <f t="shared" si="2"/>
        <v>0.25</v>
      </c>
      <c r="G142" s="2">
        <f>AVERAGEIFS([3]!players[gold_per_min], [3]!players[name],A142,[3]!players[hero_name],B142)</f>
        <v>346.25</v>
      </c>
      <c r="H142" s="2">
        <f>AVERAGEIFS([3]!players[xp_per_min], [3]!players[name],A142,[3]!players[hero_name],B142)</f>
        <v>419.25</v>
      </c>
    </row>
    <row r="143" spans="1:8" x14ac:dyDescent="0.3">
      <c r="A143" t="str">
        <v>aik</v>
      </c>
      <c r="B143" t="str">
        <v>Batrider</v>
      </c>
      <c r="C143" t="str" cm="1">
        <f t="array" ref="C143">_xlfn.XLOOKUP(1,([3]!players[name]=A143)*([3]!players[hero_name]=B143),[3]!players[lane_name])</f>
        <v>Soft Support</v>
      </c>
      <c r="D143">
        <f>COUNTIFS([3]!players[name],A143,[3]!players[hero_name],B143)</f>
        <v>4</v>
      </c>
      <c r="E143">
        <f>COUNTIFS([3]!players[name],A143,[3]!players[hero_name],B143, [3]!players[win], 1)</f>
        <v>3</v>
      </c>
      <c r="F143" s="1">
        <f t="shared" si="2"/>
        <v>0.75</v>
      </c>
      <c r="G143" s="2">
        <f>AVERAGEIFS([3]!players[gold_per_min], [3]!players[name],A143,[3]!players[hero_name],B143)</f>
        <v>488.25</v>
      </c>
      <c r="H143" s="2">
        <f>AVERAGEIFS([3]!players[xp_per_min], [3]!players[name],A143,[3]!players[hero_name],B143)</f>
        <v>637</v>
      </c>
    </row>
    <row r="144" spans="1:8" x14ac:dyDescent="0.3">
      <c r="A144" t="str">
        <v>aik</v>
      </c>
      <c r="B144" t="str">
        <v>Venomancer</v>
      </c>
      <c r="C144" t="str" cm="1">
        <f t="array" ref="C144">_xlfn.XLOOKUP(1,([3]!players[name]=A144)*([3]!players[hero_name]=B144),[3]!players[lane_name])</f>
        <v>Soft Support</v>
      </c>
      <c r="D144">
        <f>COUNTIFS([3]!players[name],A144,[3]!players[hero_name],B144)</f>
        <v>4</v>
      </c>
      <c r="E144">
        <f>COUNTIFS([3]!players[name],A144,[3]!players[hero_name],B144, [3]!players[win], 1)</f>
        <v>3</v>
      </c>
      <c r="F144" s="1">
        <f t="shared" si="2"/>
        <v>0.75</v>
      </c>
      <c r="G144" s="2">
        <f>AVERAGEIFS([3]!players[gold_per_min], [3]!players[name],A144,[3]!players[hero_name],B144)</f>
        <v>430.75</v>
      </c>
      <c r="H144" s="2">
        <f>AVERAGEIFS([3]!players[xp_per_min], [3]!players[name],A144,[3]!players[hero_name],B144)</f>
        <v>508.5</v>
      </c>
    </row>
    <row r="145" spans="1:8" x14ac:dyDescent="0.3">
      <c r="A145" t="str">
        <v>aik</v>
      </c>
      <c r="B145" t="str">
        <v>Tusk</v>
      </c>
      <c r="C145" t="str" cm="1">
        <f t="array" ref="C145">_xlfn.XLOOKUP(1,([3]!players[name]=A145)*([3]!players[hero_name]=B145),[3]!players[lane_name])</f>
        <v>Hard Support</v>
      </c>
      <c r="D145">
        <f>COUNTIFS([3]!players[name],A145,[3]!players[hero_name],B145)</f>
        <v>1</v>
      </c>
      <c r="E145">
        <f>COUNTIFS([3]!players[name],A145,[3]!players[hero_name],B145, [3]!players[win], 1)</f>
        <v>0</v>
      </c>
      <c r="F145" s="1">
        <f t="shared" si="2"/>
        <v>0</v>
      </c>
      <c r="G145" s="2">
        <f>AVERAGEIFS([3]!players[gold_per_min], [3]!players[name],A145,[3]!players[hero_name],B145)</f>
        <v>296</v>
      </c>
      <c r="H145" s="2">
        <f>AVERAGEIFS([3]!players[xp_per_min], [3]!players[name],A145,[3]!players[hero_name],B145)</f>
        <v>399</v>
      </c>
    </row>
    <row r="146" spans="1:8" x14ac:dyDescent="0.3">
      <c r="A146" t="str">
        <v>aik</v>
      </c>
      <c r="B146" t="str">
        <v>Techies</v>
      </c>
      <c r="C146" t="str" cm="1">
        <f t="array" ref="C146">_xlfn.XLOOKUP(1,([3]!players[name]=A146)*([3]!players[hero_name]=B146),[3]!players[lane_name])</f>
        <v>Hard Support</v>
      </c>
      <c r="D146">
        <f>COUNTIFS([3]!players[name],A146,[3]!players[hero_name],B146)</f>
        <v>1</v>
      </c>
      <c r="E146">
        <f>COUNTIFS([3]!players[name],A146,[3]!players[hero_name],B146, [3]!players[win], 1)</f>
        <v>1</v>
      </c>
      <c r="F146" s="1">
        <f t="shared" si="2"/>
        <v>1</v>
      </c>
      <c r="G146" s="2">
        <f>AVERAGEIFS([3]!players[gold_per_min], [3]!players[name],A146,[3]!players[hero_name],B146)</f>
        <v>353</v>
      </c>
      <c r="H146" s="2">
        <f>AVERAGEIFS([3]!players[xp_per_min], [3]!players[name],A146,[3]!players[hero_name],B146)</f>
        <v>452</v>
      </c>
    </row>
    <row r="147" spans="1:8" x14ac:dyDescent="0.3">
      <c r="A147" t="str">
        <v>aik</v>
      </c>
      <c r="B147" t="str">
        <v>Dazzle</v>
      </c>
      <c r="C147" t="str" cm="1">
        <f t="array" ref="C147">_xlfn.XLOOKUP(1,([3]!players[name]=A147)*([3]!players[hero_name]=B147),[3]!players[lane_name])</f>
        <v>Hard Support</v>
      </c>
      <c r="D147">
        <f>COUNTIFS([3]!players[name],A147,[3]!players[hero_name],B147)</f>
        <v>1</v>
      </c>
      <c r="E147">
        <f>COUNTIFS([3]!players[name],A147,[3]!players[hero_name],B147, [3]!players[win], 1)</f>
        <v>0</v>
      </c>
      <c r="F147" s="1">
        <f t="shared" si="2"/>
        <v>0</v>
      </c>
      <c r="G147" s="2">
        <f>AVERAGEIFS([3]!players[gold_per_min], [3]!players[name],A147,[3]!players[hero_name],B147)</f>
        <v>263</v>
      </c>
      <c r="H147" s="2">
        <f>AVERAGEIFS([3]!players[xp_per_min], [3]!players[name],A147,[3]!players[hero_name],B147)</f>
        <v>377</v>
      </c>
    </row>
    <row r="148" spans="1:8" x14ac:dyDescent="0.3">
      <c r="A148" t="str">
        <v>Ainkrad</v>
      </c>
      <c r="B148" t="str">
        <v>Puck</v>
      </c>
      <c r="C148" t="str" cm="1">
        <f t="array" ref="C148">_xlfn.XLOOKUP(1,([3]!players[name]=A148)*([3]!players[hero_name]=B148),[3]!players[lane_name])</f>
        <v>Mid</v>
      </c>
      <c r="D148">
        <f>COUNTIFS([3]!players[name],A148,[3]!players[hero_name],B148)</f>
        <v>1</v>
      </c>
      <c r="E148">
        <f>COUNTIFS([3]!players[name],A148,[3]!players[hero_name],B148, [3]!players[win], 1)</f>
        <v>0</v>
      </c>
      <c r="F148" s="1">
        <f t="shared" si="2"/>
        <v>0</v>
      </c>
      <c r="G148" s="2">
        <f>AVERAGEIFS([3]!players[gold_per_min], [3]!players[name],A148,[3]!players[hero_name],B148)</f>
        <v>472</v>
      </c>
      <c r="H148" s="2">
        <f>AVERAGEIFS([3]!players[xp_per_min], [3]!players[name],A148,[3]!players[hero_name],B148)</f>
        <v>534</v>
      </c>
    </row>
    <row r="149" spans="1:8" x14ac:dyDescent="0.3">
      <c r="A149" t="str">
        <v>Ainkrad</v>
      </c>
      <c r="B149" t="str">
        <v>Leshrac</v>
      </c>
      <c r="C149" t="str" cm="1">
        <f t="array" ref="C149">_xlfn.XLOOKUP(1,([3]!players[name]=A149)*([3]!players[hero_name]=B149),[3]!players[lane_name])</f>
        <v>Mid</v>
      </c>
      <c r="D149">
        <f>COUNTIFS([3]!players[name],A149,[3]!players[hero_name],B149)</f>
        <v>1</v>
      </c>
      <c r="E149">
        <f>COUNTIFS([3]!players[name],A149,[3]!players[hero_name],B149, [3]!players[win], 1)</f>
        <v>1</v>
      </c>
      <c r="F149" s="1">
        <f t="shared" si="2"/>
        <v>1</v>
      </c>
      <c r="G149" s="2">
        <f>AVERAGEIFS([3]!players[gold_per_min], [3]!players[name],A149,[3]!players[hero_name],B149)</f>
        <v>585</v>
      </c>
      <c r="H149" s="2">
        <f>AVERAGEIFS([3]!players[xp_per_min], [3]!players[name],A149,[3]!players[hero_name],B149)</f>
        <v>711</v>
      </c>
    </row>
    <row r="150" spans="1:8" x14ac:dyDescent="0.3">
      <c r="A150" t="str">
        <v>Ainkrad</v>
      </c>
      <c r="B150" t="str">
        <v>Beastmaster</v>
      </c>
      <c r="C150" t="str" cm="1">
        <f t="array" ref="C150">_xlfn.XLOOKUP(1,([3]!players[name]=A150)*([3]!players[hero_name]=B150),[3]!players[lane_name])</f>
        <v>Mid</v>
      </c>
      <c r="D150">
        <f>COUNTIFS([3]!players[name],A150,[3]!players[hero_name],B150)</f>
        <v>1</v>
      </c>
      <c r="E150">
        <f>COUNTIFS([3]!players[name],A150,[3]!players[hero_name],B150, [3]!players[win], 1)</f>
        <v>0</v>
      </c>
      <c r="F150" s="1">
        <f t="shared" si="2"/>
        <v>0</v>
      </c>
      <c r="G150" s="2">
        <f>AVERAGEIFS([3]!players[gold_per_min], [3]!players[name],A150,[3]!players[hero_name],B150)</f>
        <v>478</v>
      </c>
      <c r="H150" s="2">
        <f>AVERAGEIFS([3]!players[xp_per_min], [3]!players[name],A150,[3]!players[hero_name],B150)</f>
        <v>552</v>
      </c>
    </row>
    <row r="151" spans="1:8" x14ac:dyDescent="0.3">
      <c r="A151" t="str">
        <v>Akamu</v>
      </c>
      <c r="B151" t="str">
        <v>Techies</v>
      </c>
      <c r="C151" t="str" cm="1">
        <f t="array" ref="C151">_xlfn.XLOOKUP(1,([3]!players[name]=A151)*([3]!players[hero_name]=B151),[3]!players[lane_name])</f>
        <v>Soft Support</v>
      </c>
      <c r="D151">
        <f>COUNTIFS([3]!players[name],A151,[3]!players[hero_name],B151)</f>
        <v>2</v>
      </c>
      <c r="E151">
        <f>COUNTIFS([3]!players[name],A151,[3]!players[hero_name],B151, [3]!players[win], 1)</f>
        <v>0</v>
      </c>
      <c r="F151" s="1">
        <f t="shared" si="2"/>
        <v>0</v>
      </c>
      <c r="G151" s="2">
        <f>AVERAGEIFS([3]!players[gold_per_min], [3]!players[name],A151,[3]!players[hero_name],B151)</f>
        <v>295</v>
      </c>
      <c r="H151" s="2">
        <f>AVERAGEIFS([3]!players[xp_per_min], [3]!players[name],A151,[3]!players[hero_name],B151)</f>
        <v>320.5</v>
      </c>
    </row>
    <row r="152" spans="1:8" x14ac:dyDescent="0.3">
      <c r="A152" t="str">
        <v>Akamu</v>
      </c>
      <c r="B152" t="str">
        <v>Ancient Apparition</v>
      </c>
      <c r="C152" t="str" cm="1">
        <f t="array" ref="C152">_xlfn.XLOOKUP(1,([3]!players[name]=A152)*([3]!players[hero_name]=B152),[3]!players[lane_name])</f>
        <v>Soft Support</v>
      </c>
      <c r="D152">
        <f>COUNTIFS([3]!players[name],A152,[3]!players[hero_name],B152)</f>
        <v>1</v>
      </c>
      <c r="E152">
        <f>COUNTIFS([3]!players[name],A152,[3]!players[hero_name],B152, [3]!players[win], 1)</f>
        <v>0</v>
      </c>
      <c r="F152" s="1">
        <f t="shared" si="2"/>
        <v>0</v>
      </c>
      <c r="G152" s="2">
        <f>AVERAGEIFS([3]!players[gold_per_min], [3]!players[name],A152,[3]!players[hero_name],B152)</f>
        <v>327</v>
      </c>
      <c r="H152" s="2">
        <f>AVERAGEIFS([3]!players[xp_per_min], [3]!players[name],A152,[3]!players[hero_name],B152)</f>
        <v>561</v>
      </c>
    </row>
    <row r="153" spans="1:8" x14ac:dyDescent="0.3">
      <c r="A153" t="str">
        <v>Akamu</v>
      </c>
      <c r="B153" t="str">
        <v>Jakiro</v>
      </c>
      <c r="C153" t="str" cm="1">
        <f t="array" ref="C153">_xlfn.XLOOKUP(1,([3]!players[name]=A153)*([3]!players[hero_name]=B153),[3]!players[lane_name])</f>
        <v>Hard Support</v>
      </c>
      <c r="D153">
        <f>COUNTIFS([3]!players[name],A153,[3]!players[hero_name],B153)</f>
        <v>3</v>
      </c>
      <c r="E153">
        <f>COUNTIFS([3]!players[name],A153,[3]!players[hero_name],B153, [3]!players[win], 1)</f>
        <v>1</v>
      </c>
      <c r="F153" s="1">
        <f t="shared" si="2"/>
        <v>0.33333333333333331</v>
      </c>
      <c r="G153" s="2">
        <f>AVERAGEIFS([3]!players[gold_per_min], [3]!players[name],A153,[3]!players[hero_name],B153)</f>
        <v>313.66666666666669</v>
      </c>
      <c r="H153" s="2">
        <f>AVERAGEIFS([3]!players[xp_per_min], [3]!players[name],A153,[3]!players[hero_name],B153)</f>
        <v>418.33333333333331</v>
      </c>
    </row>
    <row r="154" spans="1:8" x14ac:dyDescent="0.3">
      <c r="A154" t="str">
        <v>Akamu</v>
      </c>
      <c r="B154" t="str">
        <v>Venomancer</v>
      </c>
      <c r="C154" t="str" cm="1">
        <f t="array" ref="C154">_xlfn.XLOOKUP(1,([3]!players[name]=A154)*([3]!players[hero_name]=B154),[3]!players[lane_name])</f>
        <v>Soft Support</v>
      </c>
      <c r="D154">
        <f>COUNTIFS([3]!players[name],A154,[3]!players[hero_name],B154)</f>
        <v>3</v>
      </c>
      <c r="E154">
        <f>COUNTIFS([3]!players[name],A154,[3]!players[hero_name],B154, [3]!players[win], 1)</f>
        <v>2</v>
      </c>
      <c r="F154" s="1">
        <f t="shared" si="2"/>
        <v>0.66666666666666663</v>
      </c>
      <c r="G154" s="2">
        <f>AVERAGEIFS([3]!players[gold_per_min], [3]!players[name],A154,[3]!players[hero_name],B154)</f>
        <v>431.66666666666669</v>
      </c>
      <c r="H154" s="2">
        <f>AVERAGEIFS([3]!players[xp_per_min], [3]!players[name],A154,[3]!players[hero_name],B154)</f>
        <v>483.66666666666669</v>
      </c>
    </row>
    <row r="155" spans="1:8" x14ac:dyDescent="0.3">
      <c r="A155" t="str">
        <v>Akamu</v>
      </c>
      <c r="B155" t="str">
        <v>Ringmaster</v>
      </c>
      <c r="C155" t="str" cm="1">
        <f t="array" ref="C155">_xlfn.XLOOKUP(1,([3]!players[name]=A155)*([3]!players[hero_name]=B155),[3]!players[lane_name])</f>
        <v>Hard Support</v>
      </c>
      <c r="D155">
        <f>COUNTIFS([3]!players[name],A155,[3]!players[hero_name],B155)</f>
        <v>2</v>
      </c>
      <c r="E155">
        <f>COUNTIFS([3]!players[name],A155,[3]!players[hero_name],B155, [3]!players[win], 1)</f>
        <v>1</v>
      </c>
      <c r="F155" s="1">
        <f t="shared" si="2"/>
        <v>0.5</v>
      </c>
      <c r="G155" s="2">
        <f>AVERAGEIFS([3]!players[gold_per_min], [3]!players[name],A155,[3]!players[hero_name],B155)</f>
        <v>321.5</v>
      </c>
      <c r="H155" s="2">
        <f>AVERAGEIFS([3]!players[xp_per_min], [3]!players[name],A155,[3]!players[hero_name],B155)</f>
        <v>509.5</v>
      </c>
    </row>
    <row r="156" spans="1:8" x14ac:dyDescent="0.3">
      <c r="A156" t="str">
        <v>Akamu</v>
      </c>
      <c r="B156" t="str">
        <v>Pugna</v>
      </c>
      <c r="C156" t="str" cm="1">
        <f t="array" ref="C156">_xlfn.XLOOKUP(1,([3]!players[name]=A156)*([3]!players[hero_name]=B156),[3]!players[lane_name])</f>
        <v>Soft Support</v>
      </c>
      <c r="D156">
        <f>COUNTIFS([3]!players[name],A156,[3]!players[hero_name],B156)</f>
        <v>1</v>
      </c>
      <c r="E156">
        <f>COUNTIFS([3]!players[name],A156,[3]!players[hero_name],B156, [3]!players[win], 1)</f>
        <v>0</v>
      </c>
      <c r="F156" s="1">
        <f t="shared" si="2"/>
        <v>0</v>
      </c>
      <c r="G156" s="2">
        <f>AVERAGEIFS([3]!players[gold_per_min], [3]!players[name],A156,[3]!players[hero_name],B156)</f>
        <v>358</v>
      </c>
      <c r="H156" s="2">
        <f>AVERAGEIFS([3]!players[xp_per_min], [3]!players[name],A156,[3]!players[hero_name],B156)</f>
        <v>355</v>
      </c>
    </row>
    <row r="157" spans="1:8" x14ac:dyDescent="0.3">
      <c r="A157" t="str">
        <v>Akamu</v>
      </c>
      <c r="B157" t="str">
        <v>Shadow Demon</v>
      </c>
      <c r="C157" t="str" cm="1">
        <f t="array" ref="C157">_xlfn.XLOOKUP(1,([3]!players[name]=A157)*([3]!players[hero_name]=B157),[3]!players[lane_name])</f>
        <v>Soft Support</v>
      </c>
      <c r="D157">
        <f>COUNTIFS([3]!players[name],A157,[3]!players[hero_name],B157)</f>
        <v>1</v>
      </c>
      <c r="E157">
        <f>COUNTIFS([3]!players[name],A157,[3]!players[hero_name],B157, [3]!players[win], 1)</f>
        <v>0</v>
      </c>
      <c r="F157" s="1">
        <f t="shared" si="2"/>
        <v>0</v>
      </c>
      <c r="G157" s="2">
        <f>AVERAGEIFS([3]!players[gold_per_min], [3]!players[name],A157,[3]!players[hero_name],B157)</f>
        <v>321</v>
      </c>
      <c r="H157" s="2">
        <f>AVERAGEIFS([3]!players[xp_per_min], [3]!players[name],A157,[3]!players[hero_name],B157)</f>
        <v>355</v>
      </c>
    </row>
    <row r="158" spans="1:8" x14ac:dyDescent="0.3">
      <c r="A158" t="str">
        <v>Akashi</v>
      </c>
      <c r="B158" t="str">
        <v>Monkey King</v>
      </c>
      <c r="C158" t="str" cm="1">
        <f t="array" ref="C158">_xlfn.XLOOKUP(1,([3]!players[name]=A158)*([3]!players[hero_name]=B158),[3]!players[lane_name])</f>
        <v>Carry</v>
      </c>
      <c r="D158">
        <f>COUNTIFS([3]!players[name],A158,[3]!players[hero_name],B158)</f>
        <v>2</v>
      </c>
      <c r="E158">
        <f>COUNTIFS([3]!players[name],A158,[3]!players[hero_name],B158, [3]!players[win], 1)</f>
        <v>0</v>
      </c>
      <c r="F158" s="1">
        <f t="shared" si="2"/>
        <v>0</v>
      </c>
      <c r="G158" s="2">
        <f>AVERAGEIFS([3]!players[gold_per_min], [3]!players[name],A158,[3]!players[hero_name],B158)</f>
        <v>545</v>
      </c>
      <c r="H158" s="2">
        <f>AVERAGEIFS([3]!players[xp_per_min], [3]!players[name],A158,[3]!players[hero_name],B158)</f>
        <v>711</v>
      </c>
    </row>
    <row r="159" spans="1:8" x14ac:dyDescent="0.3">
      <c r="A159" t="str">
        <v>Akashi</v>
      </c>
      <c r="B159" t="str">
        <v>Luna</v>
      </c>
      <c r="C159" t="str" cm="1">
        <f t="array" ref="C159">_xlfn.XLOOKUP(1,([3]!players[name]=A159)*([3]!players[hero_name]=B159),[3]!players[lane_name])</f>
        <v>Carry</v>
      </c>
      <c r="D159">
        <f>COUNTIFS([3]!players[name],A159,[3]!players[hero_name],B159)</f>
        <v>1</v>
      </c>
      <c r="E159">
        <f>COUNTIFS([3]!players[name],A159,[3]!players[hero_name],B159, [3]!players[win], 1)</f>
        <v>0</v>
      </c>
      <c r="F159" s="1">
        <f t="shared" si="2"/>
        <v>0</v>
      </c>
      <c r="G159" s="2">
        <f>AVERAGEIFS([3]!players[gold_per_min], [3]!players[name],A159,[3]!players[hero_name],B159)</f>
        <v>909</v>
      </c>
      <c r="H159" s="2">
        <f>AVERAGEIFS([3]!players[xp_per_min], [3]!players[name],A159,[3]!players[hero_name],B159)</f>
        <v>919</v>
      </c>
    </row>
    <row r="160" spans="1:8" x14ac:dyDescent="0.3">
      <c r="A160" t="str">
        <v>Akashi</v>
      </c>
      <c r="B160" t="str">
        <v>Kez</v>
      </c>
      <c r="C160" t="str" cm="1">
        <f t="array" ref="C160">_xlfn.XLOOKUP(1,([3]!players[name]=A160)*([3]!players[hero_name]=B160),[3]!players[lane_name])</f>
        <v>Carry</v>
      </c>
      <c r="D160">
        <f>COUNTIFS([3]!players[name],A160,[3]!players[hero_name],B160)</f>
        <v>3</v>
      </c>
      <c r="E160">
        <f>COUNTIFS([3]!players[name],A160,[3]!players[hero_name],B160, [3]!players[win], 1)</f>
        <v>1</v>
      </c>
      <c r="F160" s="1">
        <f t="shared" si="2"/>
        <v>0.33333333333333331</v>
      </c>
      <c r="G160" s="2">
        <f>AVERAGEIFS([3]!players[gold_per_min], [3]!players[name],A160,[3]!players[hero_name],B160)</f>
        <v>618.66666666666663</v>
      </c>
      <c r="H160" s="2">
        <f>AVERAGEIFS([3]!players[xp_per_min], [3]!players[name],A160,[3]!players[hero_name],B160)</f>
        <v>732.66666666666663</v>
      </c>
    </row>
    <row r="161" spans="1:8" x14ac:dyDescent="0.3">
      <c r="A161" t="str">
        <v>Akashi</v>
      </c>
      <c r="B161" t="str">
        <v>Gyrocopter</v>
      </c>
      <c r="C161" t="str" cm="1">
        <f t="array" ref="C161">_xlfn.XLOOKUP(1,([3]!players[name]=A161)*([3]!players[hero_name]=B161),[3]!players[lane_name])</f>
        <v>Carry</v>
      </c>
      <c r="D161">
        <f>COUNTIFS([3]!players[name],A161,[3]!players[hero_name],B161)</f>
        <v>2</v>
      </c>
      <c r="E161">
        <f>COUNTIFS([3]!players[name],A161,[3]!players[hero_name],B161, [3]!players[win], 1)</f>
        <v>1</v>
      </c>
      <c r="F161" s="1">
        <f t="shared" si="2"/>
        <v>0.5</v>
      </c>
      <c r="G161" s="2">
        <f>AVERAGEIFS([3]!players[gold_per_min], [3]!players[name],A161,[3]!players[hero_name],B161)</f>
        <v>622</v>
      </c>
      <c r="H161" s="2">
        <f>AVERAGEIFS([3]!players[xp_per_min], [3]!players[name],A161,[3]!players[hero_name],B161)</f>
        <v>679.5</v>
      </c>
    </row>
    <row r="162" spans="1:8" x14ac:dyDescent="0.3">
      <c r="A162" t="str">
        <v>Akashi</v>
      </c>
      <c r="B162" t="str">
        <v>Terrorblade</v>
      </c>
      <c r="C162" t="str" cm="1">
        <f t="array" ref="C162">_xlfn.XLOOKUP(1,([3]!players[name]=A162)*([3]!players[hero_name]=B162),[3]!players[lane_name])</f>
        <v>Carry</v>
      </c>
      <c r="D162">
        <f>COUNTIFS([3]!players[name],A162,[3]!players[hero_name],B162)</f>
        <v>1</v>
      </c>
      <c r="E162">
        <f>COUNTIFS([3]!players[name],A162,[3]!players[hero_name],B162, [3]!players[win], 1)</f>
        <v>1</v>
      </c>
      <c r="F162" s="1">
        <f t="shared" si="2"/>
        <v>1</v>
      </c>
      <c r="G162" s="2">
        <f>AVERAGEIFS([3]!players[gold_per_min], [3]!players[name],A162,[3]!players[hero_name],B162)</f>
        <v>893</v>
      </c>
      <c r="H162" s="2">
        <f>AVERAGEIFS([3]!players[xp_per_min], [3]!players[name],A162,[3]!players[hero_name],B162)</f>
        <v>786</v>
      </c>
    </row>
    <row r="163" spans="1:8" x14ac:dyDescent="0.3">
      <c r="A163" t="str">
        <v>Akashi</v>
      </c>
      <c r="B163" t="str">
        <v>Marci</v>
      </c>
      <c r="C163" t="str" cm="1">
        <f t="array" ref="C163">_xlfn.XLOOKUP(1,([3]!players[name]=A163)*([3]!players[hero_name]=B163),[3]!players[lane_name])</f>
        <v>Carry</v>
      </c>
      <c r="D163">
        <f>COUNTIFS([3]!players[name],A163,[3]!players[hero_name],B163)</f>
        <v>1</v>
      </c>
      <c r="E163">
        <f>COUNTIFS([3]!players[name],A163,[3]!players[hero_name],B163, [3]!players[win], 1)</f>
        <v>1</v>
      </c>
      <c r="F163" s="1">
        <f t="shared" si="2"/>
        <v>1</v>
      </c>
      <c r="G163" s="2">
        <f>AVERAGEIFS([3]!players[gold_per_min], [3]!players[name],A163,[3]!players[hero_name],B163)</f>
        <v>645</v>
      </c>
      <c r="H163" s="2">
        <f>AVERAGEIFS([3]!players[xp_per_min], [3]!players[name],A163,[3]!players[hero_name],B163)</f>
        <v>800</v>
      </c>
    </row>
    <row r="164" spans="1:8" x14ac:dyDescent="0.3">
      <c r="A164" t="str">
        <v>alberkaaa</v>
      </c>
      <c r="B164" t="str">
        <v>Bristleback</v>
      </c>
      <c r="C164" t="str" cm="1">
        <f t="array" ref="C164">_xlfn.XLOOKUP(1,([3]!players[name]=A164)*([3]!players[hero_name]=B164),[3]!players[lane_name])</f>
        <v>Off Lane</v>
      </c>
      <c r="D164">
        <f>COUNTIFS([3]!players[name],A164,[3]!players[hero_name],B164)</f>
        <v>6</v>
      </c>
      <c r="E164">
        <f>COUNTIFS([3]!players[name],A164,[3]!players[hero_name],B164, [3]!players[win], 1)</f>
        <v>3</v>
      </c>
      <c r="F164" s="1">
        <f t="shared" si="2"/>
        <v>0.5</v>
      </c>
      <c r="G164" s="2">
        <f>AVERAGEIFS([3]!players[gold_per_min], [3]!players[name],A164,[3]!players[hero_name],B164)</f>
        <v>603.16666666666663</v>
      </c>
      <c r="H164" s="2">
        <f>AVERAGEIFS([3]!players[xp_per_min], [3]!players[name],A164,[3]!players[hero_name],B164)</f>
        <v>806.66666666666663</v>
      </c>
    </row>
    <row r="165" spans="1:8" x14ac:dyDescent="0.3">
      <c r="A165" t="str">
        <v>alberkaaa</v>
      </c>
      <c r="B165" t="str">
        <v>Mars</v>
      </c>
      <c r="C165" t="str" cm="1">
        <f t="array" ref="C165">_xlfn.XLOOKUP(1,([3]!players[name]=A165)*([3]!players[hero_name]=B165),[3]!players[lane_name])</f>
        <v>Off Lane</v>
      </c>
      <c r="D165">
        <f>COUNTIFS([3]!players[name],A165,[3]!players[hero_name],B165)</f>
        <v>3</v>
      </c>
      <c r="E165">
        <f>COUNTIFS([3]!players[name],A165,[3]!players[hero_name],B165, [3]!players[win], 1)</f>
        <v>0</v>
      </c>
      <c r="F165" s="1">
        <f t="shared" si="2"/>
        <v>0</v>
      </c>
      <c r="G165" s="2">
        <f>AVERAGEIFS([3]!players[gold_per_min], [3]!players[name],A165,[3]!players[hero_name],B165)</f>
        <v>371.33333333333331</v>
      </c>
      <c r="H165" s="2">
        <f>AVERAGEIFS([3]!players[xp_per_min], [3]!players[name],A165,[3]!players[hero_name],B165)</f>
        <v>395</v>
      </c>
    </row>
    <row r="166" spans="1:8" x14ac:dyDescent="0.3">
      <c r="A166" t="str">
        <v>alberkaaa</v>
      </c>
      <c r="B166" t="str">
        <v>Pudge</v>
      </c>
      <c r="C166" t="str" cm="1">
        <f t="array" ref="C166">_xlfn.XLOOKUP(1,([3]!players[name]=A166)*([3]!players[hero_name]=B166),[3]!players[lane_name])</f>
        <v>Off Lane</v>
      </c>
      <c r="D166">
        <f>COUNTIFS([3]!players[name],A166,[3]!players[hero_name],B166)</f>
        <v>1</v>
      </c>
      <c r="E166">
        <f>COUNTIFS([3]!players[name],A166,[3]!players[hero_name],B166, [3]!players[win], 1)</f>
        <v>0</v>
      </c>
      <c r="F166" s="1">
        <f t="shared" si="2"/>
        <v>0</v>
      </c>
      <c r="G166" s="2">
        <f>AVERAGEIFS([3]!players[gold_per_min], [3]!players[name],A166,[3]!players[hero_name],B166)</f>
        <v>616</v>
      </c>
      <c r="H166" s="2">
        <f>AVERAGEIFS([3]!players[xp_per_min], [3]!players[name],A166,[3]!players[hero_name],B166)</f>
        <v>754</v>
      </c>
    </row>
    <row r="167" spans="1:8" x14ac:dyDescent="0.3">
      <c r="A167" t="str">
        <v>alberkaaa</v>
      </c>
      <c r="B167" t="str">
        <v>Viper</v>
      </c>
      <c r="C167" t="str" cm="1">
        <f t="array" ref="C167">_xlfn.XLOOKUP(1,([3]!players[name]=A167)*([3]!players[hero_name]=B167),[3]!players[lane_name])</f>
        <v>Off Lane</v>
      </c>
      <c r="D167">
        <f>COUNTIFS([3]!players[name],A167,[3]!players[hero_name],B167)</f>
        <v>3</v>
      </c>
      <c r="E167">
        <f>COUNTIFS([3]!players[name],A167,[3]!players[hero_name],B167, [3]!players[win], 1)</f>
        <v>1</v>
      </c>
      <c r="F167" s="1">
        <f t="shared" si="2"/>
        <v>0.33333333333333331</v>
      </c>
      <c r="G167" s="2">
        <f>AVERAGEIFS([3]!players[gold_per_min], [3]!players[name],A167,[3]!players[hero_name],B167)</f>
        <v>553.33333333333337</v>
      </c>
      <c r="H167" s="2">
        <f>AVERAGEIFS([3]!players[xp_per_min], [3]!players[name],A167,[3]!players[hero_name],B167)</f>
        <v>656</v>
      </c>
    </row>
    <row r="168" spans="1:8" x14ac:dyDescent="0.3">
      <c r="A168" t="str">
        <v>alberkaaa</v>
      </c>
      <c r="B168" t="str">
        <v>Dawnbreaker</v>
      </c>
      <c r="C168" t="str" cm="1">
        <f t="array" ref="C168">_xlfn.XLOOKUP(1,([3]!players[name]=A168)*([3]!players[hero_name]=B168),[3]!players[lane_name])</f>
        <v>Off Lane</v>
      </c>
      <c r="D168">
        <f>COUNTIFS([3]!players[name],A168,[3]!players[hero_name],B168)</f>
        <v>2</v>
      </c>
      <c r="E168">
        <f>COUNTIFS([3]!players[name],A168,[3]!players[hero_name],B168, [3]!players[win], 1)</f>
        <v>1</v>
      </c>
      <c r="F168" s="1">
        <f t="shared" si="2"/>
        <v>0.5</v>
      </c>
      <c r="G168" s="2">
        <f>AVERAGEIFS([3]!players[gold_per_min], [3]!players[name],A168,[3]!players[hero_name],B168)</f>
        <v>524</v>
      </c>
      <c r="H168" s="2">
        <f>AVERAGEIFS([3]!players[xp_per_min], [3]!players[name],A168,[3]!players[hero_name],B168)</f>
        <v>661.5</v>
      </c>
    </row>
    <row r="169" spans="1:8" x14ac:dyDescent="0.3">
      <c r="A169" t="str">
        <v>alberkaaa</v>
      </c>
      <c r="B169" t="str">
        <v>Tidehunter</v>
      </c>
      <c r="C169" t="str" cm="1">
        <f t="array" ref="C169">_xlfn.XLOOKUP(1,([3]!players[name]=A169)*([3]!players[hero_name]=B169),[3]!players[lane_name])</f>
        <v>Off Lane</v>
      </c>
      <c r="D169">
        <f>COUNTIFS([3]!players[name],A169,[3]!players[hero_name],B169)</f>
        <v>3</v>
      </c>
      <c r="E169">
        <f>COUNTIFS([3]!players[name],A169,[3]!players[hero_name],B169, [3]!players[win], 1)</f>
        <v>2</v>
      </c>
      <c r="F169" s="1">
        <f t="shared" si="2"/>
        <v>0.66666666666666663</v>
      </c>
      <c r="G169" s="2">
        <f>AVERAGEIFS([3]!players[gold_per_min], [3]!players[name],A169,[3]!players[hero_name],B169)</f>
        <v>537</v>
      </c>
      <c r="H169" s="2">
        <f>AVERAGEIFS([3]!players[xp_per_min], [3]!players[name],A169,[3]!players[hero_name],B169)</f>
        <v>766.66666666666663</v>
      </c>
    </row>
    <row r="170" spans="1:8" x14ac:dyDescent="0.3">
      <c r="A170" t="str">
        <v>alberkaaa</v>
      </c>
      <c r="B170" t="str">
        <v>Axe</v>
      </c>
      <c r="C170" t="str" cm="1">
        <f t="array" ref="C170">_xlfn.XLOOKUP(1,([3]!players[name]=A170)*([3]!players[hero_name]=B170),[3]!players[lane_name])</f>
        <v>Off Lane</v>
      </c>
      <c r="D170">
        <f>COUNTIFS([3]!players[name],A170,[3]!players[hero_name],B170)</f>
        <v>3</v>
      </c>
      <c r="E170">
        <f>COUNTIFS([3]!players[name],A170,[3]!players[hero_name],B170, [3]!players[win], 1)</f>
        <v>2</v>
      </c>
      <c r="F170" s="1">
        <f t="shared" si="2"/>
        <v>0.66666666666666663</v>
      </c>
      <c r="G170" s="2">
        <f>AVERAGEIFS([3]!players[gold_per_min], [3]!players[name],A170,[3]!players[hero_name],B170)</f>
        <v>542.66666666666663</v>
      </c>
      <c r="H170" s="2">
        <f>AVERAGEIFS([3]!players[xp_per_min], [3]!players[name],A170,[3]!players[hero_name],B170)</f>
        <v>765.66666666666663</v>
      </c>
    </row>
    <row r="171" spans="1:8" x14ac:dyDescent="0.3">
      <c r="A171" t="str">
        <v>alberkaaa</v>
      </c>
      <c r="B171" t="str">
        <v>Beastmaster</v>
      </c>
      <c r="C171" t="str" cm="1">
        <f t="array" ref="C171">_xlfn.XLOOKUP(1,([3]!players[name]=A171)*([3]!players[hero_name]=B171),[3]!players[lane_name])</f>
        <v>Off Lane</v>
      </c>
      <c r="D171">
        <f>COUNTIFS([3]!players[name],A171,[3]!players[hero_name],B171)</f>
        <v>4</v>
      </c>
      <c r="E171">
        <f>COUNTIFS([3]!players[name],A171,[3]!players[hero_name],B171, [3]!players[win], 1)</f>
        <v>1</v>
      </c>
      <c r="F171" s="1">
        <f t="shared" si="2"/>
        <v>0.25</v>
      </c>
      <c r="G171" s="2">
        <f>AVERAGEIFS([3]!players[gold_per_min], [3]!players[name],A171,[3]!players[hero_name],B171)</f>
        <v>622</v>
      </c>
      <c r="H171" s="2">
        <f>AVERAGEIFS([3]!players[xp_per_min], [3]!players[name],A171,[3]!players[hero_name],B171)</f>
        <v>800</v>
      </c>
    </row>
    <row r="172" spans="1:8" x14ac:dyDescent="0.3">
      <c r="A172" t="str">
        <v>alberkaaa</v>
      </c>
      <c r="B172" t="str">
        <v>Underlord</v>
      </c>
      <c r="C172" t="str" cm="1">
        <f t="array" ref="C172">_xlfn.XLOOKUP(1,([3]!players[name]=A172)*([3]!players[hero_name]=B172),[3]!players[lane_name])</f>
        <v>Off Lane</v>
      </c>
      <c r="D172">
        <f>COUNTIFS([3]!players[name],A172,[3]!players[hero_name],B172)</f>
        <v>3</v>
      </c>
      <c r="E172">
        <f>COUNTIFS([3]!players[name],A172,[3]!players[hero_name],B172, [3]!players[win], 1)</f>
        <v>2</v>
      </c>
      <c r="F172" s="1">
        <f t="shared" si="2"/>
        <v>0.66666666666666663</v>
      </c>
      <c r="G172" s="2">
        <f>AVERAGEIFS([3]!players[gold_per_min], [3]!players[name],A172,[3]!players[hero_name],B172)</f>
        <v>539.66666666666663</v>
      </c>
      <c r="H172" s="2">
        <f>AVERAGEIFS([3]!players[xp_per_min], [3]!players[name],A172,[3]!players[hero_name],B172)</f>
        <v>685.66666666666663</v>
      </c>
    </row>
    <row r="173" spans="1:8" x14ac:dyDescent="0.3">
      <c r="A173" t="str">
        <v>alberkaaa</v>
      </c>
      <c r="B173" t="str">
        <v>Slardar</v>
      </c>
      <c r="C173" t="str" cm="1">
        <f t="array" ref="C173">_xlfn.XLOOKUP(1,([3]!players[name]=A173)*([3]!players[hero_name]=B173),[3]!players[lane_name])</f>
        <v>Off Lane</v>
      </c>
      <c r="D173">
        <f>COUNTIFS([3]!players[name],A173,[3]!players[hero_name],B173)</f>
        <v>5</v>
      </c>
      <c r="E173">
        <f>COUNTIFS([3]!players[name],A173,[3]!players[hero_name],B173, [3]!players[win], 1)</f>
        <v>3</v>
      </c>
      <c r="F173" s="1">
        <f t="shared" si="2"/>
        <v>0.6</v>
      </c>
      <c r="G173" s="2">
        <f>AVERAGEIFS([3]!players[gold_per_min], [3]!players[name],A173,[3]!players[hero_name],B173)</f>
        <v>503.6</v>
      </c>
      <c r="H173" s="2">
        <f>AVERAGEIFS([3]!players[xp_per_min], [3]!players[name],A173,[3]!players[hero_name],B173)</f>
        <v>669</v>
      </c>
    </row>
    <row r="174" spans="1:8" x14ac:dyDescent="0.3">
      <c r="A174" t="str">
        <v>alberkaaa</v>
      </c>
      <c r="B174" t="str">
        <v>Legion Commander</v>
      </c>
      <c r="C174" t="str" cm="1">
        <f t="array" ref="C174">_xlfn.XLOOKUP(1,([3]!players[name]=A174)*([3]!players[hero_name]=B174),[3]!players[lane_name])</f>
        <v>Off Lane</v>
      </c>
      <c r="D174">
        <f>COUNTIFS([3]!players[name],A174,[3]!players[hero_name],B174)</f>
        <v>3</v>
      </c>
      <c r="E174">
        <f>COUNTIFS([3]!players[name],A174,[3]!players[hero_name],B174, [3]!players[win], 1)</f>
        <v>1</v>
      </c>
      <c r="F174" s="1">
        <f t="shared" si="2"/>
        <v>0.33333333333333331</v>
      </c>
      <c r="G174" s="2">
        <f>AVERAGEIFS([3]!players[gold_per_min], [3]!players[name],A174,[3]!players[hero_name],B174)</f>
        <v>424.33333333333331</v>
      </c>
      <c r="H174" s="2">
        <f>AVERAGEIFS([3]!players[xp_per_min], [3]!players[name],A174,[3]!players[hero_name],B174)</f>
        <v>537.66666666666663</v>
      </c>
    </row>
    <row r="175" spans="1:8" x14ac:dyDescent="0.3">
      <c r="A175" t="str">
        <v>alberkaaa</v>
      </c>
      <c r="B175" t="str">
        <v>Batrider</v>
      </c>
      <c r="C175" t="str" cm="1">
        <f t="array" ref="C175">_xlfn.XLOOKUP(1,([3]!players[name]=A175)*([3]!players[hero_name]=B175),[3]!players[lane_name])</f>
        <v>Off Lane</v>
      </c>
      <c r="D175">
        <f>COUNTIFS([3]!players[name],A175,[3]!players[hero_name],B175)</f>
        <v>2</v>
      </c>
      <c r="E175">
        <f>COUNTIFS([3]!players[name],A175,[3]!players[hero_name],B175, [3]!players[win], 1)</f>
        <v>1</v>
      </c>
      <c r="F175" s="1">
        <f t="shared" si="2"/>
        <v>0.5</v>
      </c>
      <c r="G175" s="2">
        <f>AVERAGEIFS([3]!players[gold_per_min], [3]!players[name],A175,[3]!players[hero_name],B175)</f>
        <v>482.5</v>
      </c>
      <c r="H175" s="2">
        <f>AVERAGEIFS([3]!players[xp_per_min], [3]!players[name],A175,[3]!players[hero_name],B175)</f>
        <v>635.5</v>
      </c>
    </row>
    <row r="176" spans="1:8" x14ac:dyDescent="0.3">
      <c r="A176" t="str">
        <v>alberkaaa</v>
      </c>
      <c r="B176" t="str">
        <v>Doom</v>
      </c>
      <c r="C176" t="str" cm="1">
        <f t="array" ref="C176">_xlfn.XLOOKUP(1,([3]!players[name]=A176)*([3]!players[hero_name]=B176),[3]!players[lane_name])</f>
        <v>Off Lane</v>
      </c>
      <c r="D176">
        <f>COUNTIFS([3]!players[name],A176,[3]!players[hero_name],B176)</f>
        <v>6</v>
      </c>
      <c r="E176">
        <f>COUNTIFS([3]!players[name],A176,[3]!players[hero_name],B176, [3]!players[win], 1)</f>
        <v>5</v>
      </c>
      <c r="F176" s="1">
        <f t="shared" si="2"/>
        <v>0.83333333333333337</v>
      </c>
      <c r="G176" s="2">
        <f>AVERAGEIFS([3]!players[gold_per_min], [3]!players[name],A176,[3]!players[hero_name],B176)</f>
        <v>574.66666666666663</v>
      </c>
      <c r="H176" s="2">
        <f>AVERAGEIFS([3]!players[xp_per_min], [3]!players[name],A176,[3]!players[hero_name],B176)</f>
        <v>664</v>
      </c>
    </row>
    <row r="177" spans="1:8" x14ac:dyDescent="0.3">
      <c r="A177" t="str">
        <v>Ame</v>
      </c>
      <c r="B177" t="str">
        <v>Monkey King</v>
      </c>
      <c r="C177" t="str" cm="1">
        <f t="array" ref="C177">_xlfn.XLOOKUP(1,([3]!players[name]=A177)*([3]!players[hero_name]=B177),[3]!players[lane_name])</f>
        <v>Carry</v>
      </c>
      <c r="D177">
        <f>COUNTIFS([3]!players[name],A177,[3]!players[hero_name],B177)</f>
        <v>5</v>
      </c>
      <c r="E177">
        <f>COUNTIFS([3]!players[name],A177,[3]!players[hero_name],B177, [3]!players[win], 1)</f>
        <v>4</v>
      </c>
      <c r="F177" s="1">
        <f t="shared" si="2"/>
        <v>0.8</v>
      </c>
      <c r="G177" s="2">
        <f>AVERAGEIFS([3]!players[gold_per_min], [3]!players[name],A177,[3]!players[hero_name],B177)</f>
        <v>694.8</v>
      </c>
      <c r="H177" s="2">
        <f>AVERAGEIFS([3]!players[xp_per_min], [3]!players[name],A177,[3]!players[hero_name],B177)</f>
        <v>817.4</v>
      </c>
    </row>
    <row r="178" spans="1:8" x14ac:dyDescent="0.3">
      <c r="A178" t="str">
        <v>Ame</v>
      </c>
      <c r="B178" t="str">
        <v>Terrorblade</v>
      </c>
      <c r="C178" t="str" cm="1">
        <f t="array" ref="C178">_xlfn.XLOOKUP(1,([3]!players[name]=A178)*([3]!players[hero_name]=B178),[3]!players[lane_name])</f>
        <v>Carry</v>
      </c>
      <c r="D178">
        <f>COUNTIFS([3]!players[name],A178,[3]!players[hero_name],B178)</f>
        <v>2</v>
      </c>
      <c r="E178">
        <f>COUNTIFS([3]!players[name],A178,[3]!players[hero_name],B178, [3]!players[win], 1)</f>
        <v>2</v>
      </c>
      <c r="F178" s="1">
        <f t="shared" si="2"/>
        <v>1</v>
      </c>
      <c r="G178" s="2">
        <f>AVERAGEIFS([3]!players[gold_per_min], [3]!players[name],A178,[3]!players[hero_name],B178)</f>
        <v>867.5</v>
      </c>
      <c r="H178" s="2">
        <f>AVERAGEIFS([3]!players[xp_per_min], [3]!players[name],A178,[3]!players[hero_name],B178)</f>
        <v>769.5</v>
      </c>
    </row>
    <row r="179" spans="1:8" x14ac:dyDescent="0.3">
      <c r="A179" t="str">
        <v>Ame</v>
      </c>
      <c r="B179" t="str">
        <v>Morphling</v>
      </c>
      <c r="C179" t="str" cm="1">
        <f t="array" ref="C179">_xlfn.XLOOKUP(1,([3]!players[name]=A179)*([3]!players[hero_name]=B179),[3]!players[lane_name])</f>
        <v>Carry</v>
      </c>
      <c r="D179">
        <f>COUNTIFS([3]!players[name],A179,[3]!players[hero_name],B179)</f>
        <v>1</v>
      </c>
      <c r="E179">
        <f>COUNTIFS([3]!players[name],A179,[3]!players[hero_name],B179, [3]!players[win], 1)</f>
        <v>1</v>
      </c>
      <c r="F179" s="1">
        <f t="shared" si="2"/>
        <v>1</v>
      </c>
      <c r="G179" s="2">
        <f>AVERAGEIFS([3]!players[gold_per_min], [3]!players[name],A179,[3]!players[hero_name],B179)</f>
        <v>562</v>
      </c>
      <c r="H179" s="2">
        <f>AVERAGEIFS([3]!players[xp_per_min], [3]!players[name],A179,[3]!players[hero_name],B179)</f>
        <v>642</v>
      </c>
    </row>
    <row r="180" spans="1:8" x14ac:dyDescent="0.3">
      <c r="A180" t="str">
        <v>Ame</v>
      </c>
      <c r="B180" t="str">
        <v>Tiny</v>
      </c>
      <c r="C180" t="str" cm="1">
        <f t="array" ref="C180">_xlfn.XLOOKUP(1,([3]!players[name]=A180)*([3]!players[hero_name]=B180),[3]!players[lane_name])</f>
        <v>Carry</v>
      </c>
      <c r="D180">
        <f>COUNTIFS([3]!players[name],A180,[3]!players[hero_name],B180)</f>
        <v>2</v>
      </c>
      <c r="E180">
        <f>COUNTIFS([3]!players[name],A180,[3]!players[hero_name],B180, [3]!players[win], 1)</f>
        <v>1</v>
      </c>
      <c r="F180" s="1">
        <f t="shared" si="2"/>
        <v>0.5</v>
      </c>
      <c r="G180" s="2">
        <f>AVERAGEIFS([3]!players[gold_per_min], [3]!players[name],A180,[3]!players[hero_name],B180)</f>
        <v>756</v>
      </c>
      <c r="H180" s="2">
        <f>AVERAGEIFS([3]!players[xp_per_min], [3]!players[name],A180,[3]!players[hero_name],B180)</f>
        <v>925</v>
      </c>
    </row>
    <row r="181" spans="1:8" x14ac:dyDescent="0.3">
      <c r="A181" t="str">
        <v>Ame</v>
      </c>
      <c r="B181" t="str">
        <v>Weaver</v>
      </c>
      <c r="C181" t="str" cm="1">
        <f t="array" ref="C181">_xlfn.XLOOKUP(1,([3]!players[name]=A181)*([3]!players[hero_name]=B181),[3]!players[lane_name])</f>
        <v>Carry</v>
      </c>
      <c r="D181">
        <f>COUNTIFS([3]!players[name],A181,[3]!players[hero_name],B181)</f>
        <v>2</v>
      </c>
      <c r="E181">
        <f>COUNTIFS([3]!players[name],A181,[3]!players[hero_name],B181, [3]!players[win], 1)</f>
        <v>1</v>
      </c>
      <c r="F181" s="1">
        <f t="shared" si="2"/>
        <v>0.5</v>
      </c>
      <c r="G181" s="2">
        <f>AVERAGEIFS([3]!players[gold_per_min], [3]!players[name],A181,[3]!players[hero_name],B181)</f>
        <v>710</v>
      </c>
      <c r="H181" s="2">
        <f>AVERAGEIFS([3]!players[xp_per_min], [3]!players[name],A181,[3]!players[hero_name],B181)</f>
        <v>837.5</v>
      </c>
    </row>
    <row r="182" spans="1:8" x14ac:dyDescent="0.3">
      <c r="A182" t="str">
        <v>Ame</v>
      </c>
      <c r="B182" t="str">
        <v>Beastmaster</v>
      </c>
      <c r="C182" t="str" cm="1">
        <f t="array" ref="C182">_xlfn.XLOOKUP(1,([3]!players[name]=A182)*([3]!players[hero_name]=B182),[3]!players[lane_name])</f>
        <v>Carry</v>
      </c>
      <c r="D182">
        <f>COUNTIFS([3]!players[name],A182,[3]!players[hero_name],B182)</f>
        <v>1</v>
      </c>
      <c r="E182">
        <f>COUNTIFS([3]!players[name],A182,[3]!players[hero_name],B182, [3]!players[win], 1)</f>
        <v>0</v>
      </c>
      <c r="F182" s="1">
        <f t="shared" si="2"/>
        <v>0</v>
      </c>
      <c r="G182" s="2">
        <f>AVERAGEIFS([3]!players[gold_per_min], [3]!players[name],A182,[3]!players[hero_name],B182)</f>
        <v>548</v>
      </c>
      <c r="H182" s="2">
        <f>AVERAGEIFS([3]!players[xp_per_min], [3]!players[name],A182,[3]!players[hero_name],B182)</f>
        <v>636</v>
      </c>
    </row>
    <row r="183" spans="1:8" x14ac:dyDescent="0.3">
      <c r="A183" t="str">
        <v>Ame</v>
      </c>
      <c r="B183" t="str">
        <v>Lone Druid</v>
      </c>
      <c r="C183" t="str" cm="1">
        <f t="array" ref="C183">_xlfn.XLOOKUP(1,([3]!players[name]=A183)*([3]!players[hero_name]=B183),[3]!players[lane_name])</f>
        <v>Carry</v>
      </c>
      <c r="D183">
        <f>COUNTIFS([3]!players[name],A183,[3]!players[hero_name],B183)</f>
        <v>2</v>
      </c>
      <c r="E183">
        <f>COUNTIFS([3]!players[name],A183,[3]!players[hero_name],B183, [3]!players[win], 1)</f>
        <v>1</v>
      </c>
      <c r="F183" s="1">
        <f t="shared" si="2"/>
        <v>0.5</v>
      </c>
      <c r="G183" s="2">
        <f>AVERAGEIFS([3]!players[gold_per_min], [3]!players[name],A183,[3]!players[hero_name],B183)</f>
        <v>678</v>
      </c>
      <c r="H183" s="2">
        <f>AVERAGEIFS([3]!players[xp_per_min], [3]!players[name],A183,[3]!players[hero_name],B183)</f>
        <v>713</v>
      </c>
    </row>
    <row r="184" spans="1:8" x14ac:dyDescent="0.3">
      <c r="A184" t="str">
        <v>Ame</v>
      </c>
      <c r="B184" t="str">
        <v>Phantom Assassin</v>
      </c>
      <c r="C184" t="str" cm="1">
        <f t="array" ref="C184">_xlfn.XLOOKUP(1,([3]!players[name]=A184)*([3]!players[hero_name]=B184),[3]!players[lane_name])</f>
        <v>Carry</v>
      </c>
      <c r="D184">
        <f>COUNTIFS([3]!players[name],A184,[3]!players[hero_name],B184)</f>
        <v>1</v>
      </c>
      <c r="E184">
        <f>COUNTIFS([3]!players[name],A184,[3]!players[hero_name],B184, [3]!players[win], 1)</f>
        <v>1</v>
      </c>
      <c r="F184" s="1">
        <f t="shared" si="2"/>
        <v>1</v>
      </c>
      <c r="G184" s="2">
        <f>AVERAGEIFS([3]!players[gold_per_min], [3]!players[name],A184,[3]!players[hero_name],B184)</f>
        <v>764</v>
      </c>
      <c r="H184" s="2">
        <f>AVERAGEIFS([3]!players[xp_per_min], [3]!players[name],A184,[3]!players[hero_name],B184)</f>
        <v>808</v>
      </c>
    </row>
    <row r="185" spans="1:8" x14ac:dyDescent="0.3">
      <c r="A185" t="str">
        <v>Ame</v>
      </c>
      <c r="B185" t="str">
        <v>Faceless Void</v>
      </c>
      <c r="C185" t="str" cm="1">
        <f t="array" ref="C185">_xlfn.XLOOKUP(1,([3]!players[name]=A185)*([3]!players[hero_name]=B185),[3]!players[lane_name])</f>
        <v>Carry</v>
      </c>
      <c r="D185">
        <f>COUNTIFS([3]!players[name],A185,[3]!players[hero_name],B185)</f>
        <v>1</v>
      </c>
      <c r="E185">
        <f>COUNTIFS([3]!players[name],A185,[3]!players[hero_name],B185, [3]!players[win], 1)</f>
        <v>1</v>
      </c>
      <c r="F185" s="1">
        <f t="shared" si="2"/>
        <v>1</v>
      </c>
      <c r="G185" s="2">
        <f>AVERAGEIFS([3]!players[gold_per_min], [3]!players[name],A185,[3]!players[hero_name],B185)</f>
        <v>833</v>
      </c>
      <c r="H185" s="2">
        <f>AVERAGEIFS([3]!players[xp_per_min], [3]!players[name],A185,[3]!players[hero_name],B185)</f>
        <v>1062</v>
      </c>
    </row>
    <row r="186" spans="1:8" x14ac:dyDescent="0.3">
      <c r="A186" t="str">
        <v>Ame</v>
      </c>
      <c r="B186" t="str">
        <v>Phantom Lancer</v>
      </c>
      <c r="C186" t="str" cm="1">
        <f t="array" ref="C186">_xlfn.XLOOKUP(1,([3]!players[name]=A186)*([3]!players[hero_name]=B186),[3]!players[lane_name])</f>
        <v>Carry</v>
      </c>
      <c r="D186">
        <f>COUNTIFS([3]!players[name],A186,[3]!players[hero_name],B186)</f>
        <v>1</v>
      </c>
      <c r="E186">
        <f>COUNTIFS([3]!players[name],A186,[3]!players[hero_name],B186, [3]!players[win], 1)</f>
        <v>0</v>
      </c>
      <c r="F186" s="1">
        <f t="shared" si="2"/>
        <v>0</v>
      </c>
      <c r="G186" s="2">
        <f>AVERAGEIFS([3]!players[gold_per_min], [3]!players[name],A186,[3]!players[hero_name],B186)</f>
        <v>643</v>
      </c>
      <c r="H186" s="2">
        <f>AVERAGEIFS([3]!players[xp_per_min], [3]!players[name],A186,[3]!players[hero_name],B186)</f>
        <v>756</v>
      </c>
    </row>
    <row r="187" spans="1:8" x14ac:dyDescent="0.3">
      <c r="A187" t="str">
        <v>AMMAR_THE_F</v>
      </c>
      <c r="B187" t="str">
        <v>Bristleback</v>
      </c>
      <c r="C187" t="str" cm="1">
        <f t="array" ref="C187">_xlfn.XLOOKUP(1,([3]!players[name]=A187)*([3]!players[hero_name]=B187),[3]!players[lane_name])</f>
        <v>Off Lane</v>
      </c>
      <c r="D187">
        <f>COUNTIFS([3]!players[name],A187,[3]!players[hero_name],B187)</f>
        <v>7</v>
      </c>
      <c r="E187">
        <f>COUNTIFS([3]!players[name],A187,[3]!players[hero_name],B187, [3]!players[win], 1)</f>
        <v>5</v>
      </c>
      <c r="F187" s="1">
        <f t="shared" si="2"/>
        <v>0.7142857142857143</v>
      </c>
      <c r="G187" s="2">
        <f>AVERAGEIFS([3]!players[gold_per_min], [3]!players[name],A187,[3]!players[hero_name],B187)</f>
        <v>636.28571428571433</v>
      </c>
      <c r="H187" s="2">
        <f>AVERAGEIFS([3]!players[xp_per_min], [3]!players[name],A187,[3]!players[hero_name],B187)</f>
        <v>829.85714285714289</v>
      </c>
    </row>
    <row r="188" spans="1:8" x14ac:dyDescent="0.3">
      <c r="A188" t="str">
        <v>AMMAR_THE_F</v>
      </c>
      <c r="B188" t="str">
        <v>Tidehunter</v>
      </c>
      <c r="C188" t="str" cm="1">
        <f t="array" ref="C188">_xlfn.XLOOKUP(1,([3]!players[name]=A188)*([3]!players[hero_name]=B188),[3]!players[lane_name])</f>
        <v>Off Lane</v>
      </c>
      <c r="D188">
        <f>COUNTIFS([3]!players[name],A188,[3]!players[hero_name],B188)</f>
        <v>8</v>
      </c>
      <c r="E188">
        <f>COUNTIFS([3]!players[name],A188,[3]!players[hero_name],B188, [3]!players[win], 1)</f>
        <v>6</v>
      </c>
      <c r="F188" s="1">
        <f t="shared" si="2"/>
        <v>0.75</v>
      </c>
      <c r="G188" s="2">
        <f>AVERAGEIFS([3]!players[gold_per_min], [3]!players[name],A188,[3]!players[hero_name],B188)</f>
        <v>629.25</v>
      </c>
      <c r="H188" s="2">
        <f>AVERAGEIFS([3]!players[xp_per_min], [3]!players[name],A188,[3]!players[hero_name],B188)</f>
        <v>855.125</v>
      </c>
    </row>
    <row r="189" spans="1:8" x14ac:dyDescent="0.3">
      <c r="A189" t="str">
        <v>AMMAR_THE_F</v>
      </c>
      <c r="B189" t="str">
        <v>Mars</v>
      </c>
      <c r="C189" t="str" cm="1">
        <f t="array" ref="C189">_xlfn.XLOOKUP(1,([3]!players[name]=A189)*([3]!players[hero_name]=B189),[3]!players[lane_name])</f>
        <v>Off Lane</v>
      </c>
      <c r="D189">
        <f>COUNTIFS([3]!players[name],A189,[3]!players[hero_name],B189)</f>
        <v>2</v>
      </c>
      <c r="E189">
        <f>COUNTIFS([3]!players[name],A189,[3]!players[hero_name],B189, [3]!players[win], 1)</f>
        <v>1</v>
      </c>
      <c r="F189" s="1">
        <f t="shared" si="2"/>
        <v>0.5</v>
      </c>
      <c r="G189" s="2">
        <f>AVERAGEIFS([3]!players[gold_per_min], [3]!players[name],A189,[3]!players[hero_name],B189)</f>
        <v>501.5</v>
      </c>
      <c r="H189" s="2">
        <f>AVERAGEIFS([3]!players[xp_per_min], [3]!players[name],A189,[3]!players[hero_name],B189)</f>
        <v>780</v>
      </c>
    </row>
    <row r="190" spans="1:8" x14ac:dyDescent="0.3">
      <c r="A190" t="str">
        <v>AMMAR_THE_F</v>
      </c>
      <c r="B190" t="str">
        <v>Monkey King</v>
      </c>
      <c r="C190" t="str" cm="1">
        <f t="array" ref="C190">_xlfn.XLOOKUP(1,([3]!players[name]=A190)*([3]!players[hero_name]=B190),[3]!players[lane_name])</f>
        <v>Off Lane</v>
      </c>
      <c r="D190">
        <f>COUNTIFS([3]!players[name],A190,[3]!players[hero_name],B190)</f>
        <v>2</v>
      </c>
      <c r="E190">
        <f>COUNTIFS([3]!players[name],A190,[3]!players[hero_name],B190, [3]!players[win], 1)</f>
        <v>0</v>
      </c>
      <c r="F190" s="1">
        <f t="shared" si="2"/>
        <v>0</v>
      </c>
      <c r="G190" s="2">
        <f>AVERAGEIFS([3]!players[gold_per_min], [3]!players[name],A190,[3]!players[hero_name],B190)</f>
        <v>523</v>
      </c>
      <c r="H190" s="2">
        <f>AVERAGEIFS([3]!players[xp_per_min], [3]!players[name],A190,[3]!players[hero_name],B190)</f>
        <v>723</v>
      </c>
    </row>
    <row r="191" spans="1:8" x14ac:dyDescent="0.3">
      <c r="A191" t="str">
        <v>AMMAR_THE_F</v>
      </c>
      <c r="B191" t="str">
        <v>Dawnbreaker</v>
      </c>
      <c r="C191" t="str" cm="1">
        <f t="array" ref="C191">_xlfn.XLOOKUP(1,([3]!players[name]=A191)*([3]!players[hero_name]=B191),[3]!players[lane_name])</f>
        <v>Off Lane</v>
      </c>
      <c r="D191">
        <f>COUNTIFS([3]!players[name],A191,[3]!players[hero_name],B191)</f>
        <v>2</v>
      </c>
      <c r="E191">
        <f>COUNTIFS([3]!players[name],A191,[3]!players[hero_name],B191, [3]!players[win], 1)</f>
        <v>1</v>
      </c>
      <c r="F191" s="1">
        <f t="shared" si="2"/>
        <v>0.5</v>
      </c>
      <c r="G191" s="2">
        <f>AVERAGEIFS([3]!players[gold_per_min], [3]!players[name],A191,[3]!players[hero_name],B191)</f>
        <v>745</v>
      </c>
      <c r="H191" s="2">
        <f>AVERAGEIFS([3]!players[xp_per_min], [3]!players[name],A191,[3]!players[hero_name],B191)</f>
        <v>1035.5</v>
      </c>
    </row>
    <row r="192" spans="1:8" x14ac:dyDescent="0.3">
      <c r="A192" t="str">
        <v>AMMAR_THE_F</v>
      </c>
      <c r="B192" t="str">
        <v>Timbersaw</v>
      </c>
      <c r="C192" t="str" cm="1">
        <f t="array" ref="C192">_xlfn.XLOOKUP(1,([3]!players[name]=A192)*([3]!players[hero_name]=B192),[3]!players[lane_name])</f>
        <v>Off Lane</v>
      </c>
      <c r="D192">
        <f>COUNTIFS([3]!players[name],A192,[3]!players[hero_name],B192)</f>
        <v>1</v>
      </c>
      <c r="E192">
        <f>COUNTIFS([3]!players[name],A192,[3]!players[hero_name],B192, [3]!players[win], 1)</f>
        <v>0</v>
      </c>
      <c r="F192" s="1">
        <f t="shared" si="2"/>
        <v>0</v>
      </c>
      <c r="G192" s="2">
        <f>AVERAGEIFS([3]!players[gold_per_min], [3]!players[name],A192,[3]!players[hero_name],B192)</f>
        <v>758</v>
      </c>
      <c r="H192" s="2">
        <f>AVERAGEIFS([3]!players[xp_per_min], [3]!players[name],A192,[3]!players[hero_name],B192)</f>
        <v>974</v>
      </c>
    </row>
    <row r="193" spans="1:8" x14ac:dyDescent="0.3">
      <c r="A193" t="str">
        <v>AMMAR_THE_F</v>
      </c>
      <c r="B193" t="str">
        <v>Underlord</v>
      </c>
      <c r="C193" t="str" cm="1">
        <f t="array" ref="C193">_xlfn.XLOOKUP(1,([3]!players[name]=A193)*([3]!players[hero_name]=B193),[3]!players[lane_name])</f>
        <v>Off Lane</v>
      </c>
      <c r="D193">
        <f>COUNTIFS([3]!players[name],A193,[3]!players[hero_name],B193)</f>
        <v>2</v>
      </c>
      <c r="E193">
        <f>COUNTIFS([3]!players[name],A193,[3]!players[hero_name],B193, [3]!players[win], 1)</f>
        <v>0</v>
      </c>
      <c r="F193" s="1">
        <f t="shared" si="2"/>
        <v>0</v>
      </c>
      <c r="G193" s="2">
        <f>AVERAGEIFS([3]!players[gold_per_min], [3]!players[name],A193,[3]!players[hero_name],B193)</f>
        <v>453.5</v>
      </c>
      <c r="H193" s="2">
        <f>AVERAGEIFS([3]!players[xp_per_min], [3]!players[name],A193,[3]!players[hero_name],B193)</f>
        <v>585.5</v>
      </c>
    </row>
    <row r="194" spans="1:8" x14ac:dyDescent="0.3">
      <c r="A194" t="str">
        <v>AMMAR_THE_F</v>
      </c>
      <c r="B194" t="str">
        <v>Doom</v>
      </c>
      <c r="C194" t="str" cm="1">
        <f t="array" ref="C194">_xlfn.XLOOKUP(1,([3]!players[name]=A194)*([3]!players[hero_name]=B194),[3]!players[lane_name])</f>
        <v>Off Lane</v>
      </c>
      <c r="D194">
        <f>COUNTIFS([3]!players[name],A194,[3]!players[hero_name],B194)</f>
        <v>4</v>
      </c>
      <c r="E194">
        <f>COUNTIFS([3]!players[name],A194,[3]!players[hero_name],B194, [3]!players[win], 1)</f>
        <v>4</v>
      </c>
      <c r="F194" s="1">
        <f t="shared" si="2"/>
        <v>1</v>
      </c>
      <c r="G194" s="2">
        <f>AVERAGEIFS([3]!players[gold_per_min], [3]!players[name],A194,[3]!players[hero_name],B194)</f>
        <v>808</v>
      </c>
      <c r="H194" s="2">
        <f>AVERAGEIFS([3]!players[xp_per_min], [3]!players[name],A194,[3]!players[hero_name],B194)</f>
        <v>1068.5</v>
      </c>
    </row>
    <row r="195" spans="1:8" x14ac:dyDescent="0.3">
      <c r="A195" t="str">
        <v>AMMAR_THE_F</v>
      </c>
      <c r="B195" t="str">
        <v>Viper</v>
      </c>
      <c r="C195" t="str" cm="1">
        <f t="array" ref="C195">_xlfn.XLOOKUP(1,([3]!players[name]=A195)*([3]!players[hero_name]=B195),[3]!players[lane_name])</f>
        <v>Off Lane</v>
      </c>
      <c r="D195">
        <f>COUNTIFS([3]!players[name],A195,[3]!players[hero_name],B195)</f>
        <v>1</v>
      </c>
      <c r="E195">
        <f>COUNTIFS([3]!players[name],A195,[3]!players[hero_name],B195, [3]!players[win], 1)</f>
        <v>1</v>
      </c>
      <c r="F195" s="1">
        <f t="shared" ref="F195:F258" si="3">E195/D195</f>
        <v>1</v>
      </c>
      <c r="G195" s="2">
        <f>AVERAGEIFS([3]!players[gold_per_min], [3]!players[name],A195,[3]!players[hero_name],B195)</f>
        <v>633</v>
      </c>
      <c r="H195" s="2">
        <f>AVERAGEIFS([3]!players[xp_per_min], [3]!players[name],A195,[3]!players[hero_name],B195)</f>
        <v>692</v>
      </c>
    </row>
    <row r="196" spans="1:8" x14ac:dyDescent="0.3">
      <c r="A196" t="str">
        <v>AMMAR_THE_F</v>
      </c>
      <c r="B196" t="str">
        <v>Axe</v>
      </c>
      <c r="C196" t="str" cm="1">
        <f t="array" ref="C196">_xlfn.XLOOKUP(1,([3]!players[name]=A196)*([3]!players[hero_name]=B196),[3]!players[lane_name])</f>
        <v>Off Lane</v>
      </c>
      <c r="D196">
        <f>COUNTIFS([3]!players[name],A196,[3]!players[hero_name],B196)</f>
        <v>1</v>
      </c>
      <c r="E196">
        <f>COUNTIFS([3]!players[name],A196,[3]!players[hero_name],B196, [3]!players[win], 1)</f>
        <v>0</v>
      </c>
      <c r="F196" s="1">
        <f t="shared" si="3"/>
        <v>0</v>
      </c>
      <c r="G196" s="2">
        <f>AVERAGEIFS([3]!players[gold_per_min], [3]!players[name],A196,[3]!players[hero_name],B196)</f>
        <v>529</v>
      </c>
      <c r="H196" s="2">
        <f>AVERAGEIFS([3]!players[xp_per_min], [3]!players[name],A196,[3]!players[hero_name],B196)</f>
        <v>662</v>
      </c>
    </row>
    <row r="197" spans="1:8" x14ac:dyDescent="0.3">
      <c r="A197" t="str">
        <v>ani-san</v>
      </c>
      <c r="B197" t="str">
        <v>Rubick</v>
      </c>
      <c r="C197" t="str" cm="1">
        <f t="array" ref="C197">_xlfn.XLOOKUP(1,([3]!players[name]=A197)*([3]!players[hero_name]=B197),[3]!players[lane_name])</f>
        <v>Roam</v>
      </c>
      <c r="D197">
        <f>COUNTIFS([3]!players[name],A197,[3]!players[hero_name],B197)</f>
        <v>6</v>
      </c>
      <c r="E197">
        <f>COUNTIFS([3]!players[name],A197,[3]!players[hero_name],B197, [3]!players[win], 1)</f>
        <v>2</v>
      </c>
      <c r="F197" s="1">
        <f t="shared" si="3"/>
        <v>0.33333333333333331</v>
      </c>
      <c r="G197" s="2">
        <f>AVERAGEIFS([3]!players[gold_per_min], [3]!players[name],A197,[3]!players[hero_name],B197)</f>
        <v>333.33333333333331</v>
      </c>
      <c r="H197" s="2">
        <f>AVERAGEIFS([3]!players[xp_per_min], [3]!players[name],A197,[3]!players[hero_name],B197)</f>
        <v>431.16666666666669</v>
      </c>
    </row>
    <row r="198" spans="1:8" x14ac:dyDescent="0.3">
      <c r="A198" t="str">
        <v>ani-san</v>
      </c>
      <c r="B198" t="str">
        <v>Tusk</v>
      </c>
      <c r="C198" t="str" cm="1">
        <f t="array" ref="C198">_xlfn.XLOOKUP(1,([3]!players[name]=A198)*([3]!players[hero_name]=B198),[3]!players[lane_name])</f>
        <v>Soft Support</v>
      </c>
      <c r="D198">
        <f>COUNTIFS([3]!players[name],A198,[3]!players[hero_name],B198)</f>
        <v>8</v>
      </c>
      <c r="E198">
        <f>COUNTIFS([3]!players[name],A198,[3]!players[hero_name],B198, [3]!players[win], 1)</f>
        <v>3</v>
      </c>
      <c r="F198" s="1">
        <f t="shared" si="3"/>
        <v>0.375</v>
      </c>
      <c r="G198" s="2">
        <f>AVERAGEIFS([3]!players[gold_per_min], [3]!players[name],A198,[3]!players[hero_name],B198)</f>
        <v>300.5</v>
      </c>
      <c r="H198" s="2">
        <f>AVERAGEIFS([3]!players[xp_per_min], [3]!players[name],A198,[3]!players[hero_name],B198)</f>
        <v>431.625</v>
      </c>
    </row>
    <row r="199" spans="1:8" x14ac:dyDescent="0.3">
      <c r="A199" t="str">
        <v>ani-san</v>
      </c>
      <c r="B199" t="str">
        <v>Ringmaster</v>
      </c>
      <c r="C199" t="str" cm="1">
        <f t="array" ref="C199">_xlfn.XLOOKUP(1,([3]!players[name]=A199)*([3]!players[hero_name]=B199),[3]!players[lane_name])</f>
        <v>Roam</v>
      </c>
      <c r="D199">
        <f>COUNTIFS([3]!players[name],A199,[3]!players[hero_name],B199)</f>
        <v>4</v>
      </c>
      <c r="E199">
        <f>COUNTIFS([3]!players[name],A199,[3]!players[hero_name],B199, [3]!players[win], 1)</f>
        <v>2</v>
      </c>
      <c r="F199" s="1">
        <f t="shared" si="3"/>
        <v>0.5</v>
      </c>
      <c r="G199" s="2">
        <f>AVERAGEIFS([3]!players[gold_per_min], [3]!players[name],A199,[3]!players[hero_name],B199)</f>
        <v>282.75</v>
      </c>
      <c r="H199" s="2">
        <f>AVERAGEIFS([3]!players[xp_per_min], [3]!players[name],A199,[3]!players[hero_name],B199)</f>
        <v>422.5</v>
      </c>
    </row>
    <row r="200" spans="1:8" x14ac:dyDescent="0.3">
      <c r="A200" t="str">
        <v>ani-san</v>
      </c>
      <c r="B200" t="str">
        <v>Io</v>
      </c>
      <c r="C200" t="str" cm="1">
        <f t="array" ref="C200">_xlfn.XLOOKUP(1,([3]!players[name]=A200)*([3]!players[hero_name]=B200),[3]!players[lane_name])</f>
        <v>Soft Support</v>
      </c>
      <c r="D200">
        <f>COUNTIFS([3]!players[name],A200,[3]!players[hero_name],B200)</f>
        <v>3</v>
      </c>
      <c r="E200">
        <f>COUNTIFS([3]!players[name],A200,[3]!players[hero_name],B200, [3]!players[win], 1)</f>
        <v>0</v>
      </c>
      <c r="F200" s="1">
        <f t="shared" si="3"/>
        <v>0</v>
      </c>
      <c r="G200" s="2">
        <f>AVERAGEIFS([3]!players[gold_per_min], [3]!players[name],A200,[3]!players[hero_name],B200)</f>
        <v>282.66666666666669</v>
      </c>
      <c r="H200" s="2">
        <f>AVERAGEIFS([3]!players[xp_per_min], [3]!players[name],A200,[3]!players[hero_name],B200)</f>
        <v>383.66666666666669</v>
      </c>
    </row>
    <row r="201" spans="1:8" x14ac:dyDescent="0.3">
      <c r="A201" t="str">
        <v>ani-san</v>
      </c>
      <c r="B201" t="str">
        <v>Shadow Demon</v>
      </c>
      <c r="C201" t="str" cm="1">
        <f t="array" ref="C201">_xlfn.XLOOKUP(1,([3]!players[name]=A201)*([3]!players[hero_name]=B201),[3]!players[lane_name])</f>
        <v>Hard Support</v>
      </c>
      <c r="D201">
        <f>COUNTIFS([3]!players[name],A201,[3]!players[hero_name],B201)</f>
        <v>2</v>
      </c>
      <c r="E201">
        <f>COUNTIFS([3]!players[name],A201,[3]!players[hero_name],B201, [3]!players[win], 1)</f>
        <v>1</v>
      </c>
      <c r="F201" s="1">
        <f t="shared" si="3"/>
        <v>0.5</v>
      </c>
      <c r="G201" s="2">
        <f>AVERAGEIFS([3]!players[gold_per_min], [3]!players[name],A201,[3]!players[hero_name],B201)</f>
        <v>333.5</v>
      </c>
      <c r="H201" s="2">
        <f>AVERAGEIFS([3]!players[xp_per_min], [3]!players[name],A201,[3]!players[hero_name],B201)</f>
        <v>509</v>
      </c>
    </row>
    <row r="202" spans="1:8" x14ac:dyDescent="0.3">
      <c r="A202" t="str">
        <v>ani-san</v>
      </c>
      <c r="B202" t="str">
        <v>Lion</v>
      </c>
      <c r="C202" t="str" cm="1">
        <f t="array" ref="C202">_xlfn.XLOOKUP(1,([3]!players[name]=A202)*([3]!players[hero_name]=B202),[3]!players[lane_name])</f>
        <v>Roam</v>
      </c>
      <c r="D202">
        <f>COUNTIFS([3]!players[name],A202,[3]!players[hero_name],B202)</f>
        <v>2</v>
      </c>
      <c r="E202">
        <f>COUNTIFS([3]!players[name],A202,[3]!players[hero_name],B202, [3]!players[win], 1)</f>
        <v>1</v>
      </c>
      <c r="F202" s="1">
        <f t="shared" si="3"/>
        <v>0.5</v>
      </c>
      <c r="G202" s="2">
        <f>AVERAGEIFS([3]!players[gold_per_min], [3]!players[name],A202,[3]!players[hero_name],B202)</f>
        <v>272.5</v>
      </c>
      <c r="H202" s="2">
        <f>AVERAGEIFS([3]!players[xp_per_min], [3]!players[name],A202,[3]!players[hero_name],B202)</f>
        <v>348</v>
      </c>
    </row>
    <row r="203" spans="1:8" x14ac:dyDescent="0.3">
      <c r="A203" t="str">
        <v>ani-san</v>
      </c>
      <c r="B203" t="str">
        <v>Hoodwink</v>
      </c>
      <c r="C203" t="str" cm="1">
        <f t="array" ref="C203">_xlfn.XLOOKUP(1,([3]!players[name]=A203)*([3]!players[hero_name]=B203),[3]!players[lane_name])</f>
        <v>Roam</v>
      </c>
      <c r="D203">
        <f>COUNTIFS([3]!players[name],A203,[3]!players[hero_name],B203)</f>
        <v>11</v>
      </c>
      <c r="E203">
        <f>COUNTIFS([3]!players[name],A203,[3]!players[hero_name],B203, [3]!players[win], 1)</f>
        <v>7</v>
      </c>
      <c r="F203" s="1">
        <f t="shared" si="3"/>
        <v>0.63636363636363635</v>
      </c>
      <c r="G203" s="2">
        <f>AVERAGEIFS([3]!players[gold_per_min], [3]!players[name],A203,[3]!players[hero_name],B203)</f>
        <v>333.90909090909093</v>
      </c>
      <c r="H203" s="2">
        <f>AVERAGEIFS([3]!players[xp_per_min], [3]!players[name],A203,[3]!players[hero_name],B203)</f>
        <v>445.36363636363637</v>
      </c>
    </row>
    <row r="204" spans="1:8" x14ac:dyDescent="0.3">
      <c r="A204" t="str">
        <v>ani-san</v>
      </c>
      <c r="B204" t="str">
        <v>Tiny</v>
      </c>
      <c r="C204" t="str" cm="1">
        <f t="array" ref="C204">_xlfn.XLOOKUP(1,([3]!players[name]=A204)*([3]!players[hero_name]=B204),[3]!players[lane_name])</f>
        <v>Roam</v>
      </c>
      <c r="D204">
        <f>COUNTIFS([3]!players[name],A204,[3]!players[hero_name],B204)</f>
        <v>3</v>
      </c>
      <c r="E204">
        <f>COUNTIFS([3]!players[name],A204,[3]!players[hero_name],B204, [3]!players[win], 1)</f>
        <v>1</v>
      </c>
      <c r="F204" s="1">
        <f t="shared" si="3"/>
        <v>0.33333333333333331</v>
      </c>
      <c r="G204" s="2">
        <f>AVERAGEIFS([3]!players[gold_per_min], [3]!players[name],A204,[3]!players[hero_name],B204)</f>
        <v>308.66666666666669</v>
      </c>
      <c r="H204" s="2">
        <f>AVERAGEIFS([3]!players[xp_per_min], [3]!players[name],A204,[3]!players[hero_name],B204)</f>
        <v>431</v>
      </c>
    </row>
    <row r="205" spans="1:8" x14ac:dyDescent="0.3">
      <c r="A205" t="str">
        <v>ani-san</v>
      </c>
      <c r="B205" t="str">
        <v>Keeper of the Light</v>
      </c>
      <c r="C205" t="str" cm="1">
        <f t="array" ref="C205">_xlfn.XLOOKUP(1,([3]!players[name]=A205)*([3]!players[hero_name]=B205),[3]!players[lane_name])</f>
        <v>Soft Support</v>
      </c>
      <c r="D205">
        <f>COUNTIFS([3]!players[name],A205,[3]!players[hero_name],B205)</f>
        <v>1</v>
      </c>
      <c r="E205">
        <f>COUNTIFS([3]!players[name],A205,[3]!players[hero_name],B205, [3]!players[win], 1)</f>
        <v>0</v>
      </c>
      <c r="F205" s="1">
        <f t="shared" si="3"/>
        <v>0</v>
      </c>
      <c r="G205" s="2">
        <f>AVERAGEIFS([3]!players[gold_per_min], [3]!players[name],A205,[3]!players[hero_name],B205)</f>
        <v>344</v>
      </c>
      <c r="H205" s="2">
        <f>AVERAGEIFS([3]!players[xp_per_min], [3]!players[name],A205,[3]!players[hero_name],B205)</f>
        <v>441</v>
      </c>
    </row>
    <row r="206" spans="1:8" x14ac:dyDescent="0.3">
      <c r="A206" t="str">
        <v>Artemis</v>
      </c>
      <c r="B206" t="str">
        <v>Jakiro</v>
      </c>
      <c r="C206" t="str" cm="1">
        <f t="array" ref="C206">_xlfn.XLOOKUP(1,([3]!players[name]=A206)*([3]!players[hero_name]=B206),[3]!players[lane_name])</f>
        <v>Hard Support</v>
      </c>
      <c r="D206">
        <f>COUNTIFS([3]!players[name],A206,[3]!players[hero_name],B206)</f>
        <v>4</v>
      </c>
      <c r="E206">
        <f>COUNTIFS([3]!players[name],A206,[3]!players[hero_name],B206, [3]!players[win], 1)</f>
        <v>3</v>
      </c>
      <c r="F206" s="1">
        <f t="shared" si="3"/>
        <v>0.75</v>
      </c>
      <c r="G206" s="2">
        <f>AVERAGEIFS([3]!players[gold_per_min], [3]!players[name],A206,[3]!players[hero_name],B206)</f>
        <v>300.5</v>
      </c>
      <c r="H206" s="2">
        <f>AVERAGEIFS([3]!players[xp_per_min], [3]!players[name],A206,[3]!players[hero_name],B206)</f>
        <v>417.5</v>
      </c>
    </row>
    <row r="207" spans="1:8" x14ac:dyDescent="0.3">
      <c r="A207" t="str">
        <v>Artemis</v>
      </c>
      <c r="B207" t="str">
        <v>Crystal Maiden</v>
      </c>
      <c r="C207" t="str" cm="1">
        <f t="array" ref="C207">_xlfn.XLOOKUP(1,([3]!players[name]=A207)*([3]!players[hero_name]=B207),[3]!players[lane_name])</f>
        <v>Soft Support</v>
      </c>
      <c r="D207">
        <f>COUNTIFS([3]!players[name],A207,[3]!players[hero_name],B207)</f>
        <v>1</v>
      </c>
      <c r="E207">
        <f>COUNTIFS([3]!players[name],A207,[3]!players[hero_name],B207, [3]!players[win], 1)</f>
        <v>1</v>
      </c>
      <c r="F207" s="1">
        <f t="shared" si="3"/>
        <v>1</v>
      </c>
      <c r="G207" s="2">
        <f>AVERAGEIFS([3]!players[gold_per_min], [3]!players[name],A207,[3]!players[hero_name],B207)</f>
        <v>302</v>
      </c>
      <c r="H207" s="2">
        <f>AVERAGEIFS([3]!players[xp_per_min], [3]!players[name],A207,[3]!players[hero_name],B207)</f>
        <v>404</v>
      </c>
    </row>
    <row r="208" spans="1:8" x14ac:dyDescent="0.3">
      <c r="A208" t="str">
        <v>Artemis</v>
      </c>
      <c r="B208" t="str">
        <v>Marci</v>
      </c>
      <c r="C208" t="str" cm="1">
        <f t="array" ref="C208">_xlfn.XLOOKUP(1,([3]!players[name]=A208)*([3]!players[hero_name]=B208),[3]!players[lane_name])</f>
        <v>Hard Support</v>
      </c>
      <c r="D208">
        <f>COUNTIFS([3]!players[name],A208,[3]!players[hero_name],B208)</f>
        <v>1</v>
      </c>
      <c r="E208">
        <f>COUNTIFS([3]!players[name],A208,[3]!players[hero_name],B208, [3]!players[win], 1)</f>
        <v>1</v>
      </c>
      <c r="F208" s="1">
        <f t="shared" si="3"/>
        <v>1</v>
      </c>
      <c r="G208" s="2">
        <f>AVERAGEIFS([3]!players[gold_per_min], [3]!players[name],A208,[3]!players[hero_name],B208)</f>
        <v>322</v>
      </c>
      <c r="H208" s="2">
        <f>AVERAGEIFS([3]!players[xp_per_min], [3]!players[name],A208,[3]!players[hero_name],B208)</f>
        <v>537</v>
      </c>
    </row>
    <row r="209" spans="1:8" x14ac:dyDescent="0.3">
      <c r="A209" t="str">
        <v>Artemis</v>
      </c>
      <c r="B209" t="str">
        <v>Phoenix</v>
      </c>
      <c r="C209" t="str" cm="1">
        <f t="array" ref="C209">_xlfn.XLOOKUP(1,([3]!players[name]=A209)*([3]!players[hero_name]=B209),[3]!players[lane_name])</f>
        <v>Soft Support</v>
      </c>
      <c r="D209">
        <f>COUNTIFS([3]!players[name],A209,[3]!players[hero_name],B209)</f>
        <v>3</v>
      </c>
      <c r="E209">
        <f>COUNTIFS([3]!players[name],A209,[3]!players[hero_name],B209, [3]!players[win], 1)</f>
        <v>3</v>
      </c>
      <c r="F209" s="1">
        <f t="shared" si="3"/>
        <v>1</v>
      </c>
      <c r="G209" s="2">
        <f>AVERAGEIFS([3]!players[gold_per_min], [3]!players[name],A209,[3]!players[hero_name],B209)</f>
        <v>382.66666666666669</v>
      </c>
      <c r="H209" s="2">
        <f>AVERAGEIFS([3]!players[xp_per_min], [3]!players[name],A209,[3]!players[hero_name],B209)</f>
        <v>481.33333333333331</v>
      </c>
    </row>
    <row r="210" spans="1:8" x14ac:dyDescent="0.3">
      <c r="A210" t="str">
        <v>Artemis</v>
      </c>
      <c r="B210" t="str">
        <v>Tusk</v>
      </c>
      <c r="C210" t="str" cm="1">
        <f t="array" ref="C210">_xlfn.XLOOKUP(1,([3]!players[name]=A210)*([3]!players[hero_name]=B210),[3]!players[lane_name])</f>
        <v>Hard Support</v>
      </c>
      <c r="D210">
        <f>COUNTIFS([3]!players[name],A210,[3]!players[hero_name],B210)</f>
        <v>1</v>
      </c>
      <c r="E210">
        <f>COUNTIFS([3]!players[name],A210,[3]!players[hero_name],B210, [3]!players[win], 1)</f>
        <v>1</v>
      </c>
      <c r="F210" s="1">
        <f t="shared" si="3"/>
        <v>1</v>
      </c>
      <c r="G210" s="2">
        <f>AVERAGEIFS([3]!players[gold_per_min], [3]!players[name],A210,[3]!players[hero_name],B210)</f>
        <v>337</v>
      </c>
      <c r="H210" s="2">
        <f>AVERAGEIFS([3]!players[xp_per_min], [3]!players[name],A210,[3]!players[hero_name],B210)</f>
        <v>520</v>
      </c>
    </row>
    <row r="211" spans="1:8" x14ac:dyDescent="0.3">
      <c r="A211" t="str">
        <v>Artemis</v>
      </c>
      <c r="B211" t="str">
        <v>Undying</v>
      </c>
      <c r="C211" t="str" cm="1">
        <f t="array" ref="C211">_xlfn.XLOOKUP(1,([3]!players[name]=A211)*([3]!players[hero_name]=B211),[3]!players[lane_name])</f>
        <v>Roam</v>
      </c>
      <c r="D211">
        <f>COUNTIFS([3]!players[name],A211,[3]!players[hero_name],B211)</f>
        <v>2</v>
      </c>
      <c r="E211">
        <f>COUNTIFS([3]!players[name],A211,[3]!players[hero_name],B211, [3]!players[win], 1)</f>
        <v>0</v>
      </c>
      <c r="F211" s="1">
        <f t="shared" si="3"/>
        <v>0</v>
      </c>
      <c r="G211" s="2">
        <f>AVERAGEIFS([3]!players[gold_per_min], [3]!players[name],A211,[3]!players[hero_name],B211)</f>
        <v>264</v>
      </c>
      <c r="H211" s="2">
        <f>AVERAGEIFS([3]!players[xp_per_min], [3]!players[name],A211,[3]!players[hero_name],B211)</f>
        <v>296</v>
      </c>
    </row>
    <row r="212" spans="1:8" x14ac:dyDescent="0.3">
      <c r="A212" t="str">
        <v>Artemis</v>
      </c>
      <c r="B212" t="str">
        <v>Disruptor</v>
      </c>
      <c r="C212" t="str" cm="1">
        <f t="array" ref="C212">_xlfn.XLOOKUP(1,([3]!players[name]=A212)*([3]!players[hero_name]=B212),[3]!players[lane_name])</f>
        <v>Hard Support</v>
      </c>
      <c r="D212">
        <f>COUNTIFS([3]!players[name],A212,[3]!players[hero_name],B212)</f>
        <v>2</v>
      </c>
      <c r="E212">
        <f>COUNTIFS([3]!players[name],A212,[3]!players[hero_name],B212, [3]!players[win], 1)</f>
        <v>0</v>
      </c>
      <c r="F212" s="1">
        <f t="shared" si="3"/>
        <v>0</v>
      </c>
      <c r="G212" s="2">
        <f>AVERAGEIFS([3]!players[gold_per_min], [3]!players[name],A212,[3]!players[hero_name],B212)</f>
        <v>265</v>
      </c>
      <c r="H212" s="2">
        <f>AVERAGEIFS([3]!players[xp_per_min], [3]!players[name],A212,[3]!players[hero_name],B212)</f>
        <v>397.5</v>
      </c>
    </row>
    <row r="213" spans="1:8" x14ac:dyDescent="0.3">
      <c r="A213" t="str">
        <v>ArzenT</v>
      </c>
      <c r="B213" t="str">
        <v>Enigma</v>
      </c>
      <c r="C213" t="str" cm="1">
        <f t="array" ref="C213">_xlfn.XLOOKUP(1,([3]!players[name]=A213)*([3]!players[hero_name]=B213),[3]!players[lane_name])</f>
        <v>Off Lane</v>
      </c>
      <c r="D213">
        <f>COUNTIFS([3]!players[name],A213,[3]!players[hero_name],B213)</f>
        <v>2</v>
      </c>
      <c r="E213">
        <f>COUNTIFS([3]!players[name],A213,[3]!players[hero_name],B213, [3]!players[win], 1)</f>
        <v>1</v>
      </c>
      <c r="F213" s="1">
        <f t="shared" si="3"/>
        <v>0.5</v>
      </c>
      <c r="G213" s="2">
        <f>AVERAGEIFS([3]!players[gold_per_min], [3]!players[name],A213,[3]!players[hero_name],B213)</f>
        <v>591</v>
      </c>
      <c r="H213" s="2">
        <f>AVERAGEIFS([3]!players[xp_per_min], [3]!players[name],A213,[3]!players[hero_name],B213)</f>
        <v>594.5</v>
      </c>
    </row>
    <row r="214" spans="1:8" x14ac:dyDescent="0.3">
      <c r="A214" t="str">
        <v>ArzenT</v>
      </c>
      <c r="B214" t="str">
        <v>Weaver</v>
      </c>
      <c r="C214" t="str" cm="1">
        <f t="array" ref="C214">_xlfn.XLOOKUP(1,([3]!players[name]=A214)*([3]!players[hero_name]=B214),[3]!players[lane_name])</f>
        <v>Off Lane</v>
      </c>
      <c r="D214">
        <f>COUNTIFS([3]!players[name],A214,[3]!players[hero_name],B214)</f>
        <v>5</v>
      </c>
      <c r="E214">
        <f>COUNTIFS([3]!players[name],A214,[3]!players[hero_name],B214, [3]!players[win], 1)</f>
        <v>4</v>
      </c>
      <c r="F214" s="1">
        <f t="shared" si="3"/>
        <v>0.8</v>
      </c>
      <c r="G214" s="2">
        <f>AVERAGEIFS([3]!players[gold_per_min], [3]!players[name],A214,[3]!players[hero_name],B214)</f>
        <v>600.79999999999995</v>
      </c>
      <c r="H214" s="2">
        <f>AVERAGEIFS([3]!players[xp_per_min], [3]!players[name],A214,[3]!players[hero_name],B214)</f>
        <v>786</v>
      </c>
    </row>
    <row r="215" spans="1:8" x14ac:dyDescent="0.3">
      <c r="A215" t="str">
        <v>ArzenT</v>
      </c>
      <c r="B215" t="str">
        <v>Dawnbreaker</v>
      </c>
      <c r="C215" t="str" cm="1">
        <f t="array" ref="C215">_xlfn.XLOOKUP(1,([3]!players[name]=A215)*([3]!players[hero_name]=B215),[3]!players[lane_name])</f>
        <v>Off Lane</v>
      </c>
      <c r="D215">
        <f>COUNTIFS([3]!players[name],A215,[3]!players[hero_name],B215)</f>
        <v>2</v>
      </c>
      <c r="E215">
        <f>COUNTIFS([3]!players[name],A215,[3]!players[hero_name],B215, [3]!players[win], 1)</f>
        <v>1</v>
      </c>
      <c r="F215" s="1">
        <f t="shared" si="3"/>
        <v>0.5</v>
      </c>
      <c r="G215" s="2">
        <f>AVERAGEIFS([3]!players[gold_per_min], [3]!players[name],A215,[3]!players[hero_name],B215)</f>
        <v>532.5</v>
      </c>
      <c r="H215" s="2">
        <f>AVERAGEIFS([3]!players[xp_per_min], [3]!players[name],A215,[3]!players[hero_name],B215)</f>
        <v>704.5</v>
      </c>
    </row>
    <row r="216" spans="1:8" x14ac:dyDescent="0.3">
      <c r="A216" t="str">
        <v>ArzenT</v>
      </c>
      <c r="B216" t="str">
        <v>Razor</v>
      </c>
      <c r="C216" t="str" cm="1">
        <f t="array" ref="C216">_xlfn.XLOOKUP(1,([3]!players[name]=A216)*([3]!players[hero_name]=B216),[3]!players[lane_name])</f>
        <v>Off Lane</v>
      </c>
      <c r="D216">
        <f>COUNTIFS([3]!players[name],A216,[3]!players[hero_name],B216)</f>
        <v>5</v>
      </c>
      <c r="E216">
        <f>COUNTIFS([3]!players[name],A216,[3]!players[hero_name],B216, [3]!players[win], 1)</f>
        <v>2</v>
      </c>
      <c r="F216" s="1">
        <f t="shared" si="3"/>
        <v>0.4</v>
      </c>
      <c r="G216" s="2">
        <f>AVERAGEIFS([3]!players[gold_per_min], [3]!players[name],A216,[3]!players[hero_name],B216)</f>
        <v>526.4</v>
      </c>
      <c r="H216" s="2">
        <f>AVERAGEIFS([3]!players[xp_per_min], [3]!players[name],A216,[3]!players[hero_name],B216)</f>
        <v>680.6</v>
      </c>
    </row>
    <row r="217" spans="1:8" x14ac:dyDescent="0.3">
      <c r="A217" t="str">
        <v>ArzenT</v>
      </c>
      <c r="B217" t="str">
        <v>Slardar</v>
      </c>
      <c r="C217" t="str" cm="1">
        <f t="array" ref="C217">_xlfn.XLOOKUP(1,([3]!players[name]=A217)*([3]!players[hero_name]=B217),[3]!players[lane_name])</f>
        <v>Off Lane</v>
      </c>
      <c r="D217">
        <f>COUNTIFS([3]!players[name],A217,[3]!players[hero_name],B217)</f>
        <v>1</v>
      </c>
      <c r="E217">
        <f>COUNTIFS([3]!players[name],A217,[3]!players[hero_name],B217, [3]!players[win], 1)</f>
        <v>1</v>
      </c>
      <c r="F217" s="1">
        <f t="shared" si="3"/>
        <v>1</v>
      </c>
      <c r="G217" s="2">
        <f>AVERAGEIFS([3]!players[gold_per_min], [3]!players[name],A217,[3]!players[hero_name],B217)</f>
        <v>596</v>
      </c>
      <c r="H217" s="2">
        <f>AVERAGEIFS([3]!players[xp_per_min], [3]!players[name],A217,[3]!players[hero_name],B217)</f>
        <v>672</v>
      </c>
    </row>
    <row r="218" spans="1:8" x14ac:dyDescent="0.3">
      <c r="A218" t="str">
        <v>ArzenT</v>
      </c>
      <c r="B218" t="str">
        <v>Doom</v>
      </c>
      <c r="C218" t="str" cm="1">
        <f t="array" ref="C218">_xlfn.XLOOKUP(1,([3]!players[name]=A218)*([3]!players[hero_name]=B218),[3]!players[lane_name])</f>
        <v>Off Lane</v>
      </c>
      <c r="D218">
        <f>COUNTIFS([3]!players[name],A218,[3]!players[hero_name],B218)</f>
        <v>1</v>
      </c>
      <c r="E218">
        <f>COUNTIFS([3]!players[name],A218,[3]!players[hero_name],B218, [3]!players[win], 1)</f>
        <v>1</v>
      </c>
      <c r="F218" s="1">
        <f t="shared" si="3"/>
        <v>1</v>
      </c>
      <c r="G218" s="2">
        <f>AVERAGEIFS([3]!players[gold_per_min], [3]!players[name],A218,[3]!players[hero_name],B218)</f>
        <v>580</v>
      </c>
      <c r="H218" s="2">
        <f>AVERAGEIFS([3]!players[xp_per_min], [3]!players[name],A218,[3]!players[hero_name],B218)</f>
        <v>761</v>
      </c>
    </row>
    <row r="219" spans="1:8" x14ac:dyDescent="0.3">
      <c r="A219" t="str">
        <v>ArzenT</v>
      </c>
      <c r="B219" t="str">
        <v>Dragon Knight</v>
      </c>
      <c r="C219" t="str" cm="1">
        <f t="array" ref="C219">_xlfn.XLOOKUP(1,([3]!players[name]=A219)*([3]!players[hero_name]=B219),[3]!players[lane_name])</f>
        <v>Off Lane</v>
      </c>
      <c r="D219">
        <f>COUNTIFS([3]!players[name],A219,[3]!players[hero_name],B219)</f>
        <v>1</v>
      </c>
      <c r="E219">
        <f>COUNTIFS([3]!players[name],A219,[3]!players[hero_name],B219, [3]!players[win], 1)</f>
        <v>0</v>
      </c>
      <c r="F219" s="1">
        <f t="shared" si="3"/>
        <v>0</v>
      </c>
      <c r="G219" s="2">
        <f>AVERAGEIFS([3]!players[gold_per_min], [3]!players[name],A219,[3]!players[hero_name],B219)</f>
        <v>554</v>
      </c>
      <c r="H219" s="2">
        <f>AVERAGEIFS([3]!players[xp_per_min], [3]!players[name],A219,[3]!players[hero_name],B219)</f>
        <v>669</v>
      </c>
    </row>
    <row r="220" spans="1:8" x14ac:dyDescent="0.3">
      <c r="A220" t="str">
        <v>ArzenT</v>
      </c>
      <c r="B220" t="str">
        <v>Underlord</v>
      </c>
      <c r="C220" t="str" cm="1">
        <f t="array" ref="C220">_xlfn.XLOOKUP(1,([3]!players[name]=A220)*([3]!players[hero_name]=B220),[3]!players[lane_name])</f>
        <v>Off Lane</v>
      </c>
      <c r="D220">
        <f>COUNTIFS([3]!players[name],A220,[3]!players[hero_name],B220)</f>
        <v>2</v>
      </c>
      <c r="E220">
        <f>COUNTIFS([3]!players[name],A220,[3]!players[hero_name],B220, [3]!players[win], 1)</f>
        <v>2</v>
      </c>
      <c r="F220" s="1">
        <f t="shared" si="3"/>
        <v>1</v>
      </c>
      <c r="G220" s="2">
        <f>AVERAGEIFS([3]!players[gold_per_min], [3]!players[name],A220,[3]!players[hero_name],B220)</f>
        <v>554</v>
      </c>
      <c r="H220" s="2">
        <f>AVERAGEIFS([3]!players[xp_per_min], [3]!players[name],A220,[3]!players[hero_name],B220)</f>
        <v>798</v>
      </c>
    </row>
    <row r="221" spans="1:8" x14ac:dyDescent="0.3">
      <c r="A221" t="str">
        <v>ArzenT</v>
      </c>
      <c r="B221" t="str">
        <v>Centaur Warrunner</v>
      </c>
      <c r="C221" t="str" cm="1">
        <f t="array" ref="C221">_xlfn.XLOOKUP(1,([3]!players[name]=A221)*([3]!players[hero_name]=B221),[3]!players[lane_name])</f>
        <v>Off Lane</v>
      </c>
      <c r="D221">
        <f>COUNTIFS([3]!players[name],A221,[3]!players[hero_name],B221)</f>
        <v>2</v>
      </c>
      <c r="E221">
        <f>COUNTIFS([3]!players[name],A221,[3]!players[hero_name],B221, [3]!players[win], 1)</f>
        <v>1</v>
      </c>
      <c r="F221" s="1">
        <f t="shared" si="3"/>
        <v>0.5</v>
      </c>
      <c r="G221" s="2">
        <f>AVERAGEIFS([3]!players[gold_per_min], [3]!players[name],A221,[3]!players[hero_name],B221)</f>
        <v>528.5</v>
      </c>
      <c r="H221" s="2">
        <f>AVERAGEIFS([3]!players[xp_per_min], [3]!players[name],A221,[3]!players[hero_name],B221)</f>
        <v>662.5</v>
      </c>
    </row>
    <row r="222" spans="1:8" x14ac:dyDescent="0.3">
      <c r="A222" t="str">
        <v>ArzenT</v>
      </c>
      <c r="B222" t="str">
        <v>Viper</v>
      </c>
      <c r="C222" t="str" cm="1">
        <f t="array" ref="C222">_xlfn.XLOOKUP(1,([3]!players[name]=A222)*([3]!players[hero_name]=B222),[3]!players[lane_name])</f>
        <v>Off Lane</v>
      </c>
      <c r="D222">
        <f>COUNTIFS([3]!players[name],A222,[3]!players[hero_name],B222)</f>
        <v>1</v>
      </c>
      <c r="E222">
        <f>COUNTIFS([3]!players[name],A222,[3]!players[hero_name],B222, [3]!players[win], 1)</f>
        <v>0</v>
      </c>
      <c r="F222" s="1">
        <f t="shared" si="3"/>
        <v>0</v>
      </c>
      <c r="G222" s="2">
        <f>AVERAGEIFS([3]!players[gold_per_min], [3]!players[name],A222,[3]!players[hero_name],B222)</f>
        <v>347</v>
      </c>
      <c r="H222" s="2">
        <f>AVERAGEIFS([3]!players[xp_per_min], [3]!players[name],A222,[3]!players[hero_name],B222)</f>
        <v>373</v>
      </c>
    </row>
    <row r="223" spans="1:8" x14ac:dyDescent="0.3">
      <c r="A223" t="str">
        <v>asdekor_r</v>
      </c>
      <c r="B223" t="str">
        <v>Chen</v>
      </c>
      <c r="C223" t="str" cm="1">
        <f t="array" ref="C223">_xlfn.XLOOKUP(1,([3]!players[name]=A223)*([3]!players[hero_name]=B223),[3]!players[lane_name])</f>
        <v>Soft Support</v>
      </c>
      <c r="D223">
        <f>COUNTIFS([3]!players[name],A223,[3]!players[hero_name],B223)</f>
        <v>6</v>
      </c>
      <c r="E223">
        <f>COUNTIFS([3]!players[name],A223,[3]!players[hero_name],B223, [3]!players[win], 1)</f>
        <v>3</v>
      </c>
      <c r="F223" s="1">
        <f t="shared" si="3"/>
        <v>0.5</v>
      </c>
      <c r="G223" s="2">
        <f>AVERAGEIFS([3]!players[gold_per_min], [3]!players[name],A223,[3]!players[hero_name],B223)</f>
        <v>374.5</v>
      </c>
      <c r="H223" s="2">
        <f>AVERAGEIFS([3]!players[xp_per_min], [3]!players[name],A223,[3]!players[hero_name],B223)</f>
        <v>439.66666666666669</v>
      </c>
    </row>
    <row r="224" spans="1:8" x14ac:dyDescent="0.3">
      <c r="A224" t="str">
        <v>asdekor_r</v>
      </c>
      <c r="B224" t="str">
        <v>Enchantress</v>
      </c>
      <c r="C224" t="str" cm="1">
        <f t="array" ref="C224">_xlfn.XLOOKUP(1,([3]!players[name]=A224)*([3]!players[hero_name]=B224),[3]!players[lane_name])</f>
        <v>Soft Support</v>
      </c>
      <c r="D224">
        <f>COUNTIFS([3]!players[name],A224,[3]!players[hero_name],B224)</f>
        <v>4</v>
      </c>
      <c r="E224">
        <f>COUNTIFS([3]!players[name],A224,[3]!players[hero_name],B224, [3]!players[win], 1)</f>
        <v>3</v>
      </c>
      <c r="F224" s="1">
        <f t="shared" si="3"/>
        <v>0.75</v>
      </c>
      <c r="G224" s="2">
        <f>AVERAGEIFS([3]!players[gold_per_min], [3]!players[name],A224,[3]!players[hero_name],B224)</f>
        <v>360.5</v>
      </c>
      <c r="H224" s="2">
        <f>AVERAGEIFS([3]!players[xp_per_min], [3]!players[name],A224,[3]!players[hero_name],B224)</f>
        <v>584.25</v>
      </c>
    </row>
    <row r="225" spans="1:8" x14ac:dyDescent="0.3">
      <c r="A225" t="str">
        <v>asdekor_r</v>
      </c>
      <c r="B225" t="str">
        <v>Tusk</v>
      </c>
      <c r="C225" t="str" cm="1">
        <f t="array" ref="C225">_xlfn.XLOOKUP(1,([3]!players[name]=A225)*([3]!players[hero_name]=B225),[3]!players[lane_name])</f>
        <v>Roam</v>
      </c>
      <c r="D225">
        <f>COUNTIFS([3]!players[name],A225,[3]!players[hero_name],B225)</f>
        <v>3</v>
      </c>
      <c r="E225">
        <f>COUNTIFS([3]!players[name],A225,[3]!players[hero_name],B225, [3]!players[win], 1)</f>
        <v>2</v>
      </c>
      <c r="F225" s="1">
        <f t="shared" si="3"/>
        <v>0.66666666666666663</v>
      </c>
      <c r="G225" s="2">
        <f>AVERAGEIFS([3]!players[gold_per_min], [3]!players[name],A225,[3]!players[hero_name],B225)</f>
        <v>279</v>
      </c>
      <c r="H225" s="2">
        <f>AVERAGEIFS([3]!players[xp_per_min], [3]!players[name],A225,[3]!players[hero_name],B225)</f>
        <v>440.66666666666669</v>
      </c>
    </row>
    <row r="226" spans="1:8" x14ac:dyDescent="0.3">
      <c r="A226" t="str">
        <v>asdekor_r</v>
      </c>
      <c r="B226" t="str">
        <v>Ringmaster</v>
      </c>
      <c r="C226" t="str" cm="1">
        <f t="array" ref="C226">_xlfn.XLOOKUP(1,([3]!players[name]=A226)*([3]!players[hero_name]=B226),[3]!players[lane_name])</f>
        <v>Hard Support</v>
      </c>
      <c r="D226">
        <f>COUNTIFS([3]!players[name],A226,[3]!players[hero_name],B226)</f>
        <v>1</v>
      </c>
      <c r="E226">
        <f>COUNTIFS([3]!players[name],A226,[3]!players[hero_name],B226, [3]!players[win], 1)</f>
        <v>0</v>
      </c>
      <c r="F226" s="1">
        <f t="shared" si="3"/>
        <v>0</v>
      </c>
      <c r="G226" s="2">
        <f>AVERAGEIFS([3]!players[gold_per_min], [3]!players[name],A226,[3]!players[hero_name],B226)</f>
        <v>265</v>
      </c>
      <c r="H226" s="2">
        <f>AVERAGEIFS([3]!players[xp_per_min], [3]!players[name],A226,[3]!players[hero_name],B226)</f>
        <v>417</v>
      </c>
    </row>
    <row r="227" spans="1:8" x14ac:dyDescent="0.3">
      <c r="A227" t="str">
        <v>asdekor_r</v>
      </c>
      <c r="B227" t="str">
        <v>Bane</v>
      </c>
      <c r="C227" t="str" cm="1">
        <f t="array" ref="C227">_xlfn.XLOOKUP(1,([3]!players[name]=A227)*([3]!players[hero_name]=B227),[3]!players[lane_name])</f>
        <v>Hard Support</v>
      </c>
      <c r="D227">
        <f>COUNTIFS([3]!players[name],A227,[3]!players[hero_name],B227)</f>
        <v>2</v>
      </c>
      <c r="E227">
        <f>COUNTIFS([3]!players[name],A227,[3]!players[hero_name],B227, [3]!players[win], 1)</f>
        <v>1</v>
      </c>
      <c r="F227" s="1">
        <f t="shared" si="3"/>
        <v>0.5</v>
      </c>
      <c r="G227" s="2">
        <f>AVERAGEIFS([3]!players[gold_per_min], [3]!players[name],A227,[3]!players[hero_name],B227)</f>
        <v>255</v>
      </c>
      <c r="H227" s="2">
        <f>AVERAGEIFS([3]!players[xp_per_min], [3]!players[name],A227,[3]!players[hero_name],B227)</f>
        <v>356.5</v>
      </c>
    </row>
    <row r="228" spans="1:8" x14ac:dyDescent="0.3">
      <c r="A228" t="str">
        <v>asdekor_r</v>
      </c>
      <c r="B228" t="str">
        <v>Phoenix</v>
      </c>
      <c r="C228" t="str" cm="1">
        <f t="array" ref="C228">_xlfn.XLOOKUP(1,([3]!players[name]=A228)*([3]!players[hero_name]=B228),[3]!players[lane_name])</f>
        <v>Roam</v>
      </c>
      <c r="D228">
        <f>COUNTIFS([3]!players[name],A228,[3]!players[hero_name],B228)</f>
        <v>4</v>
      </c>
      <c r="E228">
        <f>COUNTIFS([3]!players[name],A228,[3]!players[hero_name],B228, [3]!players[win], 1)</f>
        <v>1</v>
      </c>
      <c r="F228" s="1">
        <f t="shared" si="3"/>
        <v>0.25</v>
      </c>
      <c r="G228" s="2">
        <f>AVERAGEIFS([3]!players[gold_per_min], [3]!players[name],A228,[3]!players[hero_name],B228)</f>
        <v>295.5</v>
      </c>
      <c r="H228" s="2">
        <f>AVERAGEIFS([3]!players[xp_per_min], [3]!players[name],A228,[3]!players[hero_name],B228)</f>
        <v>418.75</v>
      </c>
    </row>
    <row r="229" spans="1:8" x14ac:dyDescent="0.3">
      <c r="A229" t="str">
        <v>asdekor_r</v>
      </c>
      <c r="B229" t="str">
        <v>Lich</v>
      </c>
      <c r="C229" t="str" cm="1">
        <f t="array" ref="C229">_xlfn.XLOOKUP(1,([3]!players[name]=A229)*([3]!players[hero_name]=B229),[3]!players[lane_name])</f>
        <v>Hard Support</v>
      </c>
      <c r="D229">
        <f>COUNTIFS([3]!players[name],A229,[3]!players[hero_name],B229)</f>
        <v>3</v>
      </c>
      <c r="E229">
        <f>COUNTIFS([3]!players[name],A229,[3]!players[hero_name],B229, [3]!players[win], 1)</f>
        <v>2</v>
      </c>
      <c r="F229" s="1">
        <f t="shared" si="3"/>
        <v>0.66666666666666663</v>
      </c>
      <c r="G229" s="2">
        <f>AVERAGEIFS([3]!players[gold_per_min], [3]!players[name],A229,[3]!players[hero_name],B229)</f>
        <v>283.66666666666669</v>
      </c>
      <c r="H229" s="2">
        <f>AVERAGEIFS([3]!players[xp_per_min], [3]!players[name],A229,[3]!players[hero_name],B229)</f>
        <v>450</v>
      </c>
    </row>
    <row r="230" spans="1:8" x14ac:dyDescent="0.3">
      <c r="A230" t="str">
        <v>asdekor_r</v>
      </c>
      <c r="B230" t="str">
        <v>Shadow Demon</v>
      </c>
      <c r="C230" t="str" cm="1">
        <f t="array" ref="C230">_xlfn.XLOOKUP(1,([3]!players[name]=A230)*([3]!players[hero_name]=B230),[3]!players[lane_name])</f>
        <v>Hard Support</v>
      </c>
      <c r="D230">
        <f>COUNTIFS([3]!players[name],A230,[3]!players[hero_name],B230)</f>
        <v>1</v>
      </c>
      <c r="E230">
        <f>COUNTIFS([3]!players[name],A230,[3]!players[hero_name],B230, [3]!players[win], 1)</f>
        <v>1</v>
      </c>
      <c r="F230" s="1">
        <f t="shared" si="3"/>
        <v>1</v>
      </c>
      <c r="G230" s="2">
        <f>AVERAGEIFS([3]!players[gold_per_min], [3]!players[name],A230,[3]!players[hero_name],B230)</f>
        <v>377</v>
      </c>
      <c r="H230" s="2">
        <f>AVERAGEIFS([3]!players[xp_per_min], [3]!players[name],A230,[3]!players[hero_name],B230)</f>
        <v>619</v>
      </c>
    </row>
    <row r="231" spans="1:8" x14ac:dyDescent="0.3">
      <c r="A231" t="str">
        <v>asdekor_r</v>
      </c>
      <c r="B231" t="str">
        <v>Mirana</v>
      </c>
      <c r="C231" t="str" cm="1">
        <f t="array" ref="C231">_xlfn.XLOOKUP(1,([3]!players[name]=A231)*([3]!players[hero_name]=B231),[3]!players[lane_name])</f>
        <v>Hard Support</v>
      </c>
      <c r="D231">
        <f>COUNTIFS([3]!players[name],A231,[3]!players[hero_name],B231)</f>
        <v>2</v>
      </c>
      <c r="E231">
        <f>COUNTIFS([3]!players[name],A231,[3]!players[hero_name],B231, [3]!players[win], 1)</f>
        <v>1</v>
      </c>
      <c r="F231" s="1">
        <f t="shared" si="3"/>
        <v>0.5</v>
      </c>
      <c r="G231" s="2">
        <f>AVERAGEIFS([3]!players[gold_per_min], [3]!players[name],A231,[3]!players[hero_name],B231)</f>
        <v>329</v>
      </c>
      <c r="H231" s="2">
        <f>AVERAGEIFS([3]!players[xp_per_min], [3]!players[name],A231,[3]!players[hero_name],B231)</f>
        <v>521.5</v>
      </c>
    </row>
    <row r="232" spans="1:8" x14ac:dyDescent="0.3">
      <c r="A232" t="str">
        <v>asdekor_r</v>
      </c>
      <c r="B232" t="str">
        <v>Io</v>
      </c>
      <c r="C232" t="str" cm="1">
        <f t="array" ref="C232">_xlfn.XLOOKUP(1,([3]!players[name]=A232)*([3]!players[hero_name]=B232),[3]!players[lane_name])</f>
        <v>Hard Support</v>
      </c>
      <c r="D232">
        <f>COUNTIFS([3]!players[name],A232,[3]!players[hero_name],B232)</f>
        <v>5</v>
      </c>
      <c r="E232">
        <f>COUNTIFS([3]!players[name],A232,[3]!players[hero_name],B232, [3]!players[win], 1)</f>
        <v>4</v>
      </c>
      <c r="F232" s="1">
        <f t="shared" si="3"/>
        <v>0.8</v>
      </c>
      <c r="G232" s="2">
        <f>AVERAGEIFS([3]!players[gold_per_min], [3]!players[name],A232,[3]!players[hero_name],B232)</f>
        <v>319.60000000000002</v>
      </c>
      <c r="H232" s="2">
        <f>AVERAGEIFS([3]!players[xp_per_min], [3]!players[name],A232,[3]!players[hero_name],B232)</f>
        <v>549</v>
      </c>
    </row>
    <row r="233" spans="1:8" x14ac:dyDescent="0.3">
      <c r="A233" t="str">
        <v>asdekor_r</v>
      </c>
      <c r="B233" t="str">
        <v>Rubick</v>
      </c>
      <c r="C233" t="str" cm="1">
        <f t="array" ref="C233">_xlfn.XLOOKUP(1,([3]!players[name]=A233)*([3]!players[hero_name]=B233),[3]!players[lane_name])</f>
        <v>Hard Support</v>
      </c>
      <c r="D233">
        <f>COUNTIFS([3]!players[name],A233,[3]!players[hero_name],B233)</f>
        <v>3</v>
      </c>
      <c r="E233">
        <f>COUNTIFS([3]!players[name],A233,[3]!players[hero_name],B233, [3]!players[win], 1)</f>
        <v>2</v>
      </c>
      <c r="F233" s="1">
        <f t="shared" si="3"/>
        <v>0.66666666666666663</v>
      </c>
      <c r="G233" s="2">
        <f>AVERAGEIFS([3]!players[gold_per_min], [3]!players[name],A233,[3]!players[hero_name],B233)</f>
        <v>300.66666666666669</v>
      </c>
      <c r="H233" s="2">
        <f>AVERAGEIFS([3]!players[xp_per_min], [3]!players[name],A233,[3]!players[hero_name],B233)</f>
        <v>455</v>
      </c>
    </row>
    <row r="234" spans="1:8" x14ac:dyDescent="0.3">
      <c r="A234" t="str">
        <v>asdekor_r</v>
      </c>
      <c r="B234" t="str">
        <v>Treant Protector</v>
      </c>
      <c r="C234" t="str" cm="1">
        <f t="array" ref="C234">_xlfn.XLOOKUP(1,([3]!players[name]=A234)*([3]!players[hero_name]=B234),[3]!players[lane_name])</f>
        <v>Hard Support</v>
      </c>
      <c r="D234">
        <f>COUNTIFS([3]!players[name],A234,[3]!players[hero_name],B234)</f>
        <v>2</v>
      </c>
      <c r="E234">
        <f>COUNTIFS([3]!players[name],A234,[3]!players[hero_name],B234, [3]!players[win], 1)</f>
        <v>0</v>
      </c>
      <c r="F234" s="1">
        <f t="shared" si="3"/>
        <v>0</v>
      </c>
      <c r="G234" s="2">
        <f>AVERAGEIFS([3]!players[gold_per_min], [3]!players[name],A234,[3]!players[hero_name],B234)</f>
        <v>259</v>
      </c>
      <c r="H234" s="2">
        <f>AVERAGEIFS([3]!players[xp_per_min], [3]!players[name],A234,[3]!players[hero_name],B234)</f>
        <v>367.5</v>
      </c>
    </row>
    <row r="235" spans="1:8" x14ac:dyDescent="0.3">
      <c r="A235" t="str">
        <v>asdekor_r</v>
      </c>
      <c r="B235" t="str">
        <v>Silencer</v>
      </c>
      <c r="C235" t="str" cm="1">
        <f t="array" ref="C235">_xlfn.XLOOKUP(1,([3]!players[name]=A235)*([3]!players[hero_name]=B235),[3]!players[lane_name])</f>
        <v>Soft Support</v>
      </c>
      <c r="D235">
        <f>COUNTIFS([3]!players[name],A235,[3]!players[hero_name],B235)</f>
        <v>1</v>
      </c>
      <c r="E235">
        <f>COUNTIFS([3]!players[name],A235,[3]!players[hero_name],B235, [3]!players[win], 1)</f>
        <v>0</v>
      </c>
      <c r="F235" s="1">
        <f t="shared" si="3"/>
        <v>0</v>
      </c>
      <c r="G235" s="2">
        <f>AVERAGEIFS([3]!players[gold_per_min], [3]!players[name],A235,[3]!players[hero_name],B235)</f>
        <v>178</v>
      </c>
      <c r="H235" s="2">
        <f>AVERAGEIFS([3]!players[xp_per_min], [3]!players[name],A235,[3]!players[hero_name],B235)</f>
        <v>201</v>
      </c>
    </row>
    <row r="236" spans="1:8" x14ac:dyDescent="0.3">
      <c r="A236" t="str">
        <v>Bach</v>
      </c>
      <c r="B236" t="str">
        <v>Sand King</v>
      </c>
      <c r="C236" t="str" cm="1">
        <f t="array" ref="C236">_xlfn.XLOOKUP(1,([3]!players[name]=A236)*([3]!players[hero_name]=B236),[3]!players[lane_name])</f>
        <v>Off Lane</v>
      </c>
      <c r="D236">
        <f>COUNTIFS([3]!players[name],A236,[3]!players[hero_name],B236)</f>
        <v>3</v>
      </c>
      <c r="E236">
        <f>COUNTIFS([3]!players[name],A236,[3]!players[hero_name],B236, [3]!players[win], 1)</f>
        <v>2</v>
      </c>
      <c r="F236" s="1">
        <f t="shared" si="3"/>
        <v>0.66666666666666663</v>
      </c>
      <c r="G236" s="2">
        <f>AVERAGEIFS([3]!players[gold_per_min], [3]!players[name],A236,[3]!players[hero_name],B236)</f>
        <v>539</v>
      </c>
      <c r="H236" s="2">
        <f>AVERAGEIFS([3]!players[xp_per_min], [3]!players[name],A236,[3]!players[hero_name],B236)</f>
        <v>680</v>
      </c>
    </row>
    <row r="237" spans="1:8" x14ac:dyDescent="0.3">
      <c r="A237" t="str">
        <v>Bach</v>
      </c>
      <c r="B237" t="str">
        <v>Pangolier</v>
      </c>
      <c r="C237" t="str" cm="1">
        <f t="array" ref="C237">_xlfn.XLOOKUP(1,([3]!players[name]=A237)*([3]!players[hero_name]=B237),[3]!players[lane_name])</f>
        <v>Off Lane</v>
      </c>
      <c r="D237">
        <f>COUNTIFS([3]!players[name],A237,[3]!players[hero_name],B237)</f>
        <v>2</v>
      </c>
      <c r="E237">
        <f>COUNTIFS([3]!players[name],A237,[3]!players[hero_name],B237, [3]!players[win], 1)</f>
        <v>1</v>
      </c>
      <c r="F237" s="1">
        <f t="shared" si="3"/>
        <v>0.5</v>
      </c>
      <c r="G237" s="2">
        <f>AVERAGEIFS([3]!players[gold_per_min], [3]!players[name],A237,[3]!players[hero_name],B237)</f>
        <v>603.5</v>
      </c>
      <c r="H237" s="2">
        <f>AVERAGEIFS([3]!players[xp_per_min], [3]!players[name],A237,[3]!players[hero_name],B237)</f>
        <v>838</v>
      </c>
    </row>
    <row r="238" spans="1:8" x14ac:dyDescent="0.3">
      <c r="A238" t="str">
        <v>Bach</v>
      </c>
      <c r="B238" t="str">
        <v>Primal Beast</v>
      </c>
      <c r="C238" t="str" cm="1">
        <f t="array" ref="C238">_xlfn.XLOOKUP(1,([3]!players[name]=A238)*([3]!players[hero_name]=B238),[3]!players[lane_name])</f>
        <v>Off Lane</v>
      </c>
      <c r="D238">
        <f>COUNTIFS([3]!players[name],A238,[3]!players[hero_name],B238)</f>
        <v>1</v>
      </c>
      <c r="E238">
        <f>COUNTIFS([3]!players[name],A238,[3]!players[hero_name],B238, [3]!players[win], 1)</f>
        <v>1</v>
      </c>
      <c r="F238" s="1">
        <f t="shared" si="3"/>
        <v>1</v>
      </c>
      <c r="G238" s="2">
        <f>AVERAGEIFS([3]!players[gold_per_min], [3]!players[name],A238,[3]!players[hero_name],B238)</f>
        <v>541</v>
      </c>
      <c r="H238" s="2">
        <f>AVERAGEIFS([3]!players[xp_per_min], [3]!players[name],A238,[3]!players[hero_name],B238)</f>
        <v>619</v>
      </c>
    </row>
    <row r="239" spans="1:8" x14ac:dyDescent="0.3">
      <c r="A239" t="str">
        <v>Bach</v>
      </c>
      <c r="B239" t="str">
        <v>Tidehunter</v>
      </c>
      <c r="C239" t="str" cm="1">
        <f t="array" ref="C239">_xlfn.XLOOKUP(1,([3]!players[name]=A239)*([3]!players[hero_name]=B239),[3]!players[lane_name])</f>
        <v>Off Lane</v>
      </c>
      <c r="D239">
        <f>COUNTIFS([3]!players[name],A239,[3]!players[hero_name],B239)</f>
        <v>1</v>
      </c>
      <c r="E239">
        <f>COUNTIFS([3]!players[name],A239,[3]!players[hero_name],B239, [3]!players[win], 1)</f>
        <v>0</v>
      </c>
      <c r="F239" s="1">
        <f t="shared" si="3"/>
        <v>0</v>
      </c>
      <c r="G239" s="2">
        <f>AVERAGEIFS([3]!players[gold_per_min], [3]!players[name],A239,[3]!players[hero_name],B239)</f>
        <v>552</v>
      </c>
      <c r="H239" s="2">
        <f>AVERAGEIFS([3]!players[xp_per_min], [3]!players[name],A239,[3]!players[hero_name],B239)</f>
        <v>778</v>
      </c>
    </row>
    <row r="240" spans="1:8" x14ac:dyDescent="0.3">
      <c r="A240" t="str">
        <v>Bach</v>
      </c>
      <c r="B240" t="str">
        <v>Centaur Warrunner</v>
      </c>
      <c r="C240" t="str" cm="1">
        <f t="array" ref="C240">_xlfn.XLOOKUP(1,([3]!players[name]=A240)*([3]!players[hero_name]=B240),[3]!players[lane_name])</f>
        <v>Off Lane</v>
      </c>
      <c r="D240">
        <f>COUNTIFS([3]!players[name],A240,[3]!players[hero_name],B240)</f>
        <v>1</v>
      </c>
      <c r="E240">
        <f>COUNTIFS([3]!players[name],A240,[3]!players[hero_name],B240, [3]!players[win], 1)</f>
        <v>0</v>
      </c>
      <c r="F240" s="1">
        <f t="shared" si="3"/>
        <v>0</v>
      </c>
      <c r="G240" s="2">
        <f>AVERAGEIFS([3]!players[gold_per_min], [3]!players[name],A240,[3]!players[hero_name],B240)</f>
        <v>436</v>
      </c>
      <c r="H240" s="2">
        <f>AVERAGEIFS([3]!players[xp_per_min], [3]!players[name],A240,[3]!players[hero_name],B240)</f>
        <v>499</v>
      </c>
    </row>
    <row r="241" spans="1:8" x14ac:dyDescent="0.3">
      <c r="A241" t="str">
        <v>Bach</v>
      </c>
      <c r="B241" t="str">
        <v>Slardar</v>
      </c>
      <c r="C241" t="str" cm="1">
        <f t="array" ref="C241">_xlfn.XLOOKUP(1,([3]!players[name]=A241)*([3]!players[hero_name]=B241),[3]!players[lane_name])</f>
        <v>Off Lane</v>
      </c>
      <c r="D241">
        <f>COUNTIFS([3]!players[name],A241,[3]!players[hero_name],B241)</f>
        <v>4</v>
      </c>
      <c r="E241">
        <f>COUNTIFS([3]!players[name],A241,[3]!players[hero_name],B241, [3]!players[win], 1)</f>
        <v>4</v>
      </c>
      <c r="F241" s="1">
        <f t="shared" si="3"/>
        <v>1</v>
      </c>
      <c r="G241" s="2">
        <f>AVERAGEIFS([3]!players[gold_per_min], [3]!players[name],A241,[3]!players[hero_name],B241)</f>
        <v>547.75</v>
      </c>
      <c r="H241" s="2">
        <f>AVERAGEIFS([3]!players[xp_per_min], [3]!players[name],A241,[3]!players[hero_name],B241)</f>
        <v>756.75</v>
      </c>
    </row>
    <row r="242" spans="1:8" x14ac:dyDescent="0.3">
      <c r="A242" t="str">
        <v>Bach</v>
      </c>
      <c r="B242" t="str">
        <v>Batrider</v>
      </c>
      <c r="C242" t="str" cm="1">
        <f t="array" ref="C242">_xlfn.XLOOKUP(1,([3]!players[name]=A242)*([3]!players[hero_name]=B242),[3]!players[lane_name])</f>
        <v>Off Lane</v>
      </c>
      <c r="D242">
        <f>COUNTIFS([3]!players[name],A242,[3]!players[hero_name],B242)</f>
        <v>3</v>
      </c>
      <c r="E242">
        <f>COUNTIFS([3]!players[name],A242,[3]!players[hero_name],B242, [3]!players[win], 1)</f>
        <v>3</v>
      </c>
      <c r="F242" s="1">
        <f t="shared" si="3"/>
        <v>1</v>
      </c>
      <c r="G242" s="2">
        <f>AVERAGEIFS([3]!players[gold_per_min], [3]!players[name],A242,[3]!players[hero_name],B242)</f>
        <v>579.66666666666663</v>
      </c>
      <c r="H242" s="2">
        <f>AVERAGEIFS([3]!players[xp_per_min], [3]!players[name],A242,[3]!players[hero_name],B242)</f>
        <v>811.33333333333337</v>
      </c>
    </row>
    <row r="243" spans="1:8" x14ac:dyDescent="0.3">
      <c r="A243" t="str">
        <v>Bach</v>
      </c>
      <c r="B243" t="str">
        <v>Bristleback</v>
      </c>
      <c r="C243" t="str" cm="1">
        <f t="array" ref="C243">_xlfn.XLOOKUP(1,([3]!players[name]=A243)*([3]!players[hero_name]=B243),[3]!players[lane_name])</f>
        <v>Off Lane</v>
      </c>
      <c r="D243">
        <f>COUNTIFS([3]!players[name],A243,[3]!players[hero_name],B243)</f>
        <v>2</v>
      </c>
      <c r="E243">
        <f>COUNTIFS([3]!players[name],A243,[3]!players[hero_name],B243, [3]!players[win], 1)</f>
        <v>1</v>
      </c>
      <c r="F243" s="1">
        <f t="shared" si="3"/>
        <v>0.5</v>
      </c>
      <c r="G243" s="2">
        <f>AVERAGEIFS([3]!players[gold_per_min], [3]!players[name],A243,[3]!players[hero_name],B243)</f>
        <v>536.5</v>
      </c>
      <c r="H243" s="2">
        <f>AVERAGEIFS([3]!players[xp_per_min], [3]!players[name],A243,[3]!players[hero_name],B243)</f>
        <v>638</v>
      </c>
    </row>
    <row r="244" spans="1:8" x14ac:dyDescent="0.3">
      <c r="A244" t="str">
        <v>Bach</v>
      </c>
      <c r="B244" t="str">
        <v>Underlord</v>
      </c>
      <c r="C244" t="str" cm="1">
        <f t="array" ref="C244">_xlfn.XLOOKUP(1,([3]!players[name]=A244)*([3]!players[hero_name]=B244),[3]!players[lane_name])</f>
        <v>Off Lane</v>
      </c>
      <c r="D244">
        <f>COUNTIFS([3]!players[name],A244,[3]!players[hero_name],B244)</f>
        <v>1</v>
      </c>
      <c r="E244">
        <f>COUNTIFS([3]!players[name],A244,[3]!players[hero_name],B244, [3]!players[win], 1)</f>
        <v>0</v>
      </c>
      <c r="F244" s="1">
        <f t="shared" si="3"/>
        <v>0</v>
      </c>
      <c r="G244" s="2">
        <f>AVERAGEIFS([3]!players[gold_per_min], [3]!players[name],A244,[3]!players[hero_name],B244)</f>
        <v>495</v>
      </c>
      <c r="H244" s="2">
        <f>AVERAGEIFS([3]!players[xp_per_min], [3]!players[name],A244,[3]!players[hero_name],B244)</f>
        <v>632</v>
      </c>
    </row>
    <row r="245" spans="1:8" x14ac:dyDescent="0.3">
      <c r="A245" t="str">
        <v>Bach</v>
      </c>
      <c r="B245" t="str">
        <v>Doom</v>
      </c>
      <c r="C245" t="str" cm="1">
        <f t="array" ref="C245">_xlfn.XLOOKUP(1,([3]!players[name]=A245)*([3]!players[hero_name]=B245),[3]!players[lane_name])</f>
        <v>Off Lane</v>
      </c>
      <c r="D245">
        <f>COUNTIFS([3]!players[name],A245,[3]!players[hero_name],B245)</f>
        <v>1</v>
      </c>
      <c r="E245">
        <f>COUNTIFS([3]!players[name],A245,[3]!players[hero_name],B245, [3]!players[win], 1)</f>
        <v>0</v>
      </c>
      <c r="F245" s="1">
        <f t="shared" si="3"/>
        <v>0</v>
      </c>
      <c r="G245" s="2">
        <f>AVERAGEIFS([3]!players[gold_per_min], [3]!players[name],A245,[3]!players[hero_name],B245)</f>
        <v>541</v>
      </c>
      <c r="H245" s="2">
        <f>AVERAGEIFS([3]!players[xp_per_min], [3]!players[name],A245,[3]!players[hero_name],B245)</f>
        <v>515</v>
      </c>
    </row>
    <row r="246" spans="1:8" x14ac:dyDescent="0.3">
      <c r="A246" t="str">
        <v>Bach</v>
      </c>
      <c r="B246" t="str">
        <v>Beastmaster</v>
      </c>
      <c r="C246" t="str" cm="1">
        <f t="array" ref="C246">_xlfn.XLOOKUP(1,([3]!players[name]=A246)*([3]!players[hero_name]=B246),[3]!players[lane_name])</f>
        <v>Off Lane</v>
      </c>
      <c r="D246">
        <f>COUNTIFS([3]!players[name],A246,[3]!players[hero_name],B246)</f>
        <v>2</v>
      </c>
      <c r="E246">
        <f>COUNTIFS([3]!players[name],A246,[3]!players[hero_name],B246, [3]!players[win], 1)</f>
        <v>1</v>
      </c>
      <c r="F246" s="1">
        <f t="shared" si="3"/>
        <v>0.5</v>
      </c>
      <c r="G246" s="2">
        <f>AVERAGEIFS([3]!players[gold_per_min], [3]!players[name],A246,[3]!players[hero_name],B246)</f>
        <v>521.5</v>
      </c>
      <c r="H246" s="2">
        <f>AVERAGEIFS([3]!players[xp_per_min], [3]!players[name],A246,[3]!players[hero_name],B246)</f>
        <v>630</v>
      </c>
    </row>
    <row r="247" spans="1:8" x14ac:dyDescent="0.3">
      <c r="A247" t="str">
        <v>Bach</v>
      </c>
      <c r="B247" t="str">
        <v>Night Stalker</v>
      </c>
      <c r="C247" t="str" cm="1">
        <f t="array" ref="C247">_xlfn.XLOOKUP(1,([3]!players[name]=A247)*([3]!players[hero_name]=B247),[3]!players[lane_name])</f>
        <v>Soft Support</v>
      </c>
      <c r="D247">
        <f>COUNTIFS([3]!players[name],A247,[3]!players[hero_name],B247)</f>
        <v>1</v>
      </c>
      <c r="E247">
        <f>COUNTIFS([3]!players[name],A247,[3]!players[hero_name],B247, [3]!players[win], 1)</f>
        <v>1</v>
      </c>
      <c r="F247" s="1">
        <f t="shared" si="3"/>
        <v>1</v>
      </c>
      <c r="G247" s="2">
        <f>AVERAGEIFS([3]!players[gold_per_min], [3]!players[name],A247,[3]!players[hero_name],B247)</f>
        <v>478</v>
      </c>
      <c r="H247" s="2">
        <f>AVERAGEIFS([3]!players[xp_per_min], [3]!players[name],A247,[3]!players[hero_name],B247)</f>
        <v>691</v>
      </c>
    </row>
    <row r="248" spans="1:8" x14ac:dyDescent="0.3">
      <c r="A248" t="str">
        <v>Bach</v>
      </c>
      <c r="B248" t="str">
        <v>Alchemist</v>
      </c>
      <c r="C248" t="str" cm="1">
        <f t="array" ref="C248">_xlfn.XLOOKUP(1,([3]!players[name]=A248)*([3]!players[hero_name]=B248),[3]!players[lane_name])</f>
        <v>Off Lane</v>
      </c>
      <c r="D248">
        <f>COUNTIFS([3]!players[name],A248,[3]!players[hero_name],B248)</f>
        <v>1</v>
      </c>
      <c r="E248">
        <f>COUNTIFS([3]!players[name],A248,[3]!players[hero_name],B248, [3]!players[win], 1)</f>
        <v>0</v>
      </c>
      <c r="F248" s="1">
        <f t="shared" si="3"/>
        <v>0</v>
      </c>
      <c r="G248" s="2">
        <f>AVERAGEIFS([3]!players[gold_per_min], [3]!players[name],A248,[3]!players[hero_name],B248)</f>
        <v>529</v>
      </c>
      <c r="H248" s="2">
        <f>AVERAGEIFS([3]!players[xp_per_min], [3]!players[name],A248,[3]!players[hero_name],B248)</f>
        <v>476</v>
      </c>
    </row>
    <row r="249" spans="1:8" x14ac:dyDescent="0.3">
      <c r="A249" t="str">
        <v>BEEBIE</v>
      </c>
      <c r="B249" t="str">
        <v>Ember Spirit</v>
      </c>
      <c r="C249" t="str" cm="1">
        <f t="array" ref="C249">_xlfn.XLOOKUP(1,([3]!players[name]=A249)*([3]!players[hero_name]=B249),[3]!players[lane_name])</f>
        <v>Mid</v>
      </c>
      <c r="D249">
        <f>COUNTIFS([3]!players[name],A249,[3]!players[hero_name],B249)</f>
        <v>4</v>
      </c>
      <c r="E249">
        <f>COUNTIFS([3]!players[name],A249,[3]!players[hero_name],B249, [3]!players[win], 1)</f>
        <v>2</v>
      </c>
      <c r="F249" s="1">
        <f t="shared" si="3"/>
        <v>0.5</v>
      </c>
      <c r="G249" s="2">
        <f>AVERAGEIFS([3]!players[gold_per_min], [3]!players[name],A249,[3]!players[hero_name],B249)</f>
        <v>560.5</v>
      </c>
      <c r="H249" s="2">
        <f>AVERAGEIFS([3]!players[xp_per_min], [3]!players[name],A249,[3]!players[hero_name],B249)</f>
        <v>751.75</v>
      </c>
    </row>
    <row r="250" spans="1:8" x14ac:dyDescent="0.3">
      <c r="A250" t="str">
        <v>BEEBIE</v>
      </c>
      <c r="B250" t="str">
        <v>Queen of Pain</v>
      </c>
      <c r="C250" t="str" cm="1">
        <f t="array" ref="C250">_xlfn.XLOOKUP(1,([3]!players[name]=A250)*([3]!players[hero_name]=B250),[3]!players[lane_name])</f>
        <v>Mid</v>
      </c>
      <c r="D250">
        <f>COUNTIFS([3]!players[name],A250,[3]!players[hero_name],B250)</f>
        <v>2</v>
      </c>
      <c r="E250">
        <f>COUNTIFS([3]!players[name],A250,[3]!players[hero_name],B250, [3]!players[win], 1)</f>
        <v>0</v>
      </c>
      <c r="F250" s="1">
        <f t="shared" si="3"/>
        <v>0</v>
      </c>
      <c r="G250" s="2">
        <f>AVERAGEIFS([3]!players[gold_per_min], [3]!players[name],A250,[3]!players[hero_name],B250)</f>
        <v>493.5</v>
      </c>
      <c r="H250" s="2">
        <f>AVERAGEIFS([3]!players[xp_per_min], [3]!players[name],A250,[3]!players[hero_name],B250)</f>
        <v>549</v>
      </c>
    </row>
    <row r="251" spans="1:8" x14ac:dyDescent="0.3">
      <c r="A251" t="str">
        <v>BEEBIE</v>
      </c>
      <c r="B251" t="str">
        <v>Huskar</v>
      </c>
      <c r="C251" t="str" cm="1">
        <f t="array" ref="C251">_xlfn.XLOOKUP(1,([3]!players[name]=A251)*([3]!players[hero_name]=B251),[3]!players[lane_name])</f>
        <v>Mid</v>
      </c>
      <c r="D251">
        <f>COUNTIFS([3]!players[name],A251,[3]!players[hero_name],B251)</f>
        <v>1</v>
      </c>
      <c r="E251">
        <f>COUNTIFS([3]!players[name],A251,[3]!players[hero_name],B251, [3]!players[win], 1)</f>
        <v>0</v>
      </c>
      <c r="F251" s="1">
        <f t="shared" si="3"/>
        <v>0</v>
      </c>
      <c r="G251" s="2">
        <f>AVERAGEIFS([3]!players[gold_per_min], [3]!players[name],A251,[3]!players[hero_name],B251)</f>
        <v>516</v>
      </c>
      <c r="H251" s="2">
        <f>AVERAGEIFS([3]!players[xp_per_min], [3]!players[name],A251,[3]!players[hero_name],B251)</f>
        <v>651</v>
      </c>
    </row>
    <row r="252" spans="1:8" x14ac:dyDescent="0.3">
      <c r="A252" t="str">
        <v>BEEBIE</v>
      </c>
      <c r="B252" t="str">
        <v>Void Spirit</v>
      </c>
      <c r="C252" t="str" cm="1">
        <f t="array" ref="C252">_xlfn.XLOOKUP(1,([3]!players[name]=A252)*([3]!players[hero_name]=B252),[3]!players[lane_name])</f>
        <v>Mid</v>
      </c>
      <c r="D252">
        <f>COUNTIFS([3]!players[name],A252,[3]!players[hero_name],B252)</f>
        <v>4</v>
      </c>
      <c r="E252">
        <f>COUNTIFS([3]!players[name],A252,[3]!players[hero_name],B252, [3]!players[win], 1)</f>
        <v>1</v>
      </c>
      <c r="F252" s="1">
        <f t="shared" si="3"/>
        <v>0.25</v>
      </c>
      <c r="G252" s="2">
        <f>AVERAGEIFS([3]!players[gold_per_min], [3]!players[name],A252,[3]!players[hero_name],B252)</f>
        <v>491.75</v>
      </c>
      <c r="H252" s="2">
        <f>AVERAGEIFS([3]!players[xp_per_min], [3]!players[name],A252,[3]!players[hero_name],B252)</f>
        <v>667.75</v>
      </c>
    </row>
    <row r="253" spans="1:8" x14ac:dyDescent="0.3">
      <c r="A253" t="str">
        <v>BEEBIE</v>
      </c>
      <c r="B253" t="str">
        <v>Viper</v>
      </c>
      <c r="C253" t="str" cm="1">
        <f t="array" ref="C253">_xlfn.XLOOKUP(1,([3]!players[name]=A253)*([3]!players[hero_name]=B253),[3]!players[lane_name])</f>
        <v>Mid</v>
      </c>
      <c r="D253">
        <f>COUNTIFS([3]!players[name],A253,[3]!players[hero_name],B253)</f>
        <v>3</v>
      </c>
      <c r="E253">
        <f>COUNTIFS([3]!players[name],A253,[3]!players[hero_name],B253, [3]!players[win], 1)</f>
        <v>2</v>
      </c>
      <c r="F253" s="1">
        <f t="shared" si="3"/>
        <v>0.66666666666666663</v>
      </c>
      <c r="G253" s="2">
        <f>AVERAGEIFS([3]!players[gold_per_min], [3]!players[name],A253,[3]!players[hero_name],B253)</f>
        <v>534</v>
      </c>
      <c r="H253" s="2">
        <f>AVERAGEIFS([3]!players[xp_per_min], [3]!players[name],A253,[3]!players[hero_name],B253)</f>
        <v>675.66666666666663</v>
      </c>
    </row>
    <row r="254" spans="1:8" x14ac:dyDescent="0.3">
      <c r="A254" t="str">
        <v>BEEBIE</v>
      </c>
      <c r="B254" t="str">
        <v>Pangolier</v>
      </c>
      <c r="C254" t="str" cm="1">
        <f t="array" ref="C254">_xlfn.XLOOKUP(1,([3]!players[name]=A254)*([3]!players[hero_name]=B254),[3]!players[lane_name])</f>
        <v>Mid</v>
      </c>
      <c r="D254">
        <f>COUNTIFS([3]!players[name],A254,[3]!players[hero_name],B254)</f>
        <v>1</v>
      </c>
      <c r="E254">
        <f>COUNTIFS([3]!players[name],A254,[3]!players[hero_name],B254, [3]!players[win], 1)</f>
        <v>0</v>
      </c>
      <c r="F254" s="1">
        <f t="shared" si="3"/>
        <v>0</v>
      </c>
      <c r="G254" s="2">
        <f>AVERAGEIFS([3]!players[gold_per_min], [3]!players[name],A254,[3]!players[hero_name],B254)</f>
        <v>410</v>
      </c>
      <c r="H254" s="2">
        <f>AVERAGEIFS([3]!players[xp_per_min], [3]!players[name],A254,[3]!players[hero_name],B254)</f>
        <v>432</v>
      </c>
    </row>
    <row r="255" spans="1:8" x14ac:dyDescent="0.3">
      <c r="A255" t="str">
        <v>BEEBIE</v>
      </c>
      <c r="B255" t="str">
        <v>Sniper</v>
      </c>
      <c r="C255" t="str" cm="1">
        <f t="array" ref="C255">_xlfn.XLOOKUP(1,([3]!players[name]=A255)*([3]!players[hero_name]=B255),[3]!players[lane_name])</f>
        <v>Mid</v>
      </c>
      <c r="D255">
        <f>COUNTIFS([3]!players[name],A255,[3]!players[hero_name],B255)</f>
        <v>1</v>
      </c>
      <c r="E255">
        <f>COUNTIFS([3]!players[name],A255,[3]!players[hero_name],B255, [3]!players[win], 1)</f>
        <v>1</v>
      </c>
      <c r="F255" s="1">
        <f t="shared" si="3"/>
        <v>1</v>
      </c>
      <c r="G255" s="2">
        <f>AVERAGEIFS([3]!players[gold_per_min], [3]!players[name],A255,[3]!players[hero_name],B255)</f>
        <v>696</v>
      </c>
      <c r="H255" s="2">
        <f>AVERAGEIFS([3]!players[xp_per_min], [3]!players[name],A255,[3]!players[hero_name],B255)</f>
        <v>1009</v>
      </c>
    </row>
    <row r="256" spans="1:8" x14ac:dyDescent="0.3">
      <c r="A256" t="str">
        <v>Beyond</v>
      </c>
      <c r="B256" t="str">
        <v>Death Prophet</v>
      </c>
      <c r="C256" t="str" cm="1">
        <f t="array" ref="C256">_xlfn.XLOOKUP(1,([3]!players[name]=A256)*([3]!players[hero_name]=B256),[3]!players[lane_name])</f>
        <v>Off Lane</v>
      </c>
      <c r="D256">
        <f>COUNTIFS([3]!players[name],A256,[3]!players[hero_name],B256)</f>
        <v>1</v>
      </c>
      <c r="E256">
        <f>COUNTIFS([3]!players[name],A256,[3]!players[hero_name],B256, [3]!players[win], 1)</f>
        <v>1</v>
      </c>
      <c r="F256" s="1">
        <f t="shared" si="3"/>
        <v>1</v>
      </c>
      <c r="G256" s="2">
        <f>AVERAGEIFS([3]!players[gold_per_min], [3]!players[name],A256,[3]!players[hero_name],B256)</f>
        <v>626</v>
      </c>
      <c r="H256" s="2">
        <f>AVERAGEIFS([3]!players[xp_per_min], [3]!players[name],A256,[3]!players[hero_name],B256)</f>
        <v>850</v>
      </c>
    </row>
    <row r="257" spans="1:8" x14ac:dyDescent="0.3">
      <c r="A257" t="str">
        <v>Beyond</v>
      </c>
      <c r="B257" t="str">
        <v>Doom</v>
      </c>
      <c r="C257" t="str" cm="1">
        <f t="array" ref="C257">_xlfn.XLOOKUP(1,([3]!players[name]=A257)*([3]!players[hero_name]=B257),[3]!players[lane_name])</f>
        <v>Off Lane</v>
      </c>
      <c r="D257">
        <f>COUNTIFS([3]!players[name],A257,[3]!players[hero_name],B257)</f>
        <v>2</v>
      </c>
      <c r="E257">
        <f>COUNTIFS([3]!players[name],A257,[3]!players[hero_name],B257, [3]!players[win], 1)</f>
        <v>1</v>
      </c>
      <c r="F257" s="1">
        <f t="shared" si="3"/>
        <v>0.5</v>
      </c>
      <c r="G257" s="2">
        <f>AVERAGEIFS([3]!players[gold_per_min], [3]!players[name],A257,[3]!players[hero_name],B257)</f>
        <v>614</v>
      </c>
      <c r="H257" s="2">
        <f>AVERAGEIFS([3]!players[xp_per_min], [3]!players[name],A257,[3]!players[hero_name],B257)</f>
        <v>664</v>
      </c>
    </row>
    <row r="258" spans="1:8" x14ac:dyDescent="0.3">
      <c r="A258" t="str">
        <v>Beyond</v>
      </c>
      <c r="B258" t="str">
        <v>Dawnbreaker</v>
      </c>
      <c r="C258" t="str" cm="1">
        <f t="array" ref="C258">_xlfn.XLOOKUP(1,([3]!players[name]=A258)*([3]!players[hero_name]=B258),[3]!players[lane_name])</f>
        <v>Off Lane</v>
      </c>
      <c r="D258">
        <f>COUNTIFS([3]!players[name],A258,[3]!players[hero_name],B258)</f>
        <v>4</v>
      </c>
      <c r="E258">
        <f>COUNTIFS([3]!players[name],A258,[3]!players[hero_name],B258, [3]!players[win], 1)</f>
        <v>2</v>
      </c>
      <c r="F258" s="1">
        <f t="shared" si="3"/>
        <v>0.5</v>
      </c>
      <c r="G258" s="2">
        <f>AVERAGEIFS([3]!players[gold_per_min], [3]!players[name],A258,[3]!players[hero_name],B258)</f>
        <v>530.5</v>
      </c>
      <c r="H258" s="2">
        <f>AVERAGEIFS([3]!players[xp_per_min], [3]!players[name],A258,[3]!players[hero_name],B258)</f>
        <v>709</v>
      </c>
    </row>
    <row r="259" spans="1:8" x14ac:dyDescent="0.3">
      <c r="A259" t="str">
        <v>Beyond</v>
      </c>
      <c r="B259" t="str">
        <v>Bristleback</v>
      </c>
      <c r="C259" t="str" cm="1">
        <f t="array" ref="C259">_xlfn.XLOOKUP(1,([3]!players[name]=A259)*([3]!players[hero_name]=B259),[3]!players[lane_name])</f>
        <v>Off Lane</v>
      </c>
      <c r="D259">
        <f>COUNTIFS([3]!players[name],A259,[3]!players[hero_name],B259)</f>
        <v>1</v>
      </c>
      <c r="E259">
        <f>COUNTIFS([3]!players[name],A259,[3]!players[hero_name],B259, [3]!players[win], 1)</f>
        <v>1</v>
      </c>
      <c r="F259" s="1">
        <f t="shared" ref="F259:F322" si="4">E259/D259</f>
        <v>1</v>
      </c>
      <c r="G259" s="2">
        <f>AVERAGEIFS([3]!players[gold_per_min], [3]!players[name],A259,[3]!players[hero_name],B259)</f>
        <v>623</v>
      </c>
      <c r="H259" s="2">
        <f>AVERAGEIFS([3]!players[xp_per_min], [3]!players[name],A259,[3]!players[hero_name],B259)</f>
        <v>810</v>
      </c>
    </row>
    <row r="260" spans="1:8" x14ac:dyDescent="0.3">
      <c r="A260" t="str">
        <v>Beyond</v>
      </c>
      <c r="B260" t="str">
        <v>Centaur Warrunner</v>
      </c>
      <c r="C260" t="str" cm="1">
        <f t="array" ref="C260">_xlfn.XLOOKUP(1,([3]!players[name]=A260)*([3]!players[hero_name]=B260),[3]!players[lane_name])</f>
        <v>Off Lane</v>
      </c>
      <c r="D260">
        <f>COUNTIFS([3]!players[name],A260,[3]!players[hero_name],B260)</f>
        <v>1</v>
      </c>
      <c r="E260">
        <f>COUNTIFS([3]!players[name],A260,[3]!players[hero_name],B260, [3]!players[win], 1)</f>
        <v>0</v>
      </c>
      <c r="F260" s="1">
        <f t="shared" si="4"/>
        <v>0</v>
      </c>
      <c r="G260" s="2">
        <f>AVERAGEIFS([3]!players[gold_per_min], [3]!players[name],A260,[3]!players[hero_name],B260)</f>
        <v>427</v>
      </c>
      <c r="H260" s="2">
        <f>AVERAGEIFS([3]!players[xp_per_min], [3]!players[name],A260,[3]!players[hero_name],B260)</f>
        <v>449</v>
      </c>
    </row>
    <row r="261" spans="1:8" x14ac:dyDescent="0.3">
      <c r="A261" t="str">
        <v>Beyond</v>
      </c>
      <c r="B261" t="str">
        <v>Pangolier</v>
      </c>
      <c r="C261" t="str" cm="1">
        <f t="array" ref="C261">_xlfn.XLOOKUP(1,([3]!players[name]=A261)*([3]!players[hero_name]=B261),[3]!players[lane_name])</f>
        <v>Off Lane</v>
      </c>
      <c r="D261">
        <f>COUNTIFS([3]!players[name],A261,[3]!players[hero_name],B261)</f>
        <v>2</v>
      </c>
      <c r="E261">
        <f>COUNTIFS([3]!players[name],A261,[3]!players[hero_name],B261, [3]!players[win], 1)</f>
        <v>1</v>
      </c>
      <c r="F261" s="1">
        <f t="shared" si="4"/>
        <v>0.5</v>
      </c>
      <c r="G261" s="2">
        <f>AVERAGEIFS([3]!players[gold_per_min], [3]!players[name],A261,[3]!players[hero_name],B261)</f>
        <v>578</v>
      </c>
      <c r="H261" s="2">
        <f>AVERAGEIFS([3]!players[xp_per_min], [3]!players[name],A261,[3]!players[hero_name],B261)</f>
        <v>727</v>
      </c>
    </row>
    <row r="262" spans="1:8" x14ac:dyDescent="0.3">
      <c r="A262" t="str">
        <v>Beyond</v>
      </c>
      <c r="B262" t="str">
        <v>Viper</v>
      </c>
      <c r="C262" t="str" cm="1">
        <f t="array" ref="C262">_xlfn.XLOOKUP(1,([3]!players[name]=A262)*([3]!players[hero_name]=B262),[3]!players[lane_name])</f>
        <v>Off Lane</v>
      </c>
      <c r="D262">
        <f>COUNTIFS([3]!players[name],A262,[3]!players[hero_name],B262)</f>
        <v>1</v>
      </c>
      <c r="E262">
        <f>COUNTIFS([3]!players[name],A262,[3]!players[hero_name],B262, [3]!players[win], 1)</f>
        <v>0</v>
      </c>
      <c r="F262" s="1">
        <f t="shared" si="4"/>
        <v>0</v>
      </c>
      <c r="G262" s="2">
        <f>AVERAGEIFS([3]!players[gold_per_min], [3]!players[name],A262,[3]!players[hero_name],B262)</f>
        <v>496</v>
      </c>
      <c r="H262" s="2">
        <f>AVERAGEIFS([3]!players[xp_per_min], [3]!players[name],A262,[3]!players[hero_name],B262)</f>
        <v>597</v>
      </c>
    </row>
    <row r="263" spans="1:8" x14ac:dyDescent="0.3">
      <c r="A263" t="str">
        <v>Beyond</v>
      </c>
      <c r="B263" t="str">
        <v>Tidehunter</v>
      </c>
      <c r="C263" t="str" cm="1">
        <f t="array" ref="C263">_xlfn.XLOOKUP(1,([3]!players[name]=A263)*([3]!players[hero_name]=B263),[3]!players[lane_name])</f>
        <v>Off Lane</v>
      </c>
      <c r="D263">
        <f>COUNTIFS([3]!players[name],A263,[3]!players[hero_name],B263)</f>
        <v>3</v>
      </c>
      <c r="E263">
        <f>COUNTIFS([3]!players[name],A263,[3]!players[hero_name],B263, [3]!players[win], 1)</f>
        <v>1</v>
      </c>
      <c r="F263" s="1">
        <f t="shared" si="4"/>
        <v>0.33333333333333331</v>
      </c>
      <c r="G263" s="2">
        <f>AVERAGEIFS([3]!players[gold_per_min], [3]!players[name],A263,[3]!players[hero_name],B263)</f>
        <v>497.33333333333331</v>
      </c>
      <c r="H263" s="2">
        <f>AVERAGEIFS([3]!players[xp_per_min], [3]!players[name],A263,[3]!players[hero_name],B263)</f>
        <v>563</v>
      </c>
    </row>
    <row r="264" spans="1:8" x14ac:dyDescent="0.3">
      <c r="A264" t="str">
        <v>Beyond</v>
      </c>
      <c r="B264" t="str">
        <v>Batrider</v>
      </c>
      <c r="C264" t="str" cm="1">
        <f t="array" ref="C264">_xlfn.XLOOKUP(1,([3]!players[name]=A264)*([3]!players[hero_name]=B264),[3]!players[lane_name])</f>
        <v>Off Lane</v>
      </c>
      <c r="D264">
        <f>COUNTIFS([3]!players[name],A264,[3]!players[hero_name],B264)</f>
        <v>1</v>
      </c>
      <c r="E264">
        <f>COUNTIFS([3]!players[name],A264,[3]!players[hero_name],B264, [3]!players[win], 1)</f>
        <v>1</v>
      </c>
      <c r="F264" s="1">
        <f t="shared" si="4"/>
        <v>1</v>
      </c>
      <c r="G264" s="2">
        <f>AVERAGEIFS([3]!players[gold_per_min], [3]!players[name],A264,[3]!players[hero_name],B264)</f>
        <v>562</v>
      </c>
      <c r="H264" s="2">
        <f>AVERAGEIFS([3]!players[xp_per_min], [3]!players[name],A264,[3]!players[hero_name],B264)</f>
        <v>709</v>
      </c>
    </row>
    <row r="265" spans="1:8" x14ac:dyDescent="0.3">
      <c r="A265" t="str">
        <v>Beyond</v>
      </c>
      <c r="B265" t="str">
        <v>Underlord</v>
      </c>
      <c r="C265" t="str" cm="1">
        <f t="array" ref="C265">_xlfn.XLOOKUP(1,([3]!players[name]=A265)*([3]!players[hero_name]=B265),[3]!players[lane_name])</f>
        <v>Off Lane</v>
      </c>
      <c r="D265">
        <f>COUNTIFS([3]!players[name],A265,[3]!players[hero_name],B265)</f>
        <v>1</v>
      </c>
      <c r="E265">
        <f>COUNTIFS([3]!players[name],A265,[3]!players[hero_name],B265, [3]!players[win], 1)</f>
        <v>1</v>
      </c>
      <c r="F265" s="1">
        <f t="shared" si="4"/>
        <v>1</v>
      </c>
      <c r="G265" s="2">
        <f>AVERAGEIFS([3]!players[gold_per_min], [3]!players[name],A265,[3]!players[hero_name],B265)</f>
        <v>563</v>
      </c>
      <c r="H265" s="2">
        <f>AVERAGEIFS([3]!players[xp_per_min], [3]!players[name],A265,[3]!players[hero_name],B265)</f>
        <v>827</v>
      </c>
    </row>
    <row r="266" spans="1:8" x14ac:dyDescent="0.3">
      <c r="A266" t="str">
        <v>Beyond</v>
      </c>
      <c r="B266" t="str">
        <v>Slardar</v>
      </c>
      <c r="C266" t="str" cm="1">
        <f t="array" ref="C266">_xlfn.XLOOKUP(1,([3]!players[name]=A266)*([3]!players[hero_name]=B266),[3]!players[lane_name])</f>
        <v>Off Lane</v>
      </c>
      <c r="D266">
        <f>COUNTIFS([3]!players[name],A266,[3]!players[hero_name],B266)</f>
        <v>1</v>
      </c>
      <c r="E266">
        <f>COUNTIFS([3]!players[name],A266,[3]!players[hero_name],B266, [3]!players[win], 1)</f>
        <v>1</v>
      </c>
      <c r="F266" s="1">
        <f t="shared" si="4"/>
        <v>1</v>
      </c>
      <c r="G266" s="2">
        <f>AVERAGEIFS([3]!players[gold_per_min], [3]!players[name],A266,[3]!players[hero_name],B266)</f>
        <v>574</v>
      </c>
      <c r="H266" s="2">
        <f>AVERAGEIFS([3]!players[xp_per_min], [3]!players[name],A266,[3]!players[hero_name],B266)</f>
        <v>862</v>
      </c>
    </row>
    <row r="267" spans="1:8" x14ac:dyDescent="0.3">
      <c r="A267" t="str">
        <v>Bignum</v>
      </c>
      <c r="B267" t="str">
        <v>Disruptor</v>
      </c>
      <c r="C267" t="str" cm="1">
        <f t="array" ref="C267">_xlfn.XLOOKUP(1,([3]!players[name]=A267)*([3]!players[hero_name]=B267),[3]!players[lane_name])</f>
        <v>Roam</v>
      </c>
      <c r="D267">
        <f>COUNTIFS([3]!players[name],A267,[3]!players[hero_name],B267)</f>
        <v>3</v>
      </c>
      <c r="E267">
        <f>COUNTIFS([3]!players[name],A267,[3]!players[hero_name],B267, [3]!players[win], 1)</f>
        <v>1</v>
      </c>
      <c r="F267" s="1">
        <f t="shared" si="4"/>
        <v>0.33333333333333331</v>
      </c>
      <c r="G267" s="2">
        <f>AVERAGEIFS([3]!players[gold_per_min], [3]!players[name],A267,[3]!players[hero_name],B267)</f>
        <v>325.33333333333331</v>
      </c>
      <c r="H267" s="2">
        <f>AVERAGEIFS([3]!players[xp_per_min], [3]!players[name],A267,[3]!players[hero_name],B267)</f>
        <v>463</v>
      </c>
    </row>
    <row r="268" spans="1:8" x14ac:dyDescent="0.3">
      <c r="A268" t="str">
        <v>Bignum</v>
      </c>
      <c r="B268" t="str">
        <v>Tusk</v>
      </c>
      <c r="C268" t="str" cm="1">
        <f t="array" ref="C268">_xlfn.XLOOKUP(1,([3]!players[name]=A268)*([3]!players[hero_name]=B268),[3]!players[lane_name])</f>
        <v>Hard Support</v>
      </c>
      <c r="D268">
        <f>COUNTIFS([3]!players[name],A268,[3]!players[hero_name],B268)</f>
        <v>6</v>
      </c>
      <c r="E268">
        <f>COUNTIFS([3]!players[name],A268,[3]!players[hero_name],B268, [3]!players[win], 1)</f>
        <v>5</v>
      </c>
      <c r="F268" s="1">
        <f t="shared" si="4"/>
        <v>0.83333333333333337</v>
      </c>
      <c r="G268" s="2">
        <f>AVERAGEIFS([3]!players[gold_per_min], [3]!players[name],A268,[3]!players[hero_name],B268)</f>
        <v>315.33333333333331</v>
      </c>
      <c r="H268" s="2">
        <f>AVERAGEIFS([3]!players[xp_per_min], [3]!players[name],A268,[3]!players[hero_name],B268)</f>
        <v>510.83333333333331</v>
      </c>
    </row>
    <row r="269" spans="1:8" x14ac:dyDescent="0.3">
      <c r="A269" t="str">
        <v>Bignum</v>
      </c>
      <c r="B269" t="str">
        <v>Hoodwink</v>
      </c>
      <c r="C269" t="str" cm="1">
        <f t="array" ref="C269">_xlfn.XLOOKUP(1,([3]!players[name]=A269)*([3]!players[hero_name]=B269),[3]!players[lane_name])</f>
        <v>Soft Support</v>
      </c>
      <c r="D269">
        <f>COUNTIFS([3]!players[name],A269,[3]!players[hero_name],B269)</f>
        <v>6</v>
      </c>
      <c r="E269">
        <f>COUNTIFS([3]!players[name],A269,[3]!players[hero_name],B269, [3]!players[win], 1)</f>
        <v>3</v>
      </c>
      <c r="F269" s="1">
        <f t="shared" si="4"/>
        <v>0.5</v>
      </c>
      <c r="G269" s="2">
        <f>AVERAGEIFS([3]!players[gold_per_min], [3]!players[name],A269,[3]!players[hero_name],B269)</f>
        <v>342.16666666666669</v>
      </c>
      <c r="H269" s="2">
        <f>AVERAGEIFS([3]!players[xp_per_min], [3]!players[name],A269,[3]!players[hero_name],B269)</f>
        <v>496.33333333333331</v>
      </c>
    </row>
    <row r="270" spans="1:8" x14ac:dyDescent="0.3">
      <c r="A270" t="str">
        <v>Bignum</v>
      </c>
      <c r="B270" t="str">
        <v>Shadow Demon</v>
      </c>
      <c r="C270" t="str" cm="1">
        <f t="array" ref="C270">_xlfn.XLOOKUP(1,([3]!players[name]=A270)*([3]!players[hero_name]=B270),[3]!players[lane_name])</f>
        <v>Soft Support</v>
      </c>
      <c r="D270">
        <f>COUNTIFS([3]!players[name],A270,[3]!players[hero_name],B270)</f>
        <v>3</v>
      </c>
      <c r="E270">
        <f>COUNTIFS([3]!players[name],A270,[3]!players[hero_name],B270, [3]!players[win], 1)</f>
        <v>2</v>
      </c>
      <c r="F270" s="1">
        <f t="shared" si="4"/>
        <v>0.66666666666666663</v>
      </c>
      <c r="G270" s="2">
        <f>AVERAGEIFS([3]!players[gold_per_min], [3]!players[name],A270,[3]!players[hero_name],B270)</f>
        <v>344.66666666666669</v>
      </c>
      <c r="H270" s="2">
        <f>AVERAGEIFS([3]!players[xp_per_min], [3]!players[name],A270,[3]!players[hero_name],B270)</f>
        <v>511</v>
      </c>
    </row>
    <row r="271" spans="1:8" x14ac:dyDescent="0.3">
      <c r="A271" t="str">
        <v>Bignum</v>
      </c>
      <c r="B271" t="str">
        <v>Bane</v>
      </c>
      <c r="C271" t="str" cm="1">
        <f t="array" ref="C271">_xlfn.XLOOKUP(1,([3]!players[name]=A271)*([3]!players[hero_name]=B271),[3]!players[lane_name])</f>
        <v>Hard Support</v>
      </c>
      <c r="D271">
        <f>COUNTIFS([3]!players[name],A271,[3]!players[hero_name],B271)</f>
        <v>2</v>
      </c>
      <c r="E271">
        <f>COUNTIFS([3]!players[name],A271,[3]!players[hero_name],B271, [3]!players[win], 1)</f>
        <v>1</v>
      </c>
      <c r="F271" s="1">
        <f t="shared" si="4"/>
        <v>0.5</v>
      </c>
      <c r="G271" s="2">
        <f>AVERAGEIFS([3]!players[gold_per_min], [3]!players[name],A271,[3]!players[hero_name],B271)</f>
        <v>250</v>
      </c>
      <c r="H271" s="2">
        <f>AVERAGEIFS([3]!players[xp_per_min], [3]!players[name],A271,[3]!players[hero_name],B271)</f>
        <v>335.5</v>
      </c>
    </row>
    <row r="272" spans="1:8" x14ac:dyDescent="0.3">
      <c r="A272" t="str">
        <v>Bignum</v>
      </c>
      <c r="B272" t="str">
        <v>Rubick</v>
      </c>
      <c r="C272" t="str" cm="1">
        <f t="array" ref="C272">_xlfn.XLOOKUP(1,([3]!players[name]=A272)*([3]!players[hero_name]=B272),[3]!players[lane_name])</f>
        <v>Roam</v>
      </c>
      <c r="D272">
        <f>COUNTIFS([3]!players[name],A272,[3]!players[hero_name],B272)</f>
        <v>10</v>
      </c>
      <c r="E272">
        <f>COUNTIFS([3]!players[name],A272,[3]!players[hero_name],B272, [3]!players[win], 1)</f>
        <v>7</v>
      </c>
      <c r="F272" s="1">
        <f t="shared" si="4"/>
        <v>0.7</v>
      </c>
      <c r="G272" s="2">
        <f>AVERAGEIFS([3]!players[gold_per_min], [3]!players[name],A272,[3]!players[hero_name],B272)</f>
        <v>351.2</v>
      </c>
      <c r="H272" s="2">
        <f>AVERAGEIFS([3]!players[xp_per_min], [3]!players[name],A272,[3]!players[hero_name],B272)</f>
        <v>501.8</v>
      </c>
    </row>
    <row r="273" spans="1:8" x14ac:dyDescent="0.3">
      <c r="A273" t="str">
        <v>Bignum</v>
      </c>
      <c r="B273" t="str">
        <v>Treant Protector</v>
      </c>
      <c r="C273" t="str" cm="1">
        <f t="array" ref="C273">_xlfn.XLOOKUP(1,([3]!players[name]=A273)*([3]!players[hero_name]=B273),[3]!players[lane_name])</f>
        <v>Soft Support</v>
      </c>
      <c r="D273">
        <f>COUNTIFS([3]!players[name],A273,[3]!players[hero_name],B273)</f>
        <v>2</v>
      </c>
      <c r="E273">
        <f>COUNTIFS([3]!players[name],A273,[3]!players[hero_name],B273, [3]!players[win], 1)</f>
        <v>1</v>
      </c>
      <c r="F273" s="1">
        <f t="shared" si="4"/>
        <v>0.5</v>
      </c>
      <c r="G273" s="2">
        <f>AVERAGEIFS([3]!players[gold_per_min], [3]!players[name],A273,[3]!players[hero_name],B273)</f>
        <v>332.5</v>
      </c>
      <c r="H273" s="2">
        <f>AVERAGEIFS([3]!players[xp_per_min], [3]!players[name],A273,[3]!players[hero_name],B273)</f>
        <v>453</v>
      </c>
    </row>
    <row r="274" spans="1:8" x14ac:dyDescent="0.3">
      <c r="A274" t="str">
        <v>Bignum</v>
      </c>
      <c r="B274" t="str">
        <v>Ringmaster</v>
      </c>
      <c r="C274" t="str" cm="1">
        <f t="array" ref="C274">_xlfn.XLOOKUP(1,([3]!players[name]=A274)*([3]!players[hero_name]=B274),[3]!players[lane_name])</f>
        <v>Hard Support</v>
      </c>
      <c r="D274">
        <f>COUNTIFS([3]!players[name],A274,[3]!players[hero_name],B274)</f>
        <v>1</v>
      </c>
      <c r="E274">
        <f>COUNTIFS([3]!players[name],A274,[3]!players[hero_name],B274, [3]!players[win], 1)</f>
        <v>0</v>
      </c>
      <c r="F274" s="1">
        <f t="shared" si="4"/>
        <v>0</v>
      </c>
      <c r="G274" s="2">
        <f>AVERAGEIFS([3]!players[gold_per_min], [3]!players[name],A274,[3]!players[hero_name],B274)</f>
        <v>266</v>
      </c>
      <c r="H274" s="2">
        <f>AVERAGEIFS([3]!players[xp_per_min], [3]!players[name],A274,[3]!players[hero_name],B274)</f>
        <v>404</v>
      </c>
    </row>
    <row r="275" spans="1:8" x14ac:dyDescent="0.3">
      <c r="A275" t="str">
        <v>Bignum</v>
      </c>
      <c r="B275" t="str">
        <v>Spirit Breaker</v>
      </c>
      <c r="C275" t="str" cm="1">
        <f t="array" ref="C275">_xlfn.XLOOKUP(1,([3]!players[name]=A275)*([3]!players[hero_name]=B275),[3]!players[lane_name])</f>
        <v>Hard Support</v>
      </c>
      <c r="D275">
        <f>COUNTIFS([3]!players[name],A275,[3]!players[hero_name],B275)</f>
        <v>1</v>
      </c>
      <c r="E275">
        <f>COUNTIFS([3]!players[name],A275,[3]!players[hero_name],B275, [3]!players[win], 1)</f>
        <v>1</v>
      </c>
      <c r="F275" s="1">
        <f t="shared" si="4"/>
        <v>1</v>
      </c>
      <c r="G275" s="2">
        <f>AVERAGEIFS([3]!players[gold_per_min], [3]!players[name],A275,[3]!players[hero_name],B275)</f>
        <v>337</v>
      </c>
      <c r="H275" s="2">
        <f>AVERAGEIFS([3]!players[xp_per_min], [3]!players[name],A275,[3]!players[hero_name],B275)</f>
        <v>474</v>
      </c>
    </row>
    <row r="276" spans="1:8" x14ac:dyDescent="0.3">
      <c r="A276" t="str">
        <v>Bignum</v>
      </c>
      <c r="B276" t="str">
        <v>Skywrath Mage</v>
      </c>
      <c r="C276" t="str" cm="1">
        <f t="array" ref="C276">_xlfn.XLOOKUP(1,([3]!players[name]=A276)*([3]!players[hero_name]=B276),[3]!players[lane_name])</f>
        <v>Soft Support</v>
      </c>
      <c r="D276">
        <f>COUNTIFS([3]!players[name],A276,[3]!players[hero_name],B276)</f>
        <v>1</v>
      </c>
      <c r="E276">
        <f>COUNTIFS([3]!players[name],A276,[3]!players[hero_name],B276, [3]!players[win], 1)</f>
        <v>1</v>
      </c>
      <c r="F276" s="1">
        <f t="shared" si="4"/>
        <v>1</v>
      </c>
      <c r="G276" s="2">
        <f>AVERAGEIFS([3]!players[gold_per_min], [3]!players[name],A276,[3]!players[hero_name],B276)</f>
        <v>456</v>
      </c>
      <c r="H276" s="2">
        <f>AVERAGEIFS([3]!players[xp_per_min], [3]!players[name],A276,[3]!players[hero_name],B276)</f>
        <v>671</v>
      </c>
    </row>
    <row r="277" spans="1:8" x14ac:dyDescent="0.3">
      <c r="A277" t="str">
        <v>Bignum</v>
      </c>
      <c r="B277" t="str">
        <v>Grimstroke</v>
      </c>
      <c r="C277" t="str" cm="1">
        <f t="array" ref="C277">_xlfn.XLOOKUP(1,([3]!players[name]=A277)*([3]!players[hero_name]=B277),[3]!players[lane_name])</f>
        <v>Hard Support</v>
      </c>
      <c r="D277">
        <f>COUNTIFS([3]!players[name],A277,[3]!players[hero_name],B277)</f>
        <v>1</v>
      </c>
      <c r="E277">
        <f>COUNTIFS([3]!players[name],A277,[3]!players[hero_name],B277, [3]!players[win], 1)</f>
        <v>1</v>
      </c>
      <c r="F277" s="1">
        <f t="shared" si="4"/>
        <v>1</v>
      </c>
      <c r="G277" s="2">
        <f>AVERAGEIFS([3]!players[gold_per_min], [3]!players[name],A277,[3]!players[hero_name],B277)</f>
        <v>387</v>
      </c>
      <c r="H277" s="2">
        <f>AVERAGEIFS([3]!players[xp_per_min], [3]!players[name],A277,[3]!players[hero_name],B277)</f>
        <v>764</v>
      </c>
    </row>
    <row r="278" spans="1:8" x14ac:dyDescent="0.3">
      <c r="A278" t="str">
        <v>Bignum</v>
      </c>
      <c r="B278" t="str">
        <v>Techies</v>
      </c>
      <c r="C278" t="str" cm="1">
        <f t="array" ref="C278">_xlfn.XLOOKUP(1,([3]!players[name]=A278)*([3]!players[hero_name]=B278),[3]!players[lane_name])</f>
        <v>Hard Support</v>
      </c>
      <c r="D278">
        <f>COUNTIFS([3]!players[name],A278,[3]!players[hero_name],B278)</f>
        <v>1</v>
      </c>
      <c r="E278">
        <f>COUNTIFS([3]!players[name],A278,[3]!players[hero_name],B278, [3]!players[win], 1)</f>
        <v>0</v>
      </c>
      <c r="F278" s="1">
        <f t="shared" si="4"/>
        <v>0</v>
      </c>
      <c r="G278" s="2">
        <f>AVERAGEIFS([3]!players[gold_per_min], [3]!players[name],A278,[3]!players[hero_name],B278)</f>
        <v>289</v>
      </c>
      <c r="H278" s="2">
        <f>AVERAGEIFS([3]!players[xp_per_min], [3]!players[name],A278,[3]!players[hero_name],B278)</f>
        <v>340</v>
      </c>
    </row>
    <row r="279" spans="1:8" x14ac:dyDescent="0.3">
      <c r="A279" t="str">
        <v>BloodStorm</v>
      </c>
      <c r="B279" t="str">
        <v>Jakiro</v>
      </c>
      <c r="C279" t="str" cm="1">
        <f t="array" ref="C279">_xlfn.XLOOKUP(1,([3]!players[name]=A279)*([3]!players[hero_name]=B279),[3]!players[lane_name])</f>
        <v>Hard Support</v>
      </c>
      <c r="D279">
        <f>COUNTIFS([3]!players[name],A279,[3]!players[hero_name],B279)</f>
        <v>2</v>
      </c>
      <c r="E279">
        <f>COUNTIFS([3]!players[name],A279,[3]!players[hero_name],B279, [3]!players[win], 1)</f>
        <v>2</v>
      </c>
      <c r="F279" s="1">
        <f t="shared" si="4"/>
        <v>1</v>
      </c>
      <c r="G279" s="2">
        <f>AVERAGEIFS([3]!players[gold_per_min], [3]!players[name],A279,[3]!players[hero_name],B279)</f>
        <v>297.5</v>
      </c>
      <c r="H279" s="2">
        <f>AVERAGEIFS([3]!players[xp_per_min], [3]!players[name],A279,[3]!players[hero_name],B279)</f>
        <v>438.5</v>
      </c>
    </row>
    <row r="280" spans="1:8" x14ac:dyDescent="0.3">
      <c r="A280" t="str">
        <v>BloodStorm</v>
      </c>
      <c r="B280" t="str">
        <v>Disruptor</v>
      </c>
      <c r="C280" t="str" cm="1">
        <f t="array" ref="C280">_xlfn.XLOOKUP(1,([3]!players[name]=A280)*([3]!players[hero_name]=B280),[3]!players[lane_name])</f>
        <v>Hard Support</v>
      </c>
      <c r="D280">
        <f>COUNTIFS([3]!players[name],A280,[3]!players[hero_name],B280)</f>
        <v>7</v>
      </c>
      <c r="E280">
        <f>COUNTIFS([3]!players[name],A280,[3]!players[hero_name],B280, [3]!players[win], 1)</f>
        <v>4</v>
      </c>
      <c r="F280" s="1">
        <f t="shared" si="4"/>
        <v>0.5714285714285714</v>
      </c>
      <c r="G280" s="2">
        <f>AVERAGEIFS([3]!players[gold_per_min], [3]!players[name],A280,[3]!players[hero_name],B280)</f>
        <v>249.14285714285714</v>
      </c>
      <c r="H280" s="2">
        <f>AVERAGEIFS([3]!players[xp_per_min], [3]!players[name],A280,[3]!players[hero_name],B280)</f>
        <v>400.85714285714283</v>
      </c>
    </row>
    <row r="281" spans="1:8" x14ac:dyDescent="0.3">
      <c r="A281" t="str">
        <v>BloodStorm</v>
      </c>
      <c r="B281" t="str">
        <v>Ogre Magi</v>
      </c>
      <c r="C281" t="str" cm="1">
        <f t="array" ref="C281">_xlfn.XLOOKUP(1,([3]!players[name]=A281)*([3]!players[hero_name]=B281),[3]!players[lane_name])</f>
        <v>Hard Support</v>
      </c>
      <c r="D281">
        <f>COUNTIFS([3]!players[name],A281,[3]!players[hero_name],B281)</f>
        <v>6</v>
      </c>
      <c r="E281">
        <f>COUNTIFS([3]!players[name],A281,[3]!players[hero_name],B281, [3]!players[win], 1)</f>
        <v>3</v>
      </c>
      <c r="F281" s="1">
        <f t="shared" si="4"/>
        <v>0.5</v>
      </c>
      <c r="G281" s="2">
        <f>AVERAGEIFS([3]!players[gold_per_min], [3]!players[name],A281,[3]!players[hero_name],B281)</f>
        <v>270.66666666666669</v>
      </c>
      <c r="H281" s="2">
        <f>AVERAGEIFS([3]!players[xp_per_min], [3]!players[name],A281,[3]!players[hero_name],B281)</f>
        <v>406</v>
      </c>
    </row>
    <row r="282" spans="1:8" x14ac:dyDescent="0.3">
      <c r="A282" t="str">
        <v>BloodStorm</v>
      </c>
      <c r="B282" t="str">
        <v>Lion</v>
      </c>
      <c r="C282" t="str" cm="1">
        <f t="array" ref="C282">_xlfn.XLOOKUP(1,([3]!players[name]=A282)*([3]!players[hero_name]=B282),[3]!players[lane_name])</f>
        <v>Soft Support</v>
      </c>
      <c r="D282">
        <f>COUNTIFS([3]!players[name],A282,[3]!players[hero_name],B282)</f>
        <v>18</v>
      </c>
      <c r="E282">
        <f>COUNTIFS([3]!players[name],A282,[3]!players[hero_name],B282, [3]!players[win], 1)</f>
        <v>11</v>
      </c>
      <c r="F282" s="1">
        <f t="shared" si="4"/>
        <v>0.61111111111111116</v>
      </c>
      <c r="G282" s="2">
        <f>AVERAGEIFS([3]!players[gold_per_min], [3]!players[name],A282,[3]!players[hero_name],B282)</f>
        <v>256.55555555555554</v>
      </c>
      <c r="H282" s="2">
        <f>AVERAGEIFS([3]!players[xp_per_min], [3]!players[name],A282,[3]!players[hero_name],B282)</f>
        <v>403.77777777777777</v>
      </c>
    </row>
    <row r="283" spans="1:8" x14ac:dyDescent="0.3">
      <c r="A283" t="str">
        <v>BloodStorm</v>
      </c>
      <c r="B283" t="str">
        <v>Shadow Demon</v>
      </c>
      <c r="C283" t="str" cm="1">
        <f t="array" ref="C283">_xlfn.XLOOKUP(1,([3]!players[name]=A283)*([3]!players[hero_name]=B283),[3]!players[lane_name])</f>
        <v>Hard Support</v>
      </c>
      <c r="D283">
        <f>COUNTIFS([3]!players[name],A283,[3]!players[hero_name],B283)</f>
        <v>1</v>
      </c>
      <c r="E283">
        <f>COUNTIFS([3]!players[name],A283,[3]!players[hero_name],B283, [3]!players[win], 1)</f>
        <v>0</v>
      </c>
      <c r="F283" s="1">
        <f t="shared" si="4"/>
        <v>0</v>
      </c>
      <c r="G283" s="2">
        <f>AVERAGEIFS([3]!players[gold_per_min], [3]!players[name],A283,[3]!players[hero_name],B283)</f>
        <v>207</v>
      </c>
      <c r="H283" s="2">
        <f>AVERAGEIFS([3]!players[xp_per_min], [3]!players[name],A283,[3]!players[hero_name],B283)</f>
        <v>251</v>
      </c>
    </row>
    <row r="284" spans="1:8" x14ac:dyDescent="0.3">
      <c r="A284" t="str">
        <v>BloodStorm</v>
      </c>
      <c r="B284" t="str">
        <v>Crystal Maiden</v>
      </c>
      <c r="C284" t="str" cm="1">
        <f t="array" ref="C284">_xlfn.XLOOKUP(1,([3]!players[name]=A284)*([3]!players[hero_name]=B284),[3]!players[lane_name])</f>
        <v>Soft Support</v>
      </c>
      <c r="D284">
        <f>COUNTIFS([3]!players[name],A284,[3]!players[hero_name],B284)</f>
        <v>2</v>
      </c>
      <c r="E284">
        <f>COUNTIFS([3]!players[name],A284,[3]!players[hero_name],B284, [3]!players[win], 1)</f>
        <v>1</v>
      </c>
      <c r="F284" s="1">
        <f t="shared" si="4"/>
        <v>0.5</v>
      </c>
      <c r="G284" s="2">
        <f>AVERAGEIFS([3]!players[gold_per_min], [3]!players[name],A284,[3]!players[hero_name],B284)</f>
        <v>324.5</v>
      </c>
      <c r="H284" s="2">
        <f>AVERAGEIFS([3]!players[xp_per_min], [3]!players[name],A284,[3]!players[hero_name],B284)</f>
        <v>537</v>
      </c>
    </row>
    <row r="285" spans="1:8" x14ac:dyDescent="0.3">
      <c r="A285" t="str">
        <v>BloodStorm</v>
      </c>
      <c r="B285" t="str">
        <v>Shadow Shaman</v>
      </c>
      <c r="C285" t="str" cm="1">
        <f t="array" ref="C285">_xlfn.XLOOKUP(1,([3]!players[name]=A285)*([3]!players[hero_name]=B285),[3]!players[lane_name])</f>
        <v>Soft Support</v>
      </c>
      <c r="D285">
        <f>COUNTIFS([3]!players[name],A285,[3]!players[hero_name],B285)</f>
        <v>13</v>
      </c>
      <c r="E285">
        <f>COUNTIFS([3]!players[name],A285,[3]!players[hero_name],B285, [3]!players[win], 1)</f>
        <v>9</v>
      </c>
      <c r="F285" s="1">
        <f t="shared" si="4"/>
        <v>0.69230769230769229</v>
      </c>
      <c r="G285" s="2">
        <f>AVERAGEIFS([3]!players[gold_per_min], [3]!players[name],A285,[3]!players[hero_name],B285)</f>
        <v>299.92307692307691</v>
      </c>
      <c r="H285" s="2">
        <f>AVERAGEIFS([3]!players[xp_per_min], [3]!players[name],A285,[3]!players[hero_name],B285)</f>
        <v>410.46153846153845</v>
      </c>
    </row>
    <row r="286" spans="1:8" x14ac:dyDescent="0.3">
      <c r="A286" t="str">
        <v>BloodStorm</v>
      </c>
      <c r="B286" t="str">
        <v>Muerta</v>
      </c>
      <c r="C286" t="str" cm="1">
        <f t="array" ref="C286">_xlfn.XLOOKUP(1,([3]!players[name]=A286)*([3]!players[hero_name]=B286),[3]!players[lane_name])</f>
        <v>Soft Support</v>
      </c>
      <c r="D286">
        <f>COUNTIFS([3]!players[name],A286,[3]!players[hero_name],B286)</f>
        <v>1</v>
      </c>
      <c r="E286">
        <f>COUNTIFS([3]!players[name],A286,[3]!players[hero_name],B286, [3]!players[win], 1)</f>
        <v>0</v>
      </c>
      <c r="F286" s="1">
        <f t="shared" si="4"/>
        <v>0</v>
      </c>
      <c r="G286" s="2">
        <f>AVERAGEIFS([3]!players[gold_per_min], [3]!players[name],A286,[3]!players[hero_name],B286)</f>
        <v>399</v>
      </c>
      <c r="H286" s="2">
        <f>AVERAGEIFS([3]!players[xp_per_min], [3]!players[name],A286,[3]!players[hero_name],B286)</f>
        <v>469</v>
      </c>
    </row>
    <row r="287" spans="1:8" x14ac:dyDescent="0.3">
      <c r="A287" t="str">
        <v>BloodStorm</v>
      </c>
      <c r="B287" t="str">
        <v>Dark Willow</v>
      </c>
      <c r="C287" t="str" cm="1">
        <f t="array" ref="C287">_xlfn.XLOOKUP(1,([3]!players[name]=A287)*([3]!players[hero_name]=B287),[3]!players[lane_name])</f>
        <v>Hard Support</v>
      </c>
      <c r="D287">
        <f>COUNTIFS([3]!players[name],A287,[3]!players[hero_name],B287)</f>
        <v>2</v>
      </c>
      <c r="E287">
        <f>COUNTIFS([3]!players[name],A287,[3]!players[hero_name],B287, [3]!players[win], 1)</f>
        <v>0</v>
      </c>
      <c r="F287" s="1">
        <f t="shared" si="4"/>
        <v>0</v>
      </c>
      <c r="G287" s="2">
        <f>AVERAGEIFS([3]!players[gold_per_min], [3]!players[name],A287,[3]!players[hero_name],B287)</f>
        <v>257.5</v>
      </c>
      <c r="H287" s="2">
        <f>AVERAGEIFS([3]!players[xp_per_min], [3]!players[name],A287,[3]!players[hero_name],B287)</f>
        <v>371.5</v>
      </c>
    </row>
    <row r="288" spans="1:8" x14ac:dyDescent="0.3">
      <c r="A288" t="str">
        <v>BloodStorm</v>
      </c>
      <c r="B288" t="str">
        <v>Snapfire</v>
      </c>
      <c r="C288" t="str" cm="1">
        <f t="array" ref="C288">_xlfn.XLOOKUP(1,([3]!players[name]=A288)*([3]!players[hero_name]=B288),[3]!players[lane_name])</f>
        <v>Hard Support</v>
      </c>
      <c r="D288">
        <f>COUNTIFS([3]!players[name],A288,[3]!players[hero_name],B288)</f>
        <v>7</v>
      </c>
      <c r="E288">
        <f>COUNTIFS([3]!players[name],A288,[3]!players[hero_name],B288, [3]!players[win], 1)</f>
        <v>3</v>
      </c>
      <c r="F288" s="1">
        <f t="shared" si="4"/>
        <v>0.42857142857142855</v>
      </c>
      <c r="G288" s="2">
        <f>AVERAGEIFS([3]!players[gold_per_min], [3]!players[name],A288,[3]!players[hero_name],B288)</f>
        <v>278.71428571428572</v>
      </c>
      <c r="H288" s="2">
        <f>AVERAGEIFS([3]!players[xp_per_min], [3]!players[name],A288,[3]!players[hero_name],B288)</f>
        <v>368.71428571428572</v>
      </c>
    </row>
    <row r="289" spans="1:8" x14ac:dyDescent="0.3">
      <c r="A289" t="str">
        <v>BloodStorm</v>
      </c>
      <c r="B289" t="str">
        <v>Lich</v>
      </c>
      <c r="C289" t="str" cm="1">
        <f t="array" ref="C289">_xlfn.XLOOKUP(1,([3]!players[name]=A289)*([3]!players[hero_name]=B289),[3]!players[lane_name])</f>
        <v>Hard Support</v>
      </c>
      <c r="D289">
        <f>COUNTIFS([3]!players[name],A289,[3]!players[hero_name],B289)</f>
        <v>1</v>
      </c>
      <c r="E289">
        <f>COUNTIFS([3]!players[name],A289,[3]!players[hero_name],B289, [3]!players[win], 1)</f>
        <v>1</v>
      </c>
      <c r="F289" s="1">
        <f t="shared" si="4"/>
        <v>1</v>
      </c>
      <c r="G289" s="2">
        <f>AVERAGEIFS([3]!players[gold_per_min], [3]!players[name],A289,[3]!players[hero_name],B289)</f>
        <v>274</v>
      </c>
      <c r="H289" s="2">
        <f>AVERAGEIFS([3]!players[xp_per_min], [3]!players[name],A289,[3]!players[hero_name],B289)</f>
        <v>405</v>
      </c>
    </row>
    <row r="290" spans="1:8" x14ac:dyDescent="0.3">
      <c r="A290" t="str">
        <v>BloodStorm</v>
      </c>
      <c r="B290" t="str">
        <v>Rubick</v>
      </c>
      <c r="C290" t="str" cm="1">
        <f t="array" ref="C290">_xlfn.XLOOKUP(1,([3]!players[name]=A290)*([3]!players[hero_name]=B290),[3]!players[lane_name])</f>
        <v>Soft Support</v>
      </c>
      <c r="D290">
        <f>COUNTIFS([3]!players[name],A290,[3]!players[hero_name],B290)</f>
        <v>7</v>
      </c>
      <c r="E290">
        <f>COUNTIFS([3]!players[name],A290,[3]!players[hero_name],B290, [3]!players[win], 1)</f>
        <v>6</v>
      </c>
      <c r="F290" s="1">
        <f t="shared" si="4"/>
        <v>0.8571428571428571</v>
      </c>
      <c r="G290" s="2">
        <f>AVERAGEIFS([3]!players[gold_per_min], [3]!players[name],A290,[3]!players[hero_name],B290)</f>
        <v>380.28571428571428</v>
      </c>
      <c r="H290" s="2">
        <f>AVERAGEIFS([3]!players[xp_per_min], [3]!players[name],A290,[3]!players[hero_name],B290)</f>
        <v>657.14285714285711</v>
      </c>
    </row>
    <row r="291" spans="1:8" x14ac:dyDescent="0.3">
      <c r="A291" t="str">
        <v>BloodStorm</v>
      </c>
      <c r="B291" t="str">
        <v>Keeper of the Light</v>
      </c>
      <c r="C291" t="str" cm="1">
        <f t="array" ref="C291">_xlfn.XLOOKUP(1,([3]!players[name]=A291)*([3]!players[hero_name]=B291),[3]!players[lane_name])</f>
        <v>Soft Support</v>
      </c>
      <c r="D291">
        <f>COUNTIFS([3]!players[name],A291,[3]!players[hero_name],B291)</f>
        <v>2</v>
      </c>
      <c r="E291">
        <f>COUNTIFS([3]!players[name],A291,[3]!players[hero_name],B291, [3]!players[win], 1)</f>
        <v>2</v>
      </c>
      <c r="F291" s="1">
        <f t="shared" si="4"/>
        <v>1</v>
      </c>
      <c r="G291" s="2">
        <f>AVERAGEIFS([3]!players[gold_per_min], [3]!players[name],A291,[3]!players[hero_name],B291)</f>
        <v>368</v>
      </c>
      <c r="H291" s="2">
        <f>AVERAGEIFS([3]!players[xp_per_min], [3]!players[name],A291,[3]!players[hero_name],B291)</f>
        <v>614.5</v>
      </c>
    </row>
    <row r="292" spans="1:8" x14ac:dyDescent="0.3">
      <c r="A292" t="str">
        <v>BloodStorm</v>
      </c>
      <c r="B292" t="str">
        <v>Nature's Prophet</v>
      </c>
      <c r="C292" t="str" cm="1">
        <f t="array" ref="C292">_xlfn.XLOOKUP(1,([3]!players[name]=A292)*([3]!players[hero_name]=B292),[3]!players[lane_name])</f>
        <v>Soft Support</v>
      </c>
      <c r="D292">
        <f>COUNTIFS([3]!players[name],A292,[3]!players[hero_name],B292)</f>
        <v>1</v>
      </c>
      <c r="E292">
        <f>COUNTIFS([3]!players[name],A292,[3]!players[hero_name],B292, [3]!players[win], 1)</f>
        <v>0</v>
      </c>
      <c r="F292" s="1">
        <f t="shared" si="4"/>
        <v>0</v>
      </c>
      <c r="G292" s="2">
        <f>AVERAGEIFS([3]!players[gold_per_min], [3]!players[name],A292,[3]!players[hero_name],B292)</f>
        <v>351</v>
      </c>
      <c r="H292" s="2">
        <f>AVERAGEIFS([3]!players[xp_per_min], [3]!players[name],A292,[3]!players[hero_name],B292)</f>
        <v>330</v>
      </c>
    </row>
    <row r="293" spans="1:8" x14ac:dyDescent="0.3">
      <c r="A293" t="str">
        <v>BloodStorm</v>
      </c>
      <c r="B293" t="str">
        <v>Skywrath Mage</v>
      </c>
      <c r="C293" t="str" cm="1">
        <f t="array" ref="C293">_xlfn.XLOOKUP(1,([3]!players[name]=A293)*([3]!players[hero_name]=B293),[3]!players[lane_name])</f>
        <v>Hard Support</v>
      </c>
      <c r="D293">
        <f>COUNTIFS([3]!players[name],A293,[3]!players[hero_name],B293)</f>
        <v>6</v>
      </c>
      <c r="E293">
        <f>COUNTIFS([3]!players[name],A293,[3]!players[hero_name],B293, [3]!players[win], 1)</f>
        <v>1</v>
      </c>
      <c r="F293" s="1">
        <f t="shared" si="4"/>
        <v>0.16666666666666666</v>
      </c>
      <c r="G293" s="2">
        <f>AVERAGEIFS([3]!players[gold_per_min], [3]!players[name],A293,[3]!players[hero_name],B293)</f>
        <v>232.33333333333334</v>
      </c>
      <c r="H293" s="2">
        <f>AVERAGEIFS([3]!players[xp_per_min], [3]!players[name],A293,[3]!players[hero_name],B293)</f>
        <v>363.66666666666669</v>
      </c>
    </row>
    <row r="294" spans="1:8" x14ac:dyDescent="0.3">
      <c r="A294" t="str">
        <v>BloodStorm</v>
      </c>
      <c r="B294" t="str">
        <v>Warlock</v>
      </c>
      <c r="C294" t="str" cm="1">
        <f t="array" ref="C294">_xlfn.XLOOKUP(1,([3]!players[name]=A294)*([3]!players[hero_name]=B294),[3]!players[lane_name])</f>
        <v>Hard Support</v>
      </c>
      <c r="D294">
        <f>COUNTIFS([3]!players[name],A294,[3]!players[hero_name],B294)</f>
        <v>4</v>
      </c>
      <c r="E294">
        <f>COUNTIFS([3]!players[name],A294,[3]!players[hero_name],B294, [3]!players[win], 1)</f>
        <v>2</v>
      </c>
      <c r="F294" s="1">
        <f t="shared" si="4"/>
        <v>0.5</v>
      </c>
      <c r="G294" s="2">
        <f>AVERAGEIFS([3]!players[gold_per_min], [3]!players[name],A294,[3]!players[hero_name],B294)</f>
        <v>287.75</v>
      </c>
      <c r="H294" s="2">
        <f>AVERAGEIFS([3]!players[xp_per_min], [3]!players[name],A294,[3]!players[hero_name],B294)</f>
        <v>347.25</v>
      </c>
    </row>
    <row r="295" spans="1:8" x14ac:dyDescent="0.3">
      <c r="A295" t="str">
        <v>BloodStorm</v>
      </c>
      <c r="B295" t="str">
        <v>Enigma</v>
      </c>
      <c r="C295" t="str" cm="1">
        <f t="array" ref="C295">_xlfn.XLOOKUP(1,([3]!players[name]=A295)*([3]!players[hero_name]=B295),[3]!players[lane_name])</f>
        <v>Soft Support</v>
      </c>
      <c r="D295">
        <f>COUNTIFS([3]!players[name],A295,[3]!players[hero_name],B295)</f>
        <v>1</v>
      </c>
      <c r="E295">
        <f>COUNTIFS([3]!players[name],A295,[3]!players[hero_name],B295, [3]!players[win], 1)</f>
        <v>1</v>
      </c>
      <c r="F295" s="1">
        <f t="shared" si="4"/>
        <v>1</v>
      </c>
      <c r="G295" s="2">
        <f>AVERAGEIFS([3]!players[gold_per_min], [3]!players[name],A295,[3]!players[hero_name],B295)</f>
        <v>425</v>
      </c>
      <c r="H295" s="2">
        <f>AVERAGEIFS([3]!players[xp_per_min], [3]!players[name],A295,[3]!players[hero_name],B295)</f>
        <v>585</v>
      </c>
    </row>
    <row r="296" spans="1:8" x14ac:dyDescent="0.3">
      <c r="A296" t="str">
        <v>BloodStorm</v>
      </c>
      <c r="B296" t="str">
        <v>Phoenix</v>
      </c>
      <c r="C296" t="str" cm="1">
        <f t="array" ref="C296">_xlfn.XLOOKUP(1,([3]!players[name]=A296)*([3]!players[hero_name]=B296),[3]!players[lane_name])</f>
        <v>Soft Support</v>
      </c>
      <c r="D296">
        <f>COUNTIFS([3]!players[name],A296,[3]!players[hero_name],B296)</f>
        <v>2</v>
      </c>
      <c r="E296">
        <f>COUNTIFS([3]!players[name],A296,[3]!players[hero_name],B296, [3]!players[win], 1)</f>
        <v>1</v>
      </c>
      <c r="F296" s="1">
        <f t="shared" si="4"/>
        <v>0.5</v>
      </c>
      <c r="G296" s="2">
        <f>AVERAGEIFS([3]!players[gold_per_min], [3]!players[name],A296,[3]!players[hero_name],B296)</f>
        <v>379.5</v>
      </c>
      <c r="H296" s="2">
        <f>AVERAGEIFS([3]!players[xp_per_min], [3]!players[name],A296,[3]!players[hero_name],B296)</f>
        <v>544.5</v>
      </c>
    </row>
    <row r="297" spans="1:8" x14ac:dyDescent="0.3">
      <c r="A297" t="str">
        <v>BloodStorm</v>
      </c>
      <c r="B297" t="str">
        <v>Spirit Breaker</v>
      </c>
      <c r="C297" t="str" cm="1">
        <f t="array" ref="C297">_xlfn.XLOOKUP(1,([3]!players[name]=A297)*([3]!players[hero_name]=B297),[3]!players[lane_name])</f>
        <v>Hard Support</v>
      </c>
      <c r="D297">
        <f>COUNTIFS([3]!players[name],A297,[3]!players[hero_name],B297)</f>
        <v>2</v>
      </c>
      <c r="E297">
        <f>COUNTIFS([3]!players[name],A297,[3]!players[hero_name],B297, [3]!players[win], 1)</f>
        <v>1</v>
      </c>
      <c r="F297" s="1">
        <f t="shared" si="4"/>
        <v>0.5</v>
      </c>
      <c r="G297" s="2">
        <f>AVERAGEIFS([3]!players[gold_per_min], [3]!players[name],A297,[3]!players[hero_name],B297)</f>
        <v>259.5</v>
      </c>
      <c r="H297" s="2">
        <f>AVERAGEIFS([3]!players[xp_per_min], [3]!players[name],A297,[3]!players[hero_name],B297)</f>
        <v>344.5</v>
      </c>
    </row>
    <row r="298" spans="1:8" x14ac:dyDescent="0.3">
      <c r="A298" t="str">
        <v>BloodStorm</v>
      </c>
      <c r="B298" t="str">
        <v>Silencer</v>
      </c>
      <c r="C298" t="str" cm="1">
        <f t="array" ref="C298">_xlfn.XLOOKUP(1,([3]!players[name]=A298)*([3]!players[hero_name]=B298),[3]!players[lane_name])</f>
        <v>Soft Support</v>
      </c>
      <c r="D298">
        <f>COUNTIFS([3]!players[name],A298,[3]!players[hero_name],B298)</f>
        <v>7</v>
      </c>
      <c r="E298">
        <f>COUNTIFS([3]!players[name],A298,[3]!players[hero_name],B298, [3]!players[win], 1)</f>
        <v>2</v>
      </c>
      <c r="F298" s="1">
        <f t="shared" si="4"/>
        <v>0.2857142857142857</v>
      </c>
      <c r="G298" s="2">
        <f>AVERAGEIFS([3]!players[gold_per_min], [3]!players[name],A298,[3]!players[hero_name],B298)</f>
        <v>250.28571428571428</v>
      </c>
      <c r="H298" s="2">
        <f>AVERAGEIFS([3]!players[xp_per_min], [3]!players[name],A298,[3]!players[hero_name],B298)</f>
        <v>343.85714285714283</v>
      </c>
    </row>
    <row r="299" spans="1:8" x14ac:dyDescent="0.3">
      <c r="A299" t="str">
        <v>BloodStorm</v>
      </c>
      <c r="B299" t="str">
        <v>Earthshaker</v>
      </c>
      <c r="C299" t="str" cm="1">
        <f t="array" ref="C299">_xlfn.XLOOKUP(1,([3]!players[name]=A299)*([3]!players[hero_name]=B299),[3]!players[lane_name])</f>
        <v>Soft Support</v>
      </c>
      <c r="D299">
        <f>COUNTIFS([3]!players[name],A299,[3]!players[hero_name],B299)</f>
        <v>1</v>
      </c>
      <c r="E299">
        <f>COUNTIFS([3]!players[name],A299,[3]!players[hero_name],B299, [3]!players[win], 1)</f>
        <v>0</v>
      </c>
      <c r="F299" s="1">
        <f t="shared" si="4"/>
        <v>0</v>
      </c>
      <c r="G299" s="2">
        <f>AVERAGEIFS([3]!players[gold_per_min], [3]!players[name],A299,[3]!players[hero_name],B299)</f>
        <v>330</v>
      </c>
      <c r="H299" s="2">
        <f>AVERAGEIFS([3]!players[xp_per_min], [3]!players[name],A299,[3]!players[hero_name],B299)</f>
        <v>572</v>
      </c>
    </row>
    <row r="300" spans="1:8" x14ac:dyDescent="0.3">
      <c r="A300" t="str">
        <v>BloodStorm</v>
      </c>
      <c r="B300" t="str">
        <v>Grimstroke</v>
      </c>
      <c r="C300" t="str" cm="1">
        <f t="array" ref="C300">_xlfn.XLOOKUP(1,([3]!players[name]=A300)*([3]!players[hero_name]=B300),[3]!players[lane_name])</f>
        <v>Soft Support</v>
      </c>
      <c r="D300">
        <f>COUNTIFS([3]!players[name],A300,[3]!players[hero_name],B300)</f>
        <v>2</v>
      </c>
      <c r="E300">
        <f>COUNTIFS([3]!players[name],A300,[3]!players[hero_name],B300, [3]!players[win], 1)</f>
        <v>1</v>
      </c>
      <c r="F300" s="1">
        <f t="shared" si="4"/>
        <v>0.5</v>
      </c>
      <c r="G300" s="2">
        <f>AVERAGEIFS([3]!players[gold_per_min], [3]!players[name],A300,[3]!players[hero_name],B300)</f>
        <v>343</v>
      </c>
      <c r="H300" s="2">
        <f>AVERAGEIFS([3]!players[xp_per_min], [3]!players[name],A300,[3]!players[hero_name],B300)</f>
        <v>441</v>
      </c>
    </row>
    <row r="301" spans="1:8" x14ac:dyDescent="0.3">
      <c r="A301" t="str">
        <v>BloodStorm</v>
      </c>
      <c r="B301" t="str">
        <v>Zeus</v>
      </c>
      <c r="C301" t="str" cm="1">
        <f t="array" ref="C301">_xlfn.XLOOKUP(1,([3]!players[name]=A301)*([3]!players[hero_name]=B301),[3]!players[lane_name])</f>
        <v>Hard Support</v>
      </c>
      <c r="D301">
        <f>COUNTIFS([3]!players[name],A301,[3]!players[hero_name],B301)</f>
        <v>6</v>
      </c>
      <c r="E301">
        <f>COUNTIFS([3]!players[name],A301,[3]!players[hero_name],B301, [3]!players[win], 1)</f>
        <v>4</v>
      </c>
      <c r="F301" s="1">
        <f t="shared" si="4"/>
        <v>0.66666666666666663</v>
      </c>
      <c r="G301" s="2">
        <f>AVERAGEIFS([3]!players[gold_per_min], [3]!players[name],A301,[3]!players[hero_name],B301)</f>
        <v>291.83333333333331</v>
      </c>
      <c r="H301" s="2">
        <f>AVERAGEIFS([3]!players[xp_per_min], [3]!players[name],A301,[3]!players[hero_name],B301)</f>
        <v>435.83333333333331</v>
      </c>
    </row>
    <row r="302" spans="1:8" x14ac:dyDescent="0.3">
      <c r="A302" t="str">
        <v>BloodStorm</v>
      </c>
      <c r="B302" t="str">
        <v>Hoodwink</v>
      </c>
      <c r="C302" t="str" cm="1">
        <f t="array" ref="C302">_xlfn.XLOOKUP(1,([3]!players[name]=A302)*([3]!players[hero_name]=B302),[3]!players[lane_name])</f>
        <v>Soft Support</v>
      </c>
      <c r="D302">
        <f>COUNTIFS([3]!players[name],A302,[3]!players[hero_name],B302)</f>
        <v>1</v>
      </c>
      <c r="E302">
        <f>COUNTIFS([3]!players[name],A302,[3]!players[hero_name],B302, [3]!players[win], 1)</f>
        <v>0</v>
      </c>
      <c r="F302" s="1">
        <f t="shared" si="4"/>
        <v>0</v>
      </c>
      <c r="G302" s="2">
        <f>AVERAGEIFS([3]!players[gold_per_min], [3]!players[name],A302,[3]!players[hero_name],B302)</f>
        <v>259</v>
      </c>
      <c r="H302" s="2">
        <f>AVERAGEIFS([3]!players[xp_per_min], [3]!players[name],A302,[3]!players[hero_name],B302)</f>
        <v>366</v>
      </c>
    </row>
    <row r="303" spans="1:8" x14ac:dyDescent="0.3">
      <c r="A303" t="str">
        <v>BloodStorm</v>
      </c>
      <c r="B303" t="str">
        <v>Techies</v>
      </c>
      <c r="C303" t="str" cm="1">
        <f t="array" ref="C303">_xlfn.XLOOKUP(1,([3]!players[name]=A303)*([3]!players[hero_name]=B303),[3]!players[lane_name])</f>
        <v>Hard Support</v>
      </c>
      <c r="D303">
        <f>COUNTIFS([3]!players[name],A303,[3]!players[hero_name],B303)</f>
        <v>4</v>
      </c>
      <c r="E303">
        <f>COUNTIFS([3]!players[name],A303,[3]!players[hero_name],B303, [3]!players[win], 1)</f>
        <v>3</v>
      </c>
      <c r="F303" s="1">
        <f t="shared" si="4"/>
        <v>0.75</v>
      </c>
      <c r="G303" s="2">
        <f>AVERAGEIFS([3]!players[gold_per_min], [3]!players[name],A303,[3]!players[hero_name],B303)</f>
        <v>327.25</v>
      </c>
      <c r="H303" s="2">
        <f>AVERAGEIFS([3]!players[xp_per_min], [3]!players[name],A303,[3]!players[hero_name],B303)</f>
        <v>465.25</v>
      </c>
    </row>
    <row r="304" spans="1:8" x14ac:dyDescent="0.3">
      <c r="A304" t="str">
        <v>BloodStorm</v>
      </c>
      <c r="B304" t="str">
        <v>Vengeful Spirit</v>
      </c>
      <c r="C304" t="str" cm="1">
        <f t="array" ref="C304">_xlfn.XLOOKUP(1,([3]!players[name]=A304)*([3]!players[hero_name]=B304),[3]!players[lane_name])</f>
        <v>Hard Support</v>
      </c>
      <c r="D304">
        <f>COUNTIFS([3]!players[name],A304,[3]!players[hero_name],B304)</f>
        <v>4</v>
      </c>
      <c r="E304">
        <f>COUNTIFS([3]!players[name],A304,[3]!players[hero_name],B304, [3]!players[win], 1)</f>
        <v>0</v>
      </c>
      <c r="F304" s="1">
        <f t="shared" si="4"/>
        <v>0</v>
      </c>
      <c r="G304" s="2">
        <f>AVERAGEIFS([3]!players[gold_per_min], [3]!players[name],A304,[3]!players[hero_name],B304)</f>
        <v>232.75</v>
      </c>
      <c r="H304" s="2">
        <f>AVERAGEIFS([3]!players[xp_per_min], [3]!players[name],A304,[3]!players[hero_name],B304)</f>
        <v>455.5</v>
      </c>
    </row>
    <row r="305" spans="1:8" x14ac:dyDescent="0.3">
      <c r="A305" t="str">
        <v>BloodStorm</v>
      </c>
      <c r="B305" t="str">
        <v>Witch Doctor</v>
      </c>
      <c r="C305" t="str" cm="1">
        <f t="array" ref="C305">_xlfn.XLOOKUP(1,([3]!players[name]=A305)*([3]!players[hero_name]=B305),[3]!players[lane_name])</f>
        <v>Hard Support</v>
      </c>
      <c r="D305">
        <f>COUNTIFS([3]!players[name],A305,[3]!players[hero_name],B305)</f>
        <v>2</v>
      </c>
      <c r="E305">
        <f>COUNTIFS([3]!players[name],A305,[3]!players[hero_name],B305, [3]!players[win], 1)</f>
        <v>1</v>
      </c>
      <c r="F305" s="1">
        <f t="shared" si="4"/>
        <v>0.5</v>
      </c>
      <c r="G305" s="2">
        <f>AVERAGEIFS([3]!players[gold_per_min], [3]!players[name],A305,[3]!players[hero_name],B305)</f>
        <v>340.5</v>
      </c>
      <c r="H305" s="2">
        <f>AVERAGEIFS([3]!players[xp_per_min], [3]!players[name],A305,[3]!players[hero_name],B305)</f>
        <v>476.5</v>
      </c>
    </row>
    <row r="306" spans="1:8" x14ac:dyDescent="0.3">
      <c r="A306" t="str">
        <v>BloodStorm</v>
      </c>
      <c r="B306" t="str">
        <v>Pudge</v>
      </c>
      <c r="C306" t="str" cm="1">
        <f t="array" ref="C306">_xlfn.XLOOKUP(1,([3]!players[name]=A306)*([3]!players[hero_name]=B306),[3]!players[lane_name])</f>
        <v>Soft Support</v>
      </c>
      <c r="D306">
        <f>COUNTIFS([3]!players[name],A306,[3]!players[hero_name],B306)</f>
        <v>1</v>
      </c>
      <c r="E306">
        <f>COUNTIFS([3]!players[name],A306,[3]!players[hero_name],B306, [3]!players[win], 1)</f>
        <v>0</v>
      </c>
      <c r="F306" s="1">
        <f t="shared" si="4"/>
        <v>0</v>
      </c>
      <c r="G306" s="2">
        <f>AVERAGEIFS([3]!players[gold_per_min], [3]!players[name],A306,[3]!players[hero_name],B306)</f>
        <v>287</v>
      </c>
      <c r="H306" s="2">
        <f>AVERAGEIFS([3]!players[xp_per_min], [3]!players[name],A306,[3]!players[hero_name],B306)</f>
        <v>445</v>
      </c>
    </row>
    <row r="307" spans="1:8" x14ac:dyDescent="0.3">
      <c r="A307" t="str">
        <v>BloodStorm</v>
      </c>
      <c r="B307" t="str">
        <v>Clockwerk</v>
      </c>
      <c r="C307" t="str" cm="1">
        <f t="array" ref="C307">_xlfn.XLOOKUP(1,([3]!players[name]=A307)*([3]!players[hero_name]=B307),[3]!players[lane_name])</f>
        <v>Soft Support</v>
      </c>
      <c r="D307">
        <f>COUNTIFS([3]!players[name],A307,[3]!players[hero_name],B307)</f>
        <v>1</v>
      </c>
      <c r="E307">
        <f>COUNTIFS([3]!players[name],A307,[3]!players[hero_name],B307, [3]!players[win], 1)</f>
        <v>0</v>
      </c>
      <c r="F307" s="1">
        <f t="shared" si="4"/>
        <v>0</v>
      </c>
      <c r="G307" s="2">
        <f>AVERAGEIFS([3]!players[gold_per_min], [3]!players[name],A307,[3]!players[hero_name],B307)</f>
        <v>310</v>
      </c>
      <c r="H307" s="2">
        <f>AVERAGEIFS([3]!players[xp_per_min], [3]!players[name],A307,[3]!players[hero_name],B307)</f>
        <v>430</v>
      </c>
    </row>
    <row r="308" spans="1:8" x14ac:dyDescent="0.3">
      <c r="A308" t="str">
        <v>BloodStorm</v>
      </c>
      <c r="B308" t="str">
        <v>Weaver</v>
      </c>
      <c r="C308" t="str" cm="1">
        <f t="array" ref="C308">_xlfn.XLOOKUP(1,([3]!players[name]=A308)*([3]!players[hero_name]=B308),[3]!players[lane_name])</f>
        <v>Soft Support</v>
      </c>
      <c r="D308">
        <f>COUNTIFS([3]!players[name],A308,[3]!players[hero_name],B308)</f>
        <v>1</v>
      </c>
      <c r="E308">
        <f>COUNTIFS([3]!players[name],A308,[3]!players[hero_name],B308, [3]!players[win], 1)</f>
        <v>1</v>
      </c>
      <c r="F308" s="1">
        <f t="shared" si="4"/>
        <v>1</v>
      </c>
      <c r="G308" s="2">
        <f>AVERAGEIFS([3]!players[gold_per_min], [3]!players[name],A308,[3]!players[hero_name],B308)</f>
        <v>348</v>
      </c>
      <c r="H308" s="2">
        <f>AVERAGEIFS([3]!players[xp_per_min], [3]!players[name],A308,[3]!players[hero_name],B308)</f>
        <v>626</v>
      </c>
    </row>
    <row r="309" spans="1:8" x14ac:dyDescent="0.3">
      <c r="A309" t="str">
        <v>BloodStorm</v>
      </c>
      <c r="B309" t="str">
        <v>Tiny</v>
      </c>
      <c r="C309" t="str" cm="1">
        <f t="array" ref="C309">_xlfn.XLOOKUP(1,([3]!players[name]=A309)*([3]!players[hero_name]=B309),[3]!players[lane_name])</f>
        <v>Hard Support</v>
      </c>
      <c r="D309">
        <f>COUNTIFS([3]!players[name],A309,[3]!players[hero_name],B309)</f>
        <v>1</v>
      </c>
      <c r="E309">
        <f>COUNTIFS([3]!players[name],A309,[3]!players[hero_name],B309, [3]!players[win], 1)</f>
        <v>0</v>
      </c>
      <c r="F309" s="1">
        <f t="shared" si="4"/>
        <v>0</v>
      </c>
      <c r="G309" s="2">
        <f>AVERAGEIFS([3]!players[gold_per_min], [3]!players[name],A309,[3]!players[hero_name],B309)</f>
        <v>229</v>
      </c>
      <c r="H309" s="2">
        <f>AVERAGEIFS([3]!players[xp_per_min], [3]!players[name],A309,[3]!players[hero_name],B309)</f>
        <v>403</v>
      </c>
    </row>
    <row r="310" spans="1:8" x14ac:dyDescent="0.3">
      <c r="A310" t="str">
        <v>BloodStorm</v>
      </c>
      <c r="B310" t="str">
        <v>Treant Protector</v>
      </c>
      <c r="C310" t="str" cm="1">
        <f t="array" ref="C310">_xlfn.XLOOKUP(1,([3]!players[name]=A310)*([3]!players[hero_name]=B310),[3]!players[lane_name])</f>
        <v>Hard Support</v>
      </c>
      <c r="D310">
        <f>COUNTIFS([3]!players[name],A310,[3]!players[hero_name],B310)</f>
        <v>1</v>
      </c>
      <c r="E310">
        <f>COUNTIFS([3]!players[name],A310,[3]!players[hero_name],B310, [3]!players[win], 1)</f>
        <v>1</v>
      </c>
      <c r="F310" s="1">
        <f t="shared" si="4"/>
        <v>1</v>
      </c>
      <c r="G310" s="2">
        <f>AVERAGEIFS([3]!players[gold_per_min], [3]!players[name],A310,[3]!players[hero_name],B310)</f>
        <v>214</v>
      </c>
      <c r="H310" s="2">
        <f>AVERAGEIFS([3]!players[xp_per_min], [3]!players[name],A310,[3]!players[hero_name],B310)</f>
        <v>406</v>
      </c>
    </row>
    <row r="311" spans="1:8" x14ac:dyDescent="0.3">
      <c r="A311" t="str">
        <v>BoBoKa</v>
      </c>
      <c r="B311" t="str">
        <v>Marci</v>
      </c>
      <c r="C311" t="str" cm="1">
        <f t="array" ref="C311">_xlfn.XLOOKUP(1,([3]!players[name]=A311)*([3]!players[hero_name]=B311),[3]!players[lane_name])</f>
        <v>Soft Support</v>
      </c>
      <c r="D311">
        <f>COUNTIFS([3]!players[name],A311,[3]!players[hero_name],B311)</f>
        <v>1</v>
      </c>
      <c r="E311">
        <f>COUNTIFS([3]!players[name],A311,[3]!players[hero_name],B311, [3]!players[win], 1)</f>
        <v>1</v>
      </c>
      <c r="F311" s="1">
        <f t="shared" si="4"/>
        <v>1</v>
      </c>
      <c r="G311" s="2">
        <f>AVERAGEIFS([3]!players[gold_per_min], [3]!players[name],A311,[3]!players[hero_name],B311)</f>
        <v>409</v>
      </c>
      <c r="H311" s="2">
        <f>AVERAGEIFS([3]!players[xp_per_min], [3]!players[name],A311,[3]!players[hero_name],B311)</f>
        <v>662</v>
      </c>
    </row>
    <row r="312" spans="1:8" x14ac:dyDescent="0.3">
      <c r="A312" t="str">
        <v>BoBoKa</v>
      </c>
      <c r="B312" t="str">
        <v>Io</v>
      </c>
      <c r="C312" t="str" cm="1">
        <f t="array" ref="C312">_xlfn.XLOOKUP(1,([3]!players[name]=A312)*([3]!players[hero_name]=B312),[3]!players[lane_name])</f>
        <v>Roam</v>
      </c>
      <c r="D312">
        <f>COUNTIFS([3]!players[name],A312,[3]!players[hero_name],B312)</f>
        <v>2</v>
      </c>
      <c r="E312">
        <f>COUNTIFS([3]!players[name],A312,[3]!players[hero_name],B312, [3]!players[win], 1)</f>
        <v>1</v>
      </c>
      <c r="F312" s="1">
        <f t="shared" si="4"/>
        <v>0.5</v>
      </c>
      <c r="G312" s="2">
        <f>AVERAGEIFS([3]!players[gold_per_min], [3]!players[name],A312,[3]!players[hero_name],B312)</f>
        <v>345.5</v>
      </c>
      <c r="H312" s="2">
        <f>AVERAGEIFS([3]!players[xp_per_min], [3]!players[name],A312,[3]!players[hero_name],B312)</f>
        <v>566.5</v>
      </c>
    </row>
    <row r="313" spans="1:8" x14ac:dyDescent="0.3">
      <c r="A313" t="str">
        <v>BoBoKa</v>
      </c>
      <c r="B313" t="str">
        <v>Earth Spirit</v>
      </c>
      <c r="C313" t="str" cm="1">
        <f t="array" ref="C313">_xlfn.XLOOKUP(1,([3]!players[name]=A313)*([3]!players[hero_name]=B313),[3]!players[lane_name])</f>
        <v>Roam</v>
      </c>
      <c r="D313">
        <f>COUNTIFS([3]!players[name],A313,[3]!players[hero_name],B313)</f>
        <v>1</v>
      </c>
      <c r="E313">
        <f>COUNTIFS([3]!players[name],A313,[3]!players[hero_name],B313, [3]!players[win], 1)</f>
        <v>0</v>
      </c>
      <c r="F313" s="1">
        <f t="shared" si="4"/>
        <v>0</v>
      </c>
      <c r="G313" s="2">
        <f>AVERAGEIFS([3]!players[gold_per_min], [3]!players[name],A313,[3]!players[hero_name],B313)</f>
        <v>272</v>
      </c>
      <c r="H313" s="2">
        <f>AVERAGEIFS([3]!players[xp_per_min], [3]!players[name],A313,[3]!players[hero_name],B313)</f>
        <v>317</v>
      </c>
    </row>
    <row r="314" spans="1:8" x14ac:dyDescent="0.3">
      <c r="A314" t="str">
        <v>BoBoKa</v>
      </c>
      <c r="B314" t="str">
        <v>Tusk</v>
      </c>
      <c r="C314" t="str" cm="1">
        <f t="array" ref="C314">_xlfn.XLOOKUP(1,([3]!players[name]=A314)*([3]!players[hero_name]=B314),[3]!players[lane_name])</f>
        <v>Roam</v>
      </c>
      <c r="D314">
        <f>COUNTIFS([3]!players[name],A314,[3]!players[hero_name],B314)</f>
        <v>2</v>
      </c>
      <c r="E314">
        <f>COUNTIFS([3]!players[name],A314,[3]!players[hero_name],B314, [3]!players[win], 1)</f>
        <v>1</v>
      </c>
      <c r="F314" s="1">
        <f t="shared" si="4"/>
        <v>0.5</v>
      </c>
      <c r="G314" s="2">
        <f>AVERAGEIFS([3]!players[gold_per_min], [3]!players[name],A314,[3]!players[hero_name],B314)</f>
        <v>297.5</v>
      </c>
      <c r="H314" s="2">
        <f>AVERAGEIFS([3]!players[xp_per_min], [3]!players[name],A314,[3]!players[hero_name],B314)</f>
        <v>496.5</v>
      </c>
    </row>
    <row r="315" spans="1:8" x14ac:dyDescent="0.3">
      <c r="A315" t="str">
        <v>BoBoKa</v>
      </c>
      <c r="B315" t="str">
        <v>Muerta</v>
      </c>
      <c r="C315" t="str" cm="1">
        <f t="array" ref="C315">_xlfn.XLOOKUP(1,([3]!players[name]=A315)*([3]!players[hero_name]=B315),[3]!players[lane_name])</f>
        <v>Roam</v>
      </c>
      <c r="D315">
        <f>COUNTIFS([3]!players[name],A315,[3]!players[hero_name],B315)</f>
        <v>2</v>
      </c>
      <c r="E315">
        <f>COUNTIFS([3]!players[name],A315,[3]!players[hero_name],B315, [3]!players[win], 1)</f>
        <v>2</v>
      </c>
      <c r="F315" s="1">
        <f t="shared" si="4"/>
        <v>1</v>
      </c>
      <c r="G315" s="2">
        <f>AVERAGEIFS([3]!players[gold_per_min], [3]!players[name],A315,[3]!players[hero_name],B315)</f>
        <v>429</v>
      </c>
      <c r="H315" s="2">
        <f>AVERAGEIFS([3]!players[xp_per_min], [3]!players[name],A315,[3]!players[hero_name],B315)</f>
        <v>591</v>
      </c>
    </row>
    <row r="316" spans="1:8" x14ac:dyDescent="0.3">
      <c r="A316" t="str">
        <v>BoBoKa</v>
      </c>
      <c r="B316" t="str">
        <v>Oracle</v>
      </c>
      <c r="C316" t="str" cm="1">
        <f t="array" ref="C316">_xlfn.XLOOKUP(1,([3]!players[name]=A316)*([3]!players[hero_name]=B316),[3]!players[lane_name])</f>
        <v>Soft Support</v>
      </c>
      <c r="D316">
        <f>COUNTIFS([3]!players[name],A316,[3]!players[hero_name],B316)</f>
        <v>1</v>
      </c>
      <c r="E316">
        <f>COUNTIFS([3]!players[name],A316,[3]!players[hero_name],B316, [3]!players[win], 1)</f>
        <v>0</v>
      </c>
      <c r="F316" s="1">
        <f t="shared" si="4"/>
        <v>0</v>
      </c>
      <c r="G316" s="2">
        <f>AVERAGEIFS([3]!players[gold_per_min], [3]!players[name],A316,[3]!players[hero_name],B316)</f>
        <v>181</v>
      </c>
      <c r="H316" s="2">
        <f>AVERAGEIFS([3]!players[xp_per_min], [3]!players[name],A316,[3]!players[hero_name],B316)</f>
        <v>242</v>
      </c>
    </row>
    <row r="317" spans="1:8" x14ac:dyDescent="0.3">
      <c r="A317" t="str">
        <v>BoBoKa</v>
      </c>
      <c r="B317" t="str">
        <v>Enchantress</v>
      </c>
      <c r="C317" t="str" cm="1">
        <f t="array" ref="C317">_xlfn.XLOOKUP(1,([3]!players[name]=A317)*([3]!players[hero_name]=B317),[3]!players[lane_name])</f>
        <v>Soft Support</v>
      </c>
      <c r="D317">
        <f>COUNTIFS([3]!players[name],A317,[3]!players[hero_name],B317)</f>
        <v>1</v>
      </c>
      <c r="E317">
        <f>COUNTIFS([3]!players[name],A317,[3]!players[hero_name],B317, [3]!players[win], 1)</f>
        <v>0</v>
      </c>
      <c r="F317" s="1">
        <f t="shared" si="4"/>
        <v>0</v>
      </c>
      <c r="G317" s="2">
        <f>AVERAGEIFS([3]!players[gold_per_min], [3]!players[name],A317,[3]!players[hero_name],B317)</f>
        <v>294</v>
      </c>
      <c r="H317" s="2">
        <f>AVERAGEIFS([3]!players[xp_per_min], [3]!players[name],A317,[3]!players[hero_name],B317)</f>
        <v>325</v>
      </c>
    </row>
    <row r="318" spans="1:8" x14ac:dyDescent="0.3">
      <c r="A318" t="str">
        <v>BoBoKa</v>
      </c>
      <c r="B318" t="str">
        <v>Shadow Demon</v>
      </c>
      <c r="C318" t="str" cm="1">
        <f t="array" ref="C318">_xlfn.XLOOKUP(1,([3]!players[name]=A318)*([3]!players[hero_name]=B318),[3]!players[lane_name])</f>
        <v>Roam</v>
      </c>
      <c r="D318">
        <f>COUNTIFS([3]!players[name],A318,[3]!players[hero_name],B318)</f>
        <v>1</v>
      </c>
      <c r="E318">
        <f>COUNTIFS([3]!players[name],A318,[3]!players[hero_name],B318, [3]!players[win], 1)</f>
        <v>0</v>
      </c>
      <c r="F318" s="1">
        <f t="shared" si="4"/>
        <v>0</v>
      </c>
      <c r="G318" s="2">
        <f>AVERAGEIFS([3]!players[gold_per_min], [3]!players[name],A318,[3]!players[hero_name],B318)</f>
        <v>281</v>
      </c>
      <c r="H318" s="2">
        <f>AVERAGEIFS([3]!players[xp_per_min], [3]!players[name],A318,[3]!players[hero_name],B318)</f>
        <v>302</v>
      </c>
    </row>
    <row r="319" spans="1:8" x14ac:dyDescent="0.3">
      <c r="A319" t="str">
        <v>BoBoKa</v>
      </c>
      <c r="B319" t="str">
        <v>Hoodwink</v>
      </c>
      <c r="C319" t="str" cm="1">
        <f t="array" ref="C319">_xlfn.XLOOKUP(1,([3]!players[name]=A319)*([3]!players[hero_name]=B319),[3]!players[lane_name])</f>
        <v>Soft Support</v>
      </c>
      <c r="D319">
        <f>COUNTIFS([3]!players[name],A319,[3]!players[hero_name],B319)</f>
        <v>1</v>
      </c>
      <c r="E319">
        <f>COUNTIFS([3]!players[name],A319,[3]!players[hero_name],B319, [3]!players[win], 1)</f>
        <v>1</v>
      </c>
      <c r="F319" s="1">
        <f t="shared" si="4"/>
        <v>1</v>
      </c>
      <c r="G319" s="2">
        <f>AVERAGEIFS([3]!players[gold_per_min], [3]!players[name],A319,[3]!players[hero_name],B319)</f>
        <v>431</v>
      </c>
      <c r="H319" s="2">
        <f>AVERAGEIFS([3]!players[xp_per_min], [3]!players[name],A319,[3]!players[hero_name],B319)</f>
        <v>685</v>
      </c>
    </row>
    <row r="320" spans="1:8" x14ac:dyDescent="0.3">
      <c r="A320" t="str">
        <v>BoBoKa</v>
      </c>
      <c r="B320" t="str">
        <v>Techies</v>
      </c>
      <c r="C320" t="str" cm="1">
        <f t="array" ref="C320">_xlfn.XLOOKUP(1,([3]!players[name]=A320)*([3]!players[hero_name]=B320),[3]!players[lane_name])</f>
        <v>Soft Support</v>
      </c>
      <c r="D320">
        <f>COUNTIFS([3]!players[name],A320,[3]!players[hero_name],B320)</f>
        <v>1</v>
      </c>
      <c r="E320">
        <f>COUNTIFS([3]!players[name],A320,[3]!players[hero_name],B320, [3]!players[win], 1)</f>
        <v>0</v>
      </c>
      <c r="F320" s="1">
        <f t="shared" si="4"/>
        <v>0</v>
      </c>
      <c r="G320" s="2">
        <f>AVERAGEIFS([3]!players[gold_per_min], [3]!players[name],A320,[3]!players[hero_name],B320)</f>
        <v>375</v>
      </c>
      <c r="H320" s="2">
        <f>AVERAGEIFS([3]!players[xp_per_min], [3]!players[name],A320,[3]!players[hero_name],B320)</f>
        <v>520</v>
      </c>
    </row>
    <row r="321" spans="1:8" x14ac:dyDescent="0.3">
      <c r="A321" t="str">
        <v>BoBoKa</v>
      </c>
      <c r="B321" t="str">
        <v>Keeper of the Light</v>
      </c>
      <c r="C321" t="str" cm="1">
        <f t="array" ref="C321">_xlfn.XLOOKUP(1,([3]!players[name]=A321)*([3]!players[hero_name]=B321),[3]!players[lane_name])</f>
        <v>Soft Support</v>
      </c>
      <c r="D321">
        <f>COUNTIFS([3]!players[name],A321,[3]!players[hero_name],B321)</f>
        <v>1</v>
      </c>
      <c r="E321">
        <f>COUNTIFS([3]!players[name],A321,[3]!players[hero_name],B321, [3]!players[win], 1)</f>
        <v>0</v>
      </c>
      <c r="F321" s="1">
        <f t="shared" si="4"/>
        <v>0</v>
      </c>
      <c r="G321" s="2">
        <f>AVERAGEIFS([3]!players[gold_per_min], [3]!players[name],A321,[3]!players[hero_name],B321)</f>
        <v>335</v>
      </c>
      <c r="H321" s="2">
        <f>AVERAGEIFS([3]!players[xp_per_min], [3]!players[name],A321,[3]!players[hero_name],B321)</f>
        <v>396</v>
      </c>
    </row>
    <row r="322" spans="1:8" x14ac:dyDescent="0.3">
      <c r="A322" t="str">
        <v>BOOM</v>
      </c>
      <c r="B322" t="str">
        <v>Bristleback</v>
      </c>
      <c r="C322" t="str" cm="1">
        <f t="array" ref="C322">_xlfn.XLOOKUP(1,([3]!players[name]=A322)*([3]!players[hero_name]=B322),[3]!players[lane_name])</f>
        <v>Off Lane</v>
      </c>
      <c r="D322">
        <f>COUNTIFS([3]!players[name],A322,[3]!players[hero_name],B322)</f>
        <v>2</v>
      </c>
      <c r="E322">
        <f>COUNTIFS([3]!players[name],A322,[3]!players[hero_name],B322, [3]!players[win], 1)</f>
        <v>0</v>
      </c>
      <c r="F322" s="1">
        <f t="shared" si="4"/>
        <v>0</v>
      </c>
      <c r="G322" s="2">
        <f>AVERAGEIFS([3]!players[gold_per_min], [3]!players[name],A322,[3]!players[hero_name],B322)</f>
        <v>624</v>
      </c>
      <c r="H322" s="2">
        <f>AVERAGEIFS([3]!players[xp_per_min], [3]!players[name],A322,[3]!players[hero_name],B322)</f>
        <v>882.5</v>
      </c>
    </row>
    <row r="323" spans="1:8" x14ac:dyDescent="0.3">
      <c r="A323" t="str">
        <v>BOOM</v>
      </c>
      <c r="B323" t="str">
        <v>Brewmaster</v>
      </c>
      <c r="C323" t="str" cm="1">
        <f t="array" ref="C323">_xlfn.XLOOKUP(1,([3]!players[name]=A323)*([3]!players[hero_name]=B323),[3]!players[lane_name])</f>
        <v>Off Lane</v>
      </c>
      <c r="D323">
        <f>COUNTIFS([3]!players[name],A323,[3]!players[hero_name],B323)</f>
        <v>3</v>
      </c>
      <c r="E323">
        <f>COUNTIFS([3]!players[name],A323,[3]!players[hero_name],B323, [3]!players[win], 1)</f>
        <v>1</v>
      </c>
      <c r="F323" s="1">
        <f t="shared" ref="F323:F386" si="5">E323/D323</f>
        <v>0.33333333333333331</v>
      </c>
      <c r="G323" s="2">
        <f>AVERAGEIFS([3]!players[gold_per_min], [3]!players[name],A323,[3]!players[hero_name],B323)</f>
        <v>595.33333333333337</v>
      </c>
      <c r="H323" s="2">
        <f>AVERAGEIFS([3]!players[xp_per_min], [3]!players[name],A323,[3]!players[hero_name],B323)</f>
        <v>779.66666666666663</v>
      </c>
    </row>
    <row r="324" spans="1:8" x14ac:dyDescent="0.3">
      <c r="A324" t="str">
        <v>BOOM</v>
      </c>
      <c r="B324" t="str">
        <v>Pangolier</v>
      </c>
      <c r="C324" t="str" cm="1">
        <f t="array" ref="C324">_xlfn.XLOOKUP(1,([3]!players[name]=A324)*([3]!players[hero_name]=B324),[3]!players[lane_name])</f>
        <v>Off Lane</v>
      </c>
      <c r="D324">
        <f>COUNTIFS([3]!players[name],A324,[3]!players[hero_name],B324)</f>
        <v>5</v>
      </c>
      <c r="E324">
        <f>COUNTIFS([3]!players[name],A324,[3]!players[hero_name],B324, [3]!players[win], 1)</f>
        <v>3</v>
      </c>
      <c r="F324" s="1">
        <f t="shared" si="5"/>
        <v>0.6</v>
      </c>
      <c r="G324" s="2">
        <f>AVERAGEIFS([3]!players[gold_per_min], [3]!players[name],A324,[3]!players[hero_name],B324)</f>
        <v>611</v>
      </c>
      <c r="H324" s="2">
        <f>AVERAGEIFS([3]!players[xp_per_min], [3]!players[name],A324,[3]!players[hero_name],B324)</f>
        <v>825.2</v>
      </c>
    </row>
    <row r="325" spans="1:8" x14ac:dyDescent="0.3">
      <c r="A325" t="str">
        <v>BOOM</v>
      </c>
      <c r="B325" t="str">
        <v>Doom</v>
      </c>
      <c r="C325" t="str" cm="1">
        <f t="array" ref="C325">_xlfn.XLOOKUP(1,([3]!players[name]=A325)*([3]!players[hero_name]=B325),[3]!players[lane_name])</f>
        <v>Off Lane</v>
      </c>
      <c r="D325">
        <f>COUNTIFS([3]!players[name],A325,[3]!players[hero_name],B325)</f>
        <v>2</v>
      </c>
      <c r="E325">
        <f>COUNTIFS([3]!players[name],A325,[3]!players[hero_name],B325, [3]!players[win], 1)</f>
        <v>1</v>
      </c>
      <c r="F325" s="1">
        <f t="shared" si="5"/>
        <v>0.5</v>
      </c>
      <c r="G325" s="2">
        <f>AVERAGEIFS([3]!players[gold_per_min], [3]!players[name],A325,[3]!players[hero_name],B325)</f>
        <v>579.5</v>
      </c>
      <c r="H325" s="2">
        <f>AVERAGEIFS([3]!players[xp_per_min], [3]!players[name],A325,[3]!players[hero_name],B325)</f>
        <v>763.5</v>
      </c>
    </row>
    <row r="326" spans="1:8" x14ac:dyDescent="0.3">
      <c r="A326" t="str">
        <v>BOOM</v>
      </c>
      <c r="B326" t="str">
        <v>Beastmaster</v>
      </c>
      <c r="C326" t="str" cm="1">
        <f t="array" ref="C326">_xlfn.XLOOKUP(1,([3]!players[name]=A326)*([3]!players[hero_name]=B326),[3]!players[lane_name])</f>
        <v>Off Lane</v>
      </c>
      <c r="D326">
        <f>COUNTIFS([3]!players[name],A326,[3]!players[hero_name],B326)</f>
        <v>2</v>
      </c>
      <c r="E326">
        <f>COUNTIFS([3]!players[name],A326,[3]!players[hero_name],B326, [3]!players[win], 1)</f>
        <v>0</v>
      </c>
      <c r="F326" s="1">
        <f t="shared" si="5"/>
        <v>0</v>
      </c>
      <c r="G326" s="2">
        <f>AVERAGEIFS([3]!players[gold_per_min], [3]!players[name],A326,[3]!players[hero_name],B326)</f>
        <v>567.5</v>
      </c>
      <c r="H326" s="2">
        <f>AVERAGEIFS([3]!players[xp_per_min], [3]!players[name],A326,[3]!players[hero_name],B326)</f>
        <v>674</v>
      </c>
    </row>
    <row r="327" spans="1:8" x14ac:dyDescent="0.3">
      <c r="A327" t="str">
        <v>BOOM</v>
      </c>
      <c r="B327" t="str">
        <v>Dark Seer</v>
      </c>
      <c r="C327" t="str" cm="1">
        <f t="array" ref="C327">_xlfn.XLOOKUP(1,([3]!players[name]=A327)*([3]!players[hero_name]=B327),[3]!players[lane_name])</f>
        <v>Off Lane</v>
      </c>
      <c r="D327">
        <f>COUNTIFS([3]!players[name],A327,[3]!players[hero_name],B327)</f>
        <v>3</v>
      </c>
      <c r="E327">
        <f>COUNTIFS([3]!players[name],A327,[3]!players[hero_name],B327, [3]!players[win], 1)</f>
        <v>2</v>
      </c>
      <c r="F327" s="1">
        <f t="shared" si="5"/>
        <v>0.66666666666666663</v>
      </c>
      <c r="G327" s="2">
        <f>AVERAGEIFS([3]!players[gold_per_min], [3]!players[name],A327,[3]!players[hero_name],B327)</f>
        <v>577.33333333333337</v>
      </c>
      <c r="H327" s="2">
        <f>AVERAGEIFS([3]!players[xp_per_min], [3]!players[name],A327,[3]!players[hero_name],B327)</f>
        <v>723.66666666666663</v>
      </c>
    </row>
    <row r="328" spans="1:8" x14ac:dyDescent="0.3">
      <c r="A328" t="str">
        <v>BOOM</v>
      </c>
      <c r="B328" t="str">
        <v>Tidehunter</v>
      </c>
      <c r="C328" t="str" cm="1">
        <f t="array" ref="C328">_xlfn.XLOOKUP(1,([3]!players[name]=A328)*([3]!players[hero_name]=B328),[3]!players[lane_name])</f>
        <v>Off Lane</v>
      </c>
      <c r="D328">
        <f>COUNTIFS([3]!players[name],A328,[3]!players[hero_name],B328)</f>
        <v>4</v>
      </c>
      <c r="E328">
        <f>COUNTIFS([3]!players[name],A328,[3]!players[hero_name],B328, [3]!players[win], 1)</f>
        <v>1</v>
      </c>
      <c r="F328" s="1">
        <f t="shared" si="5"/>
        <v>0.25</v>
      </c>
      <c r="G328" s="2">
        <f>AVERAGEIFS([3]!players[gold_per_min], [3]!players[name],A328,[3]!players[hero_name],B328)</f>
        <v>542</v>
      </c>
      <c r="H328" s="2">
        <f>AVERAGEIFS([3]!players[xp_per_min], [3]!players[name],A328,[3]!players[hero_name],B328)</f>
        <v>669.75</v>
      </c>
    </row>
    <row r="329" spans="1:8" x14ac:dyDescent="0.3">
      <c r="A329" t="str">
        <v>BOOM</v>
      </c>
      <c r="B329" t="str">
        <v>Batrider</v>
      </c>
      <c r="C329" t="str" cm="1">
        <f t="array" ref="C329">_xlfn.XLOOKUP(1,([3]!players[name]=A329)*([3]!players[hero_name]=B329),[3]!players[lane_name])</f>
        <v>Off Lane</v>
      </c>
      <c r="D329">
        <f>COUNTIFS([3]!players[name],A329,[3]!players[hero_name],B329)</f>
        <v>2</v>
      </c>
      <c r="E329">
        <f>COUNTIFS([3]!players[name],A329,[3]!players[hero_name],B329, [3]!players[win], 1)</f>
        <v>0</v>
      </c>
      <c r="F329" s="1">
        <f t="shared" si="5"/>
        <v>0</v>
      </c>
      <c r="G329" s="2">
        <f>AVERAGEIFS([3]!players[gold_per_min], [3]!players[name],A329,[3]!players[hero_name],B329)</f>
        <v>467.5</v>
      </c>
      <c r="H329" s="2">
        <f>AVERAGEIFS([3]!players[xp_per_min], [3]!players[name],A329,[3]!players[hero_name],B329)</f>
        <v>549</v>
      </c>
    </row>
    <row r="330" spans="1:8" x14ac:dyDescent="0.3">
      <c r="A330" t="str">
        <v>BOOM</v>
      </c>
      <c r="B330" t="str">
        <v>Enigma</v>
      </c>
      <c r="C330" t="str" cm="1">
        <f t="array" ref="C330">_xlfn.XLOOKUP(1,([3]!players[name]=A330)*([3]!players[hero_name]=B330),[3]!players[lane_name])</f>
        <v>Off Lane</v>
      </c>
      <c r="D330">
        <f>COUNTIFS([3]!players[name],A330,[3]!players[hero_name],B330)</f>
        <v>1</v>
      </c>
      <c r="E330">
        <f>COUNTIFS([3]!players[name],A330,[3]!players[hero_name],B330, [3]!players[win], 1)</f>
        <v>1</v>
      </c>
      <c r="F330" s="1">
        <f t="shared" si="5"/>
        <v>1</v>
      </c>
      <c r="G330" s="2">
        <f>AVERAGEIFS([3]!players[gold_per_min], [3]!players[name],A330,[3]!players[hero_name],B330)</f>
        <v>670</v>
      </c>
      <c r="H330" s="2">
        <f>AVERAGEIFS([3]!players[xp_per_min], [3]!players[name],A330,[3]!players[hero_name],B330)</f>
        <v>588</v>
      </c>
    </row>
    <row r="331" spans="1:8" x14ac:dyDescent="0.3">
      <c r="A331" t="str">
        <v>BOOM</v>
      </c>
      <c r="B331" t="str">
        <v>Mars</v>
      </c>
      <c r="C331" t="str" cm="1">
        <f t="array" ref="C331">_xlfn.XLOOKUP(1,([3]!players[name]=A331)*([3]!players[hero_name]=B331),[3]!players[lane_name])</f>
        <v>Off Lane</v>
      </c>
      <c r="D331">
        <f>COUNTIFS([3]!players[name],A331,[3]!players[hero_name],B331)</f>
        <v>1</v>
      </c>
      <c r="E331">
        <f>COUNTIFS([3]!players[name],A331,[3]!players[hero_name],B331, [3]!players[win], 1)</f>
        <v>1</v>
      </c>
      <c r="F331" s="1">
        <f t="shared" si="5"/>
        <v>1</v>
      </c>
      <c r="G331" s="2">
        <f>AVERAGEIFS([3]!players[gold_per_min], [3]!players[name],A331,[3]!players[hero_name],B331)</f>
        <v>583</v>
      </c>
      <c r="H331" s="2">
        <f>AVERAGEIFS([3]!players[xp_per_min], [3]!players[name],A331,[3]!players[hero_name],B331)</f>
        <v>842</v>
      </c>
    </row>
    <row r="332" spans="1:8" x14ac:dyDescent="0.3">
      <c r="A332" t="str">
        <v>BOOM</v>
      </c>
      <c r="B332" t="str">
        <v>Slardar</v>
      </c>
      <c r="C332" t="str" cm="1">
        <f t="array" ref="C332">_xlfn.XLOOKUP(1,([3]!players[name]=A332)*([3]!players[hero_name]=B332),[3]!players[lane_name])</f>
        <v>Off Lane</v>
      </c>
      <c r="D332">
        <f>COUNTIFS([3]!players[name],A332,[3]!players[hero_name],B332)</f>
        <v>5</v>
      </c>
      <c r="E332">
        <f>COUNTIFS([3]!players[name],A332,[3]!players[hero_name],B332, [3]!players[win], 1)</f>
        <v>3</v>
      </c>
      <c r="F332" s="1">
        <f t="shared" si="5"/>
        <v>0.6</v>
      </c>
      <c r="G332" s="2">
        <f>AVERAGEIFS([3]!players[gold_per_min], [3]!players[name],A332,[3]!players[hero_name],B332)</f>
        <v>529</v>
      </c>
      <c r="H332" s="2">
        <f>AVERAGEIFS([3]!players[xp_per_min], [3]!players[name],A332,[3]!players[hero_name],B332)</f>
        <v>755.8</v>
      </c>
    </row>
    <row r="333" spans="1:8" x14ac:dyDescent="0.3">
      <c r="A333" t="str">
        <v>BOOM</v>
      </c>
      <c r="B333" t="str">
        <v>Centaur Warrunner</v>
      </c>
      <c r="C333" t="str" cm="1">
        <f t="array" ref="C333">_xlfn.XLOOKUP(1,([3]!players[name]=A333)*([3]!players[hero_name]=B333),[3]!players[lane_name])</f>
        <v>Off Lane</v>
      </c>
      <c r="D333">
        <f>COUNTIFS([3]!players[name],A333,[3]!players[hero_name],B333)</f>
        <v>1</v>
      </c>
      <c r="E333">
        <f>COUNTIFS([3]!players[name],A333,[3]!players[hero_name],B333, [3]!players[win], 1)</f>
        <v>0</v>
      </c>
      <c r="F333" s="1">
        <f t="shared" si="5"/>
        <v>0</v>
      </c>
      <c r="G333" s="2">
        <f>AVERAGEIFS([3]!players[gold_per_min], [3]!players[name],A333,[3]!players[hero_name],B333)</f>
        <v>473</v>
      </c>
      <c r="H333" s="2">
        <f>AVERAGEIFS([3]!players[xp_per_min], [3]!players[name],A333,[3]!players[hero_name],B333)</f>
        <v>583</v>
      </c>
    </row>
    <row r="334" spans="1:8" x14ac:dyDescent="0.3">
      <c r="A334" t="str">
        <v>BOOM</v>
      </c>
      <c r="B334" t="str">
        <v>Sand King</v>
      </c>
      <c r="C334" t="str" cm="1">
        <f t="array" ref="C334">_xlfn.XLOOKUP(1,([3]!players[name]=A334)*([3]!players[hero_name]=B334),[3]!players[lane_name])</f>
        <v>Off Lane</v>
      </c>
      <c r="D334">
        <f>COUNTIFS([3]!players[name],A334,[3]!players[hero_name],B334)</f>
        <v>1</v>
      </c>
      <c r="E334">
        <f>COUNTIFS([3]!players[name],A334,[3]!players[hero_name],B334, [3]!players[win], 1)</f>
        <v>0</v>
      </c>
      <c r="F334" s="1">
        <f t="shared" si="5"/>
        <v>0</v>
      </c>
      <c r="G334" s="2">
        <f>AVERAGEIFS([3]!players[gold_per_min], [3]!players[name],A334,[3]!players[hero_name],B334)</f>
        <v>385</v>
      </c>
      <c r="H334" s="2">
        <f>AVERAGEIFS([3]!players[xp_per_min], [3]!players[name],A334,[3]!players[hero_name],B334)</f>
        <v>415</v>
      </c>
    </row>
    <row r="335" spans="1:8" x14ac:dyDescent="0.3">
      <c r="A335" t="str">
        <v>BOOM</v>
      </c>
      <c r="B335" t="str">
        <v>Underlord</v>
      </c>
      <c r="C335" t="str" cm="1">
        <f t="array" ref="C335">_xlfn.XLOOKUP(1,([3]!players[name]=A335)*([3]!players[hero_name]=B335),[3]!players[lane_name])</f>
        <v>Off Lane</v>
      </c>
      <c r="D335">
        <f>COUNTIFS([3]!players[name],A335,[3]!players[hero_name],B335)</f>
        <v>1</v>
      </c>
      <c r="E335">
        <f>COUNTIFS([3]!players[name],A335,[3]!players[hero_name],B335, [3]!players[win], 1)</f>
        <v>0</v>
      </c>
      <c r="F335" s="1">
        <f t="shared" si="5"/>
        <v>0</v>
      </c>
      <c r="G335" s="2">
        <f>AVERAGEIFS([3]!players[gold_per_min], [3]!players[name],A335,[3]!players[hero_name],B335)</f>
        <v>463</v>
      </c>
      <c r="H335" s="2">
        <f>AVERAGEIFS([3]!players[xp_per_min], [3]!players[name],A335,[3]!players[hero_name],B335)</f>
        <v>572</v>
      </c>
    </row>
    <row r="336" spans="1:8" x14ac:dyDescent="0.3">
      <c r="A336" t="str">
        <v>BOOM</v>
      </c>
      <c r="B336" t="str">
        <v>Timbersaw</v>
      </c>
      <c r="C336" t="str" cm="1">
        <f t="array" ref="C336">_xlfn.XLOOKUP(1,([3]!players[name]=A336)*([3]!players[hero_name]=B336),[3]!players[lane_name])</f>
        <v>Off Lane</v>
      </c>
      <c r="D336">
        <f>COUNTIFS([3]!players[name],A336,[3]!players[hero_name],B336)</f>
        <v>1</v>
      </c>
      <c r="E336">
        <f>COUNTIFS([3]!players[name],A336,[3]!players[hero_name],B336, [3]!players[win], 1)</f>
        <v>1</v>
      </c>
      <c r="F336" s="1">
        <f t="shared" si="5"/>
        <v>1</v>
      </c>
      <c r="G336" s="2">
        <f>AVERAGEIFS([3]!players[gold_per_min], [3]!players[name],A336,[3]!players[hero_name],B336)</f>
        <v>756</v>
      </c>
      <c r="H336" s="2">
        <f>AVERAGEIFS([3]!players[xp_per_min], [3]!players[name],A336,[3]!players[hero_name],B336)</f>
        <v>957</v>
      </c>
    </row>
    <row r="337" spans="1:8" x14ac:dyDescent="0.3">
      <c r="A337" t="str">
        <v>BOOM</v>
      </c>
      <c r="B337" t="str">
        <v>Largo</v>
      </c>
      <c r="C337" t="str" cm="1">
        <f t="array" ref="C337">_xlfn.XLOOKUP(1,([3]!players[name]=A337)*([3]!players[hero_name]=B337),[3]!players[lane_name])</f>
        <v>Off Lane</v>
      </c>
      <c r="D337">
        <f>COUNTIFS([3]!players[name],A337,[3]!players[hero_name],B337)</f>
        <v>1</v>
      </c>
      <c r="E337">
        <f>COUNTIFS([3]!players[name],A337,[3]!players[hero_name],B337, [3]!players[win], 1)</f>
        <v>1</v>
      </c>
      <c r="F337" s="1">
        <f t="shared" si="5"/>
        <v>1</v>
      </c>
      <c r="G337" s="2">
        <f>AVERAGEIFS([3]!players[gold_per_min], [3]!players[name],A337,[3]!players[hero_name],B337)</f>
        <v>655</v>
      </c>
      <c r="H337" s="2">
        <f>AVERAGEIFS([3]!players[xp_per_min], [3]!players[name],A337,[3]!players[hero_name],B337)</f>
        <v>957</v>
      </c>
    </row>
    <row r="338" spans="1:8" x14ac:dyDescent="0.3">
      <c r="A338" t="str">
        <v>ButterflyEffect</v>
      </c>
      <c r="B338" t="str">
        <v>Void Spirit</v>
      </c>
      <c r="C338" t="str" cm="1">
        <f t="array" ref="C338">_xlfn.XLOOKUP(1,([3]!players[name]=A338)*([3]!players[hero_name]=B338),[3]!players[lane_name])</f>
        <v>Mid</v>
      </c>
      <c r="D338">
        <f>COUNTIFS([3]!players[name],A338,[3]!players[hero_name],B338)</f>
        <v>5</v>
      </c>
      <c r="E338">
        <f>COUNTIFS([3]!players[name],A338,[3]!players[hero_name],B338, [3]!players[win], 1)</f>
        <v>2</v>
      </c>
      <c r="F338" s="1">
        <f t="shared" si="5"/>
        <v>0.4</v>
      </c>
      <c r="G338" s="2">
        <f>AVERAGEIFS([3]!players[gold_per_min], [3]!players[name],A338,[3]!players[hero_name],B338)</f>
        <v>482.2</v>
      </c>
      <c r="H338" s="2">
        <f>AVERAGEIFS([3]!players[xp_per_min], [3]!players[name],A338,[3]!players[hero_name],B338)</f>
        <v>614.20000000000005</v>
      </c>
    </row>
    <row r="339" spans="1:8" x14ac:dyDescent="0.3">
      <c r="A339" t="str">
        <v>ButterflyEffect</v>
      </c>
      <c r="B339" t="str">
        <v>Storm Spirit</v>
      </c>
      <c r="C339" t="str" cm="1">
        <f t="array" ref="C339">_xlfn.XLOOKUP(1,([3]!players[name]=A339)*([3]!players[hero_name]=B339),[3]!players[lane_name])</f>
        <v>Mid</v>
      </c>
      <c r="D339">
        <f>COUNTIFS([3]!players[name],A339,[3]!players[hero_name],B339)</f>
        <v>10</v>
      </c>
      <c r="E339">
        <f>COUNTIFS([3]!players[name],A339,[3]!players[hero_name],B339, [3]!players[win], 1)</f>
        <v>2</v>
      </c>
      <c r="F339" s="1">
        <f t="shared" si="5"/>
        <v>0.2</v>
      </c>
      <c r="G339" s="2">
        <f>AVERAGEIFS([3]!players[gold_per_min], [3]!players[name],A339,[3]!players[hero_name],B339)</f>
        <v>498.5</v>
      </c>
      <c r="H339" s="2">
        <f>AVERAGEIFS([3]!players[xp_per_min], [3]!players[name],A339,[3]!players[hero_name],B339)</f>
        <v>623.4</v>
      </c>
    </row>
    <row r="340" spans="1:8" x14ac:dyDescent="0.3">
      <c r="A340" t="str">
        <v>ButterflyEffect</v>
      </c>
      <c r="B340" t="str">
        <v>Puck</v>
      </c>
      <c r="C340" t="str" cm="1">
        <f t="array" ref="C340">_xlfn.XLOOKUP(1,([3]!players[name]=A340)*([3]!players[hero_name]=B340),[3]!players[lane_name])</f>
        <v>Mid</v>
      </c>
      <c r="D340">
        <f>COUNTIFS([3]!players[name],A340,[3]!players[hero_name],B340)</f>
        <v>4</v>
      </c>
      <c r="E340">
        <f>COUNTIFS([3]!players[name],A340,[3]!players[hero_name],B340, [3]!players[win], 1)</f>
        <v>2</v>
      </c>
      <c r="F340" s="1">
        <f t="shared" si="5"/>
        <v>0.5</v>
      </c>
      <c r="G340" s="2">
        <f>AVERAGEIFS([3]!players[gold_per_min], [3]!players[name],A340,[3]!players[hero_name],B340)</f>
        <v>633.5</v>
      </c>
      <c r="H340" s="2">
        <f>AVERAGEIFS([3]!players[xp_per_min], [3]!players[name],A340,[3]!players[hero_name],B340)</f>
        <v>821</v>
      </c>
    </row>
    <row r="341" spans="1:8" x14ac:dyDescent="0.3">
      <c r="A341" t="str">
        <v>ButterflyEffect</v>
      </c>
      <c r="B341" t="str">
        <v>Queen of Pain</v>
      </c>
      <c r="C341" t="str" cm="1">
        <f t="array" ref="C341">_xlfn.XLOOKUP(1,([3]!players[name]=A341)*([3]!players[hero_name]=B341),[3]!players[lane_name])</f>
        <v>Mid</v>
      </c>
      <c r="D341">
        <f>COUNTIFS([3]!players[name],A341,[3]!players[hero_name],B341)</f>
        <v>7</v>
      </c>
      <c r="E341">
        <f>COUNTIFS([3]!players[name],A341,[3]!players[hero_name],B341, [3]!players[win], 1)</f>
        <v>3</v>
      </c>
      <c r="F341" s="1">
        <f t="shared" si="5"/>
        <v>0.42857142857142855</v>
      </c>
      <c r="G341" s="2">
        <f>AVERAGEIFS([3]!players[gold_per_min], [3]!players[name],A341,[3]!players[hero_name],B341)</f>
        <v>620.14285714285711</v>
      </c>
      <c r="H341" s="2">
        <f>AVERAGEIFS([3]!players[xp_per_min], [3]!players[name],A341,[3]!players[hero_name],B341)</f>
        <v>821</v>
      </c>
    </row>
    <row r="342" spans="1:8" x14ac:dyDescent="0.3">
      <c r="A342" t="str">
        <v>ButterflyEffect</v>
      </c>
      <c r="B342" t="str">
        <v>Ember Spirit</v>
      </c>
      <c r="C342" t="str" cm="1">
        <f t="array" ref="C342">_xlfn.XLOOKUP(1,([3]!players[name]=A342)*([3]!players[hero_name]=B342),[3]!players[lane_name])</f>
        <v>Mid</v>
      </c>
      <c r="D342">
        <f>COUNTIFS([3]!players[name],A342,[3]!players[hero_name],B342)</f>
        <v>5</v>
      </c>
      <c r="E342">
        <f>COUNTIFS([3]!players[name],A342,[3]!players[hero_name],B342, [3]!players[win], 1)</f>
        <v>3</v>
      </c>
      <c r="F342" s="1">
        <f t="shared" si="5"/>
        <v>0.6</v>
      </c>
      <c r="G342" s="2">
        <f>AVERAGEIFS([3]!players[gold_per_min], [3]!players[name],A342,[3]!players[hero_name],B342)</f>
        <v>558.20000000000005</v>
      </c>
      <c r="H342" s="2">
        <f>AVERAGEIFS([3]!players[xp_per_min], [3]!players[name],A342,[3]!players[hero_name],B342)</f>
        <v>759</v>
      </c>
    </row>
    <row r="343" spans="1:8" x14ac:dyDescent="0.3">
      <c r="A343" t="str">
        <v>ButterflyEffect</v>
      </c>
      <c r="B343" t="str">
        <v>Lina</v>
      </c>
      <c r="C343" t="str" cm="1">
        <f t="array" ref="C343">_xlfn.XLOOKUP(1,([3]!players[name]=A343)*([3]!players[hero_name]=B343),[3]!players[lane_name])</f>
        <v>Mid</v>
      </c>
      <c r="D343">
        <f>COUNTIFS([3]!players[name],A343,[3]!players[hero_name],B343)</f>
        <v>1</v>
      </c>
      <c r="E343">
        <f>COUNTIFS([3]!players[name],A343,[3]!players[hero_name],B343, [3]!players[win], 1)</f>
        <v>0</v>
      </c>
      <c r="F343" s="1">
        <f t="shared" si="5"/>
        <v>0</v>
      </c>
      <c r="G343" s="2">
        <f>AVERAGEIFS([3]!players[gold_per_min], [3]!players[name],A343,[3]!players[hero_name],B343)</f>
        <v>600</v>
      </c>
      <c r="H343" s="2">
        <f>AVERAGEIFS([3]!players[xp_per_min], [3]!players[name],A343,[3]!players[hero_name],B343)</f>
        <v>703</v>
      </c>
    </row>
    <row r="344" spans="1:8" x14ac:dyDescent="0.3">
      <c r="A344" t="str">
        <v>ButterflyEffect</v>
      </c>
      <c r="B344" t="str">
        <v>Slardar</v>
      </c>
      <c r="C344" t="str" cm="1">
        <f t="array" ref="C344">_xlfn.XLOOKUP(1,([3]!players[name]=A344)*([3]!players[hero_name]=B344),[3]!players[lane_name])</f>
        <v>Mid</v>
      </c>
      <c r="D344">
        <f>COUNTIFS([3]!players[name],A344,[3]!players[hero_name],B344)</f>
        <v>3</v>
      </c>
      <c r="E344">
        <f>COUNTIFS([3]!players[name],A344,[3]!players[hero_name],B344, [3]!players[win], 1)</f>
        <v>2</v>
      </c>
      <c r="F344" s="1">
        <f t="shared" si="5"/>
        <v>0.66666666666666663</v>
      </c>
      <c r="G344" s="2">
        <f>AVERAGEIFS([3]!players[gold_per_min], [3]!players[name],A344,[3]!players[hero_name],B344)</f>
        <v>564.33333333333337</v>
      </c>
      <c r="H344" s="2">
        <f>AVERAGEIFS([3]!players[xp_per_min], [3]!players[name],A344,[3]!players[hero_name],B344)</f>
        <v>743.33333333333337</v>
      </c>
    </row>
    <row r="345" spans="1:8" x14ac:dyDescent="0.3">
      <c r="A345" t="str">
        <v>ButterflyEffect</v>
      </c>
      <c r="B345" t="str">
        <v>Leshrac</v>
      </c>
      <c r="C345" t="str" cm="1">
        <f t="array" ref="C345">_xlfn.XLOOKUP(1,([3]!players[name]=A345)*([3]!players[hero_name]=B345),[3]!players[lane_name])</f>
        <v>Mid</v>
      </c>
      <c r="D345">
        <f>COUNTIFS([3]!players[name],A345,[3]!players[hero_name],B345)</f>
        <v>1</v>
      </c>
      <c r="E345">
        <f>COUNTIFS([3]!players[name],A345,[3]!players[hero_name],B345, [3]!players[win], 1)</f>
        <v>1</v>
      </c>
      <c r="F345" s="1">
        <f t="shared" si="5"/>
        <v>1</v>
      </c>
      <c r="G345" s="2">
        <f>AVERAGEIFS([3]!players[gold_per_min], [3]!players[name],A345,[3]!players[hero_name],B345)</f>
        <v>636</v>
      </c>
      <c r="H345" s="2">
        <f>AVERAGEIFS([3]!players[xp_per_min], [3]!players[name],A345,[3]!players[hero_name],B345)</f>
        <v>740</v>
      </c>
    </row>
    <row r="346" spans="1:8" x14ac:dyDescent="0.3">
      <c r="A346" t="str">
        <v>ButterflyEffect</v>
      </c>
      <c r="B346" t="str">
        <v>Bristleback</v>
      </c>
      <c r="C346" t="str" cm="1">
        <f t="array" ref="C346">_xlfn.XLOOKUP(1,([3]!players[name]=A346)*([3]!players[hero_name]=B346),[3]!players[lane_name])</f>
        <v>Mid</v>
      </c>
      <c r="D346">
        <f>COUNTIFS([3]!players[name],A346,[3]!players[hero_name],B346)</f>
        <v>1</v>
      </c>
      <c r="E346">
        <f>COUNTIFS([3]!players[name],A346,[3]!players[hero_name],B346, [3]!players[win], 1)</f>
        <v>1</v>
      </c>
      <c r="F346" s="1">
        <f t="shared" si="5"/>
        <v>1</v>
      </c>
      <c r="G346" s="2">
        <f>AVERAGEIFS([3]!players[gold_per_min], [3]!players[name],A346,[3]!players[hero_name],B346)</f>
        <v>652</v>
      </c>
      <c r="H346" s="2">
        <f>AVERAGEIFS([3]!players[xp_per_min], [3]!players[name],A346,[3]!players[hero_name],B346)</f>
        <v>718</v>
      </c>
    </row>
    <row r="347" spans="1:8" x14ac:dyDescent="0.3">
      <c r="A347" t="str">
        <v>ButterflyEffect</v>
      </c>
      <c r="B347" t="str">
        <v>Viper</v>
      </c>
      <c r="C347" t="str" cm="1">
        <f t="array" ref="C347">_xlfn.XLOOKUP(1,([3]!players[name]=A347)*([3]!players[hero_name]=B347),[3]!players[lane_name])</f>
        <v>Mid</v>
      </c>
      <c r="D347">
        <f>COUNTIFS([3]!players[name],A347,[3]!players[hero_name],B347)</f>
        <v>1</v>
      </c>
      <c r="E347">
        <f>COUNTIFS([3]!players[name],A347,[3]!players[hero_name],B347, [3]!players[win], 1)</f>
        <v>0</v>
      </c>
      <c r="F347" s="1">
        <f t="shared" si="5"/>
        <v>0</v>
      </c>
      <c r="G347" s="2">
        <f>AVERAGEIFS([3]!players[gold_per_min], [3]!players[name],A347,[3]!players[hero_name],B347)</f>
        <v>587</v>
      </c>
      <c r="H347" s="2">
        <f>AVERAGEIFS([3]!players[xp_per_min], [3]!players[name],A347,[3]!players[hero_name],B347)</f>
        <v>793</v>
      </c>
    </row>
    <row r="348" spans="1:8" x14ac:dyDescent="0.3">
      <c r="A348" t="str">
        <v>ButterflyEffect</v>
      </c>
      <c r="B348" t="str">
        <v>Shadow Fiend</v>
      </c>
      <c r="C348" t="str" cm="1">
        <f t="array" ref="C348">_xlfn.XLOOKUP(1,([3]!players[name]=A348)*([3]!players[hero_name]=B348),[3]!players[lane_name])</f>
        <v>Mid</v>
      </c>
      <c r="D348">
        <f>COUNTIFS([3]!players[name],A348,[3]!players[hero_name],B348)</f>
        <v>1</v>
      </c>
      <c r="E348">
        <f>COUNTIFS([3]!players[name],A348,[3]!players[hero_name],B348, [3]!players[win], 1)</f>
        <v>0</v>
      </c>
      <c r="F348" s="1">
        <f t="shared" si="5"/>
        <v>0</v>
      </c>
      <c r="G348" s="2">
        <f>AVERAGEIFS([3]!players[gold_per_min], [3]!players[name],A348,[3]!players[hero_name],B348)</f>
        <v>633</v>
      </c>
      <c r="H348" s="2">
        <f>AVERAGEIFS([3]!players[xp_per_min], [3]!players[name],A348,[3]!players[hero_name],B348)</f>
        <v>737</v>
      </c>
    </row>
    <row r="349" spans="1:8" x14ac:dyDescent="0.3">
      <c r="A349" t="str">
        <v>ç”Ÿæ­»</v>
      </c>
      <c r="B349" t="str">
        <v>Timbersaw</v>
      </c>
      <c r="C349" t="str" cm="1">
        <f t="array" ref="C349">_xlfn.XLOOKUP(1,([3]!players[name]=A349)*([3]!players[hero_name]=B349),[3]!players[lane_name])</f>
        <v>Off Lane</v>
      </c>
      <c r="D349">
        <f>COUNTIFS([3]!players[name],A349,[3]!players[hero_name],B349)</f>
        <v>1</v>
      </c>
      <c r="E349">
        <f>COUNTIFS([3]!players[name],A349,[3]!players[hero_name],B349, [3]!players[win], 1)</f>
        <v>0</v>
      </c>
      <c r="F349" s="1">
        <f t="shared" si="5"/>
        <v>0</v>
      </c>
      <c r="G349" s="2">
        <f>AVERAGEIFS([3]!players[gold_per_min], [3]!players[name],A349,[3]!players[hero_name],B349)</f>
        <v>507</v>
      </c>
      <c r="H349" s="2">
        <f>AVERAGEIFS([3]!players[xp_per_min], [3]!players[name],A349,[3]!players[hero_name],B349)</f>
        <v>633</v>
      </c>
    </row>
    <row r="350" spans="1:8" x14ac:dyDescent="0.3">
      <c r="A350" t="str">
        <v>ç”Ÿæ­»</v>
      </c>
      <c r="B350" t="str">
        <v>Batrider</v>
      </c>
      <c r="C350" t="str" cm="1">
        <f t="array" ref="C350">_xlfn.XLOOKUP(1,([3]!players[name]=A350)*([3]!players[hero_name]=B350),[3]!players[lane_name])</f>
        <v>Off Lane</v>
      </c>
      <c r="D350">
        <f>COUNTIFS([3]!players[name],A350,[3]!players[hero_name],B350)</f>
        <v>6</v>
      </c>
      <c r="E350">
        <f>COUNTIFS([3]!players[name],A350,[3]!players[hero_name],B350, [3]!players[win], 1)</f>
        <v>4</v>
      </c>
      <c r="F350" s="1">
        <f t="shared" si="5"/>
        <v>0.66666666666666663</v>
      </c>
      <c r="G350" s="2">
        <f>AVERAGEIFS([3]!players[gold_per_min], [3]!players[name],A350,[3]!players[hero_name],B350)</f>
        <v>438</v>
      </c>
      <c r="H350" s="2">
        <f>AVERAGEIFS([3]!players[xp_per_min], [3]!players[name],A350,[3]!players[hero_name],B350)</f>
        <v>565</v>
      </c>
    </row>
    <row r="351" spans="1:8" x14ac:dyDescent="0.3">
      <c r="A351" t="str">
        <v>ç”Ÿæ­»</v>
      </c>
      <c r="B351" t="str">
        <v>Pangolier</v>
      </c>
      <c r="C351" t="str" cm="1">
        <f t="array" ref="C351">_xlfn.XLOOKUP(1,([3]!players[name]=A351)*([3]!players[hero_name]=B351),[3]!players[lane_name])</f>
        <v>Off Lane</v>
      </c>
      <c r="D351">
        <f>COUNTIFS([3]!players[name],A351,[3]!players[hero_name],B351)</f>
        <v>4</v>
      </c>
      <c r="E351">
        <f>COUNTIFS([3]!players[name],A351,[3]!players[hero_name],B351, [3]!players[win], 1)</f>
        <v>1</v>
      </c>
      <c r="F351" s="1">
        <f t="shared" si="5"/>
        <v>0.25</v>
      </c>
      <c r="G351" s="2">
        <f>AVERAGEIFS([3]!players[gold_per_min], [3]!players[name],A351,[3]!players[hero_name],B351)</f>
        <v>437</v>
      </c>
      <c r="H351" s="2">
        <f>AVERAGEIFS([3]!players[xp_per_min], [3]!players[name],A351,[3]!players[hero_name],B351)</f>
        <v>531</v>
      </c>
    </row>
    <row r="352" spans="1:8" x14ac:dyDescent="0.3">
      <c r="A352" t="str">
        <v>ç”Ÿæ­»</v>
      </c>
      <c r="B352" t="str">
        <v>Slardar</v>
      </c>
      <c r="C352" t="str" cm="1">
        <f t="array" ref="C352">_xlfn.XLOOKUP(1,([3]!players[name]=A352)*([3]!players[hero_name]=B352),[3]!players[lane_name])</f>
        <v>Off Lane</v>
      </c>
      <c r="D352">
        <f>COUNTIFS([3]!players[name],A352,[3]!players[hero_name],B352)</f>
        <v>2</v>
      </c>
      <c r="E352">
        <f>COUNTIFS([3]!players[name],A352,[3]!players[hero_name],B352, [3]!players[win], 1)</f>
        <v>0</v>
      </c>
      <c r="F352" s="1">
        <f t="shared" si="5"/>
        <v>0</v>
      </c>
      <c r="G352" s="2">
        <f>AVERAGEIFS([3]!players[gold_per_min], [3]!players[name],A352,[3]!players[hero_name],B352)</f>
        <v>401.5</v>
      </c>
      <c r="H352" s="2">
        <f>AVERAGEIFS([3]!players[xp_per_min], [3]!players[name],A352,[3]!players[hero_name],B352)</f>
        <v>534.5</v>
      </c>
    </row>
    <row r="353" spans="1:8" x14ac:dyDescent="0.3">
      <c r="A353" t="str">
        <v>ç”Ÿæ­»</v>
      </c>
      <c r="B353" t="str">
        <v>Primal Beast</v>
      </c>
      <c r="C353" t="str" cm="1">
        <f t="array" ref="C353">_xlfn.XLOOKUP(1,([3]!players[name]=A353)*([3]!players[hero_name]=B353),[3]!players[lane_name])</f>
        <v>Off Lane</v>
      </c>
      <c r="D353">
        <f>COUNTIFS([3]!players[name],A353,[3]!players[hero_name],B353)</f>
        <v>1</v>
      </c>
      <c r="E353">
        <f>COUNTIFS([3]!players[name],A353,[3]!players[hero_name],B353, [3]!players[win], 1)</f>
        <v>0</v>
      </c>
      <c r="F353" s="1">
        <f t="shared" si="5"/>
        <v>0</v>
      </c>
      <c r="G353" s="2">
        <f>AVERAGEIFS([3]!players[gold_per_min], [3]!players[name],A353,[3]!players[hero_name],B353)</f>
        <v>532</v>
      </c>
      <c r="H353" s="2">
        <f>AVERAGEIFS([3]!players[xp_per_min], [3]!players[name],A353,[3]!players[hero_name],B353)</f>
        <v>772</v>
      </c>
    </row>
    <row r="354" spans="1:8" x14ac:dyDescent="0.3">
      <c r="A354" t="str">
        <v>ç”Ÿæ­»</v>
      </c>
      <c r="B354" t="str">
        <v>Underlord</v>
      </c>
      <c r="C354" t="str" cm="1">
        <f t="array" ref="C354">_xlfn.XLOOKUP(1,([3]!players[name]=A354)*([3]!players[hero_name]=B354),[3]!players[lane_name])</f>
        <v>Off Lane</v>
      </c>
      <c r="D354">
        <f>COUNTIFS([3]!players[name],A354,[3]!players[hero_name],B354)</f>
        <v>4</v>
      </c>
      <c r="E354">
        <f>COUNTIFS([3]!players[name],A354,[3]!players[hero_name],B354, [3]!players[win], 1)</f>
        <v>3</v>
      </c>
      <c r="F354" s="1">
        <f t="shared" si="5"/>
        <v>0.75</v>
      </c>
      <c r="G354" s="2">
        <f>AVERAGEIFS([3]!players[gold_per_min], [3]!players[name],A354,[3]!players[hero_name],B354)</f>
        <v>516.5</v>
      </c>
      <c r="H354" s="2">
        <f>AVERAGEIFS([3]!players[xp_per_min], [3]!players[name],A354,[3]!players[hero_name],B354)</f>
        <v>682.25</v>
      </c>
    </row>
    <row r="355" spans="1:8" x14ac:dyDescent="0.3">
      <c r="A355" t="str">
        <v>ç”Ÿæ­»</v>
      </c>
      <c r="B355" t="str">
        <v>Night Stalker</v>
      </c>
      <c r="C355" t="str" cm="1">
        <f t="array" ref="C355">_xlfn.XLOOKUP(1,([3]!players[name]=A355)*([3]!players[hero_name]=B355),[3]!players[lane_name])</f>
        <v>Off Lane</v>
      </c>
      <c r="D355">
        <f>COUNTIFS([3]!players[name],A355,[3]!players[hero_name],B355)</f>
        <v>2</v>
      </c>
      <c r="E355">
        <f>COUNTIFS([3]!players[name],A355,[3]!players[hero_name],B355, [3]!players[win], 1)</f>
        <v>1</v>
      </c>
      <c r="F355" s="1">
        <f t="shared" si="5"/>
        <v>0.5</v>
      </c>
      <c r="G355" s="2">
        <f>AVERAGEIFS([3]!players[gold_per_min], [3]!players[name],A355,[3]!players[hero_name],B355)</f>
        <v>439</v>
      </c>
      <c r="H355" s="2">
        <f>AVERAGEIFS([3]!players[xp_per_min], [3]!players[name],A355,[3]!players[hero_name],B355)</f>
        <v>496</v>
      </c>
    </row>
    <row r="356" spans="1:8" x14ac:dyDescent="0.3">
      <c r="A356" t="str">
        <v>ç”Ÿæ­»</v>
      </c>
      <c r="B356" t="str">
        <v>Tidehunter</v>
      </c>
      <c r="C356" t="str" cm="1">
        <f t="array" ref="C356">_xlfn.XLOOKUP(1,([3]!players[name]=A356)*([3]!players[hero_name]=B356),[3]!players[lane_name])</f>
        <v>Off Lane</v>
      </c>
      <c r="D356">
        <f>COUNTIFS([3]!players[name],A356,[3]!players[hero_name],B356)</f>
        <v>8</v>
      </c>
      <c r="E356">
        <f>COUNTIFS([3]!players[name],A356,[3]!players[hero_name],B356, [3]!players[win], 1)</f>
        <v>2</v>
      </c>
      <c r="F356" s="1">
        <f t="shared" si="5"/>
        <v>0.25</v>
      </c>
      <c r="G356" s="2">
        <f>AVERAGEIFS([3]!players[gold_per_min], [3]!players[name],A356,[3]!players[hero_name],B356)</f>
        <v>475.375</v>
      </c>
      <c r="H356" s="2">
        <f>AVERAGEIFS([3]!players[xp_per_min], [3]!players[name],A356,[3]!players[hero_name],B356)</f>
        <v>603.375</v>
      </c>
    </row>
    <row r="357" spans="1:8" x14ac:dyDescent="0.3">
      <c r="A357" t="str">
        <v>ç”Ÿæ­»</v>
      </c>
      <c r="B357" t="str">
        <v>Bristleback</v>
      </c>
      <c r="C357" t="str" cm="1">
        <f t="array" ref="C357">_xlfn.XLOOKUP(1,([3]!players[name]=A357)*([3]!players[hero_name]=B357),[3]!players[lane_name])</f>
        <v>Off Lane</v>
      </c>
      <c r="D357">
        <f>COUNTIFS([3]!players[name],A357,[3]!players[hero_name],B357)</f>
        <v>1</v>
      </c>
      <c r="E357">
        <f>COUNTIFS([3]!players[name],A357,[3]!players[hero_name],B357, [3]!players[win], 1)</f>
        <v>1</v>
      </c>
      <c r="F357" s="1">
        <f t="shared" si="5"/>
        <v>1</v>
      </c>
      <c r="G357" s="2">
        <f>AVERAGEIFS([3]!players[gold_per_min], [3]!players[name],A357,[3]!players[hero_name],B357)</f>
        <v>646</v>
      </c>
      <c r="H357" s="2">
        <f>AVERAGEIFS([3]!players[xp_per_min], [3]!players[name],A357,[3]!players[hero_name],B357)</f>
        <v>1106</v>
      </c>
    </row>
    <row r="358" spans="1:8" x14ac:dyDescent="0.3">
      <c r="A358" t="str">
        <v>ç”Ÿæ­»</v>
      </c>
      <c r="B358" t="str">
        <v>Beastmaster</v>
      </c>
      <c r="C358" t="str" cm="1">
        <f t="array" ref="C358">_xlfn.XLOOKUP(1,([3]!players[name]=A358)*([3]!players[hero_name]=B358),[3]!players[lane_name])</f>
        <v>Off Lane</v>
      </c>
      <c r="D358">
        <f>COUNTIFS([3]!players[name],A358,[3]!players[hero_name],B358)</f>
        <v>1</v>
      </c>
      <c r="E358">
        <f>COUNTIFS([3]!players[name],A358,[3]!players[hero_name],B358, [3]!players[win], 1)</f>
        <v>0</v>
      </c>
      <c r="F358" s="1">
        <f t="shared" si="5"/>
        <v>0</v>
      </c>
      <c r="G358" s="2">
        <f>AVERAGEIFS([3]!players[gold_per_min], [3]!players[name],A358,[3]!players[hero_name],B358)</f>
        <v>468</v>
      </c>
      <c r="H358" s="2">
        <f>AVERAGEIFS([3]!players[xp_per_min], [3]!players[name],A358,[3]!players[hero_name],B358)</f>
        <v>544</v>
      </c>
    </row>
    <row r="359" spans="1:8" x14ac:dyDescent="0.3">
      <c r="A359" t="str">
        <v>ç”Ÿæ­»</v>
      </c>
      <c r="B359" t="str">
        <v>Sand King</v>
      </c>
      <c r="C359" t="str" cm="1">
        <f t="array" ref="C359">_xlfn.XLOOKUP(1,([3]!players[name]=A359)*([3]!players[hero_name]=B359),[3]!players[lane_name])</f>
        <v>Off Lane</v>
      </c>
      <c r="D359">
        <f>COUNTIFS([3]!players[name],A359,[3]!players[hero_name],B359)</f>
        <v>1</v>
      </c>
      <c r="E359">
        <f>COUNTIFS([3]!players[name],A359,[3]!players[hero_name],B359, [3]!players[win], 1)</f>
        <v>0</v>
      </c>
      <c r="F359" s="1">
        <f t="shared" si="5"/>
        <v>0</v>
      </c>
      <c r="G359" s="2">
        <f>AVERAGEIFS([3]!players[gold_per_min], [3]!players[name],A359,[3]!players[hero_name],B359)</f>
        <v>420</v>
      </c>
      <c r="H359" s="2">
        <f>AVERAGEIFS([3]!players[xp_per_min], [3]!players[name],A359,[3]!players[hero_name],B359)</f>
        <v>547</v>
      </c>
    </row>
    <row r="360" spans="1:8" x14ac:dyDescent="0.3">
      <c r="A360" t="str">
        <v>ç”Ÿæ­»</v>
      </c>
      <c r="B360" t="str">
        <v>Dawnbreaker</v>
      </c>
      <c r="C360" t="str" cm="1">
        <f t="array" ref="C360">_xlfn.XLOOKUP(1,([3]!players[name]=A360)*([3]!players[hero_name]=B360),[3]!players[lane_name])</f>
        <v>Off Lane</v>
      </c>
      <c r="D360">
        <f>COUNTIFS([3]!players[name],A360,[3]!players[hero_name],B360)</f>
        <v>4</v>
      </c>
      <c r="E360">
        <f>COUNTIFS([3]!players[name],A360,[3]!players[hero_name],B360, [3]!players[win], 1)</f>
        <v>4</v>
      </c>
      <c r="F360" s="1">
        <f t="shared" si="5"/>
        <v>1</v>
      </c>
      <c r="G360" s="2">
        <f>AVERAGEIFS([3]!players[gold_per_min], [3]!players[name],A360,[3]!players[hero_name],B360)</f>
        <v>623.75</v>
      </c>
      <c r="H360" s="2">
        <f>AVERAGEIFS([3]!players[xp_per_min], [3]!players[name],A360,[3]!players[hero_name],B360)</f>
        <v>866</v>
      </c>
    </row>
    <row r="361" spans="1:8" x14ac:dyDescent="0.3">
      <c r="A361" t="str">
        <v>ç”Ÿæ­»</v>
      </c>
      <c r="B361" t="str">
        <v>Viper</v>
      </c>
      <c r="C361" t="str" cm="1">
        <f t="array" ref="C361">_xlfn.XLOOKUP(1,([3]!players[name]=A361)*([3]!players[hero_name]=B361),[3]!players[lane_name])</f>
        <v>Off Lane</v>
      </c>
      <c r="D361">
        <f>COUNTIFS([3]!players[name],A361,[3]!players[hero_name],B361)</f>
        <v>1</v>
      </c>
      <c r="E361">
        <f>COUNTIFS([3]!players[name],A361,[3]!players[hero_name],B361, [3]!players[win], 1)</f>
        <v>0</v>
      </c>
      <c r="F361" s="1">
        <f t="shared" si="5"/>
        <v>0</v>
      </c>
      <c r="G361" s="2">
        <f>AVERAGEIFS([3]!players[gold_per_min], [3]!players[name],A361,[3]!players[hero_name],B361)</f>
        <v>488</v>
      </c>
      <c r="H361" s="2">
        <f>AVERAGEIFS([3]!players[xp_per_min], [3]!players[name],A361,[3]!players[hero_name],B361)</f>
        <v>581</v>
      </c>
    </row>
    <row r="362" spans="1:8" x14ac:dyDescent="0.3">
      <c r="A362" t="str">
        <v>ç”Ÿæ­»</v>
      </c>
      <c r="B362" t="str">
        <v>Brewmaster</v>
      </c>
      <c r="C362" t="str" cm="1">
        <f t="array" ref="C362">_xlfn.XLOOKUP(1,([3]!players[name]=A362)*([3]!players[hero_name]=B362),[3]!players[lane_name])</f>
        <v>Off Lane</v>
      </c>
      <c r="D362">
        <f>COUNTIFS([3]!players[name],A362,[3]!players[hero_name],B362)</f>
        <v>1</v>
      </c>
      <c r="E362">
        <f>COUNTIFS([3]!players[name],A362,[3]!players[hero_name],B362, [3]!players[win], 1)</f>
        <v>0</v>
      </c>
      <c r="F362" s="1">
        <f t="shared" si="5"/>
        <v>0</v>
      </c>
      <c r="G362" s="2">
        <f>AVERAGEIFS([3]!players[gold_per_min], [3]!players[name],A362,[3]!players[hero_name],B362)</f>
        <v>317</v>
      </c>
      <c r="H362" s="2">
        <f>AVERAGEIFS([3]!players[xp_per_min], [3]!players[name],A362,[3]!players[hero_name],B362)</f>
        <v>296</v>
      </c>
    </row>
    <row r="363" spans="1:8" x14ac:dyDescent="0.3">
      <c r="A363" t="str">
        <v>ç”Ÿæ­»</v>
      </c>
      <c r="B363" t="str">
        <v>Legion Commander</v>
      </c>
      <c r="C363" t="str" cm="1">
        <f t="array" ref="C363">_xlfn.XLOOKUP(1,([3]!players[name]=A363)*([3]!players[hero_name]=B363),[3]!players[lane_name])</f>
        <v>Off Lane</v>
      </c>
      <c r="D363">
        <f>COUNTIFS([3]!players[name],A363,[3]!players[hero_name],B363)</f>
        <v>1</v>
      </c>
      <c r="E363">
        <f>COUNTIFS([3]!players[name],A363,[3]!players[hero_name],B363, [3]!players[win], 1)</f>
        <v>0</v>
      </c>
      <c r="F363" s="1">
        <f t="shared" si="5"/>
        <v>0</v>
      </c>
      <c r="G363" s="2">
        <f>AVERAGEIFS([3]!players[gold_per_min], [3]!players[name],A363,[3]!players[hero_name],B363)</f>
        <v>470</v>
      </c>
      <c r="H363" s="2">
        <f>AVERAGEIFS([3]!players[xp_per_min], [3]!players[name],A363,[3]!players[hero_name],B363)</f>
        <v>788</v>
      </c>
    </row>
    <row r="364" spans="1:8" x14ac:dyDescent="0.3">
      <c r="A364" t="str">
        <v>ç”Ÿæ­»</v>
      </c>
      <c r="B364" t="str">
        <v>Phoenix</v>
      </c>
      <c r="C364" t="str" cm="1">
        <f t="array" ref="C364">_xlfn.XLOOKUP(1,([3]!players[name]=A364)*([3]!players[hero_name]=B364),[3]!players[lane_name])</f>
        <v>Off Lane</v>
      </c>
      <c r="D364">
        <f>COUNTIFS([3]!players[name],A364,[3]!players[hero_name],B364)</f>
        <v>1</v>
      </c>
      <c r="E364">
        <f>COUNTIFS([3]!players[name],A364,[3]!players[hero_name],B364, [3]!players[win], 1)</f>
        <v>0</v>
      </c>
      <c r="F364" s="1">
        <f t="shared" si="5"/>
        <v>0</v>
      </c>
      <c r="G364" s="2">
        <f>AVERAGEIFS([3]!players[gold_per_min], [3]!players[name],A364,[3]!players[hero_name],B364)</f>
        <v>396</v>
      </c>
      <c r="H364" s="2">
        <f>AVERAGEIFS([3]!players[xp_per_min], [3]!players[name],A364,[3]!players[hero_name],B364)</f>
        <v>561</v>
      </c>
    </row>
    <row r="365" spans="1:8" x14ac:dyDescent="0.3">
      <c r="A365" t="str">
        <v>Çuo×Ÿâ±¯lone&lt;</v>
      </c>
      <c r="B365" t="str">
        <v>Sniper</v>
      </c>
      <c r="C365" t="str" cm="1">
        <f t="array" ref="C365">_xlfn.XLOOKUP(1,([3]!players[name]=A365)*([3]!players[hero_name]=B365),[3]!players[lane_name])</f>
        <v>Mid</v>
      </c>
      <c r="D365">
        <f>COUNTIFS([3]!players[name],A365,[3]!players[hero_name],B365)</f>
        <v>1</v>
      </c>
      <c r="E365">
        <f>COUNTIFS([3]!players[name],A365,[3]!players[hero_name],B365, [3]!players[win], 1)</f>
        <v>0</v>
      </c>
      <c r="F365" s="1">
        <f t="shared" si="5"/>
        <v>0</v>
      </c>
      <c r="G365" s="2">
        <f>AVERAGEIFS([3]!players[gold_per_min], [3]!players[name],A365,[3]!players[hero_name],B365)</f>
        <v>515</v>
      </c>
      <c r="H365" s="2">
        <f>AVERAGEIFS([3]!players[xp_per_min], [3]!players[name],A365,[3]!players[hero_name],B365)</f>
        <v>688</v>
      </c>
    </row>
    <row r="366" spans="1:8" x14ac:dyDescent="0.3">
      <c r="A366" t="str">
        <v>Çuo×Ÿâ±¯lone&lt;</v>
      </c>
      <c r="B366" t="str">
        <v>Beastmaster</v>
      </c>
      <c r="C366" t="str" cm="1">
        <f t="array" ref="C366">_xlfn.XLOOKUP(1,([3]!players[name]=A366)*([3]!players[hero_name]=B366),[3]!players[lane_name])</f>
        <v>Mid</v>
      </c>
      <c r="D366">
        <f>COUNTIFS([3]!players[name],A366,[3]!players[hero_name],B366)</f>
        <v>2</v>
      </c>
      <c r="E366">
        <f>COUNTIFS([3]!players[name],A366,[3]!players[hero_name],B366, [3]!players[win], 1)</f>
        <v>1</v>
      </c>
      <c r="F366" s="1">
        <f t="shared" si="5"/>
        <v>0.5</v>
      </c>
      <c r="G366" s="2">
        <f>AVERAGEIFS([3]!players[gold_per_min], [3]!players[name],A366,[3]!players[hero_name],B366)</f>
        <v>499.5</v>
      </c>
      <c r="H366" s="2">
        <f>AVERAGEIFS([3]!players[xp_per_min], [3]!players[name],A366,[3]!players[hero_name],B366)</f>
        <v>702</v>
      </c>
    </row>
    <row r="367" spans="1:8" x14ac:dyDescent="0.3">
      <c r="A367" t="str">
        <v>Çuo×Ÿâ±¯lone&lt;</v>
      </c>
      <c r="B367" t="str">
        <v>Nature's Prophet</v>
      </c>
      <c r="C367" t="str" cm="1">
        <f t="array" ref="C367">_xlfn.XLOOKUP(1,([3]!players[name]=A367)*([3]!players[hero_name]=B367),[3]!players[lane_name])</f>
        <v>Mid</v>
      </c>
      <c r="D367">
        <f>COUNTIFS([3]!players[name],A367,[3]!players[hero_name],B367)</f>
        <v>3</v>
      </c>
      <c r="E367">
        <f>COUNTIFS([3]!players[name],A367,[3]!players[hero_name],B367, [3]!players[win], 1)</f>
        <v>2</v>
      </c>
      <c r="F367" s="1">
        <f t="shared" si="5"/>
        <v>0.66666666666666663</v>
      </c>
      <c r="G367" s="2">
        <f>AVERAGEIFS([3]!players[gold_per_min], [3]!players[name],A367,[3]!players[hero_name],B367)</f>
        <v>656.66666666666663</v>
      </c>
      <c r="H367" s="2">
        <f>AVERAGEIFS([3]!players[xp_per_min], [3]!players[name],A367,[3]!players[hero_name],B367)</f>
        <v>775.33333333333337</v>
      </c>
    </row>
    <row r="368" spans="1:8" x14ac:dyDescent="0.3">
      <c r="A368" t="str">
        <v>Çuo×Ÿâ±¯lone&lt;</v>
      </c>
      <c r="B368" t="str">
        <v>Slardar</v>
      </c>
      <c r="C368" t="str" cm="1">
        <f t="array" ref="C368">_xlfn.XLOOKUP(1,([3]!players[name]=A368)*([3]!players[hero_name]=B368),[3]!players[lane_name])</f>
        <v>Mid</v>
      </c>
      <c r="D368">
        <f>COUNTIFS([3]!players[name],A368,[3]!players[hero_name],B368)</f>
        <v>3</v>
      </c>
      <c r="E368">
        <f>COUNTIFS([3]!players[name],A368,[3]!players[hero_name],B368, [3]!players[win], 1)</f>
        <v>3</v>
      </c>
      <c r="F368" s="1">
        <f t="shared" si="5"/>
        <v>1</v>
      </c>
      <c r="G368" s="2">
        <f>AVERAGEIFS([3]!players[gold_per_min], [3]!players[name],A368,[3]!players[hero_name],B368)</f>
        <v>572</v>
      </c>
      <c r="H368" s="2">
        <f>AVERAGEIFS([3]!players[xp_per_min], [3]!players[name],A368,[3]!players[hero_name],B368)</f>
        <v>891</v>
      </c>
    </row>
    <row r="369" spans="1:8" x14ac:dyDescent="0.3">
      <c r="A369" t="str">
        <v>Çuo×Ÿâ±¯lone&lt;</v>
      </c>
      <c r="B369" t="str">
        <v>Viper</v>
      </c>
      <c r="C369" t="str" cm="1">
        <f t="array" ref="C369">_xlfn.XLOOKUP(1,([3]!players[name]=A369)*([3]!players[hero_name]=B369),[3]!players[lane_name])</f>
        <v>Mid</v>
      </c>
      <c r="D369">
        <f>COUNTIFS([3]!players[name],A369,[3]!players[hero_name],B369)</f>
        <v>3</v>
      </c>
      <c r="E369">
        <f>COUNTIFS([3]!players[name],A369,[3]!players[hero_name],B369, [3]!players[win], 1)</f>
        <v>2</v>
      </c>
      <c r="F369" s="1">
        <f t="shared" si="5"/>
        <v>0.66666666666666663</v>
      </c>
      <c r="G369" s="2">
        <f>AVERAGEIFS([3]!players[gold_per_min], [3]!players[name],A369,[3]!players[hero_name],B369)</f>
        <v>581</v>
      </c>
      <c r="H369" s="2">
        <f>AVERAGEIFS([3]!players[xp_per_min], [3]!players[name],A369,[3]!players[hero_name],B369)</f>
        <v>856.33333333333337</v>
      </c>
    </row>
    <row r="370" spans="1:8" x14ac:dyDescent="0.3">
      <c r="A370" t="str">
        <v>Çuo×Ÿâ±¯lone&lt;</v>
      </c>
      <c r="B370" t="str">
        <v>Puck</v>
      </c>
      <c r="C370" t="str" cm="1">
        <f t="array" ref="C370">_xlfn.XLOOKUP(1,([3]!players[name]=A370)*([3]!players[hero_name]=B370),[3]!players[lane_name])</f>
        <v>Mid</v>
      </c>
      <c r="D370">
        <f>COUNTIFS([3]!players[name],A370,[3]!players[hero_name],B370)</f>
        <v>2</v>
      </c>
      <c r="E370">
        <f>COUNTIFS([3]!players[name],A370,[3]!players[hero_name],B370, [3]!players[win], 1)</f>
        <v>1</v>
      </c>
      <c r="F370" s="1">
        <f t="shared" si="5"/>
        <v>0.5</v>
      </c>
      <c r="G370" s="2">
        <f>AVERAGEIFS([3]!players[gold_per_min], [3]!players[name],A370,[3]!players[hero_name],B370)</f>
        <v>482</v>
      </c>
      <c r="H370" s="2">
        <f>AVERAGEIFS([3]!players[xp_per_min], [3]!players[name],A370,[3]!players[hero_name],B370)</f>
        <v>650.5</v>
      </c>
    </row>
    <row r="371" spans="1:8" x14ac:dyDescent="0.3">
      <c r="A371" t="str">
        <v>Çuo×Ÿâ±¯lone&lt;</v>
      </c>
      <c r="B371" t="str">
        <v>Mars</v>
      </c>
      <c r="C371" t="str" cm="1">
        <f t="array" ref="C371">_xlfn.XLOOKUP(1,([3]!players[name]=A371)*([3]!players[hero_name]=B371),[3]!players[lane_name])</f>
        <v>Mid</v>
      </c>
      <c r="D371">
        <f>COUNTIFS([3]!players[name],A371,[3]!players[hero_name],B371)</f>
        <v>1</v>
      </c>
      <c r="E371">
        <f>COUNTIFS([3]!players[name],A371,[3]!players[hero_name],B371, [3]!players[win], 1)</f>
        <v>1</v>
      </c>
      <c r="F371" s="1">
        <f t="shared" si="5"/>
        <v>1</v>
      </c>
      <c r="G371" s="2">
        <f>AVERAGEIFS([3]!players[gold_per_min], [3]!players[name],A371,[3]!players[hero_name],B371)</f>
        <v>414</v>
      </c>
      <c r="H371" s="2">
        <f>AVERAGEIFS([3]!players[xp_per_min], [3]!players[name],A371,[3]!players[hero_name],B371)</f>
        <v>522</v>
      </c>
    </row>
    <row r="372" spans="1:8" x14ac:dyDescent="0.3">
      <c r="A372" t="str">
        <v>Carlo</v>
      </c>
      <c r="B372" t="str">
        <v>Rubick</v>
      </c>
      <c r="C372" t="str" cm="1">
        <f t="array" ref="C372">_xlfn.XLOOKUP(1,([3]!players[name]=A372)*([3]!players[hero_name]=B372),[3]!players[lane_name])</f>
        <v>Soft Support</v>
      </c>
      <c r="D372">
        <f>COUNTIFS([3]!players[name],A372,[3]!players[hero_name],B372)</f>
        <v>6</v>
      </c>
      <c r="E372">
        <f>COUNTIFS([3]!players[name],A372,[3]!players[hero_name],B372, [3]!players[win], 1)</f>
        <v>5</v>
      </c>
      <c r="F372" s="1">
        <f t="shared" si="5"/>
        <v>0.83333333333333337</v>
      </c>
      <c r="G372" s="2">
        <f>AVERAGEIFS([3]!players[gold_per_min], [3]!players[name],A372,[3]!players[hero_name],B372)</f>
        <v>393.66666666666669</v>
      </c>
      <c r="H372" s="2">
        <f>AVERAGEIFS([3]!players[xp_per_min], [3]!players[name],A372,[3]!players[hero_name],B372)</f>
        <v>539</v>
      </c>
    </row>
    <row r="373" spans="1:8" x14ac:dyDescent="0.3">
      <c r="A373" t="str">
        <v>Carlo</v>
      </c>
      <c r="B373" t="str">
        <v>Tusk</v>
      </c>
      <c r="C373" t="str" cm="1">
        <f t="array" ref="C373">_xlfn.XLOOKUP(1,([3]!players[name]=A373)*([3]!players[hero_name]=B373),[3]!players[lane_name])</f>
        <v>Hard Support</v>
      </c>
      <c r="D373">
        <f>COUNTIFS([3]!players[name],A373,[3]!players[hero_name],B373)</f>
        <v>1</v>
      </c>
      <c r="E373">
        <f>COUNTIFS([3]!players[name],A373,[3]!players[hero_name],B373, [3]!players[win], 1)</f>
        <v>1</v>
      </c>
      <c r="F373" s="1">
        <f t="shared" si="5"/>
        <v>1</v>
      </c>
      <c r="G373" s="2">
        <f>AVERAGEIFS([3]!players[gold_per_min], [3]!players[name],A373,[3]!players[hero_name],B373)</f>
        <v>287</v>
      </c>
      <c r="H373" s="2">
        <f>AVERAGEIFS([3]!players[xp_per_min], [3]!players[name],A373,[3]!players[hero_name],B373)</f>
        <v>421</v>
      </c>
    </row>
    <row r="374" spans="1:8" x14ac:dyDescent="0.3">
      <c r="A374" t="str">
        <v>Carlo</v>
      </c>
      <c r="B374" t="str">
        <v>Enchantress</v>
      </c>
      <c r="C374" t="str" cm="1">
        <f t="array" ref="C374">_xlfn.XLOOKUP(1,([3]!players[name]=A374)*([3]!players[hero_name]=B374),[3]!players[lane_name])</f>
        <v>Soft Support</v>
      </c>
      <c r="D374">
        <f>COUNTIFS([3]!players[name],A374,[3]!players[hero_name],B374)</f>
        <v>1</v>
      </c>
      <c r="E374">
        <f>COUNTIFS([3]!players[name],A374,[3]!players[hero_name],B374, [3]!players[win], 1)</f>
        <v>0</v>
      </c>
      <c r="F374" s="1">
        <f t="shared" si="5"/>
        <v>0</v>
      </c>
      <c r="G374" s="2">
        <f>AVERAGEIFS([3]!players[gold_per_min], [3]!players[name],A374,[3]!players[hero_name],B374)</f>
        <v>333</v>
      </c>
      <c r="H374" s="2">
        <f>AVERAGEIFS([3]!players[xp_per_min], [3]!players[name],A374,[3]!players[hero_name],B374)</f>
        <v>421</v>
      </c>
    </row>
    <row r="375" spans="1:8" x14ac:dyDescent="0.3">
      <c r="A375" t="str">
        <v>Carlo</v>
      </c>
      <c r="B375" t="str">
        <v>Ringmaster</v>
      </c>
      <c r="C375" t="str" cm="1">
        <f t="array" ref="C375">_xlfn.XLOOKUP(1,([3]!players[name]=A375)*([3]!players[hero_name]=B375),[3]!players[lane_name])</f>
        <v>Roam</v>
      </c>
      <c r="D375">
        <f>COUNTIFS([3]!players[name],A375,[3]!players[hero_name],B375)</f>
        <v>1</v>
      </c>
      <c r="E375">
        <f>COUNTIFS([3]!players[name],A375,[3]!players[hero_name],B375, [3]!players[win], 1)</f>
        <v>1</v>
      </c>
      <c r="F375" s="1">
        <f t="shared" si="5"/>
        <v>1</v>
      </c>
      <c r="G375" s="2">
        <f>AVERAGEIFS([3]!players[gold_per_min], [3]!players[name],A375,[3]!players[hero_name],B375)</f>
        <v>430</v>
      </c>
      <c r="H375" s="2">
        <f>AVERAGEIFS([3]!players[xp_per_min], [3]!players[name],A375,[3]!players[hero_name],B375)</f>
        <v>601</v>
      </c>
    </row>
    <row r="376" spans="1:8" x14ac:dyDescent="0.3">
      <c r="A376" t="str">
        <v>Copy</v>
      </c>
      <c r="B376" t="str">
        <v>Leshrac</v>
      </c>
      <c r="C376" t="str" cm="1">
        <f t="array" ref="C376">_xlfn.XLOOKUP(1,([3]!players[name]=A376)*([3]!players[hero_name]=B376),[3]!players[lane_name])</f>
        <v>Mid</v>
      </c>
      <c r="D376">
        <f>COUNTIFS([3]!players[name],A376,[3]!players[hero_name],B376)</f>
        <v>2</v>
      </c>
      <c r="E376">
        <f>COUNTIFS([3]!players[name],A376,[3]!players[hero_name],B376, [3]!players[win], 1)</f>
        <v>1</v>
      </c>
      <c r="F376" s="1">
        <f t="shared" si="5"/>
        <v>0.5</v>
      </c>
      <c r="G376" s="2">
        <f>AVERAGEIFS([3]!players[gold_per_min], [3]!players[name],A376,[3]!players[hero_name],B376)</f>
        <v>611</v>
      </c>
      <c r="H376" s="2">
        <f>AVERAGEIFS([3]!players[xp_per_min], [3]!players[name],A376,[3]!players[hero_name],B376)</f>
        <v>692.5</v>
      </c>
    </row>
    <row r="377" spans="1:8" x14ac:dyDescent="0.3">
      <c r="A377" t="str">
        <v>Copy</v>
      </c>
      <c r="B377" t="str">
        <v>Queen of Pain</v>
      </c>
      <c r="C377" t="str" cm="1">
        <f t="array" ref="C377">_xlfn.XLOOKUP(1,([3]!players[name]=A377)*([3]!players[hero_name]=B377),[3]!players[lane_name])</f>
        <v>Mid</v>
      </c>
      <c r="D377">
        <f>COUNTIFS([3]!players[name],A377,[3]!players[hero_name],B377)</f>
        <v>3</v>
      </c>
      <c r="E377">
        <f>COUNTIFS([3]!players[name],A377,[3]!players[hero_name],B377, [3]!players[win], 1)</f>
        <v>3</v>
      </c>
      <c r="F377" s="1">
        <f t="shared" si="5"/>
        <v>1</v>
      </c>
      <c r="G377" s="2">
        <f>AVERAGEIFS([3]!players[gold_per_min], [3]!players[name],A377,[3]!players[hero_name],B377)</f>
        <v>751.33333333333337</v>
      </c>
      <c r="H377" s="2">
        <f>AVERAGEIFS([3]!players[xp_per_min], [3]!players[name],A377,[3]!players[hero_name],B377)</f>
        <v>1057.6666666666667</v>
      </c>
    </row>
    <row r="378" spans="1:8" x14ac:dyDescent="0.3">
      <c r="A378" t="str">
        <v>Copy</v>
      </c>
      <c r="B378" t="str">
        <v>Storm Spirit</v>
      </c>
      <c r="C378" t="str" cm="1">
        <f t="array" ref="C378">_xlfn.XLOOKUP(1,([3]!players[name]=A378)*([3]!players[hero_name]=B378),[3]!players[lane_name])</f>
        <v>Mid</v>
      </c>
      <c r="D378">
        <f>COUNTIFS([3]!players[name],A378,[3]!players[hero_name],B378)</f>
        <v>2</v>
      </c>
      <c r="E378">
        <f>COUNTIFS([3]!players[name],A378,[3]!players[hero_name],B378, [3]!players[win], 1)</f>
        <v>1</v>
      </c>
      <c r="F378" s="1">
        <f t="shared" si="5"/>
        <v>0.5</v>
      </c>
      <c r="G378" s="2">
        <f>AVERAGEIFS([3]!players[gold_per_min], [3]!players[name],A378,[3]!players[hero_name],B378)</f>
        <v>635</v>
      </c>
      <c r="H378" s="2">
        <f>AVERAGEIFS([3]!players[xp_per_min], [3]!players[name],A378,[3]!players[hero_name],B378)</f>
        <v>854.5</v>
      </c>
    </row>
    <row r="379" spans="1:8" x14ac:dyDescent="0.3">
      <c r="A379" t="str">
        <v>Copy</v>
      </c>
      <c r="B379" t="str">
        <v>Puck</v>
      </c>
      <c r="C379" t="str" cm="1">
        <f t="array" ref="C379">_xlfn.XLOOKUP(1,([3]!players[name]=A379)*([3]!players[hero_name]=B379),[3]!players[lane_name])</f>
        <v>Mid</v>
      </c>
      <c r="D379">
        <f>COUNTIFS([3]!players[name],A379,[3]!players[hero_name],B379)</f>
        <v>3</v>
      </c>
      <c r="E379">
        <f>COUNTIFS([3]!players[name],A379,[3]!players[hero_name],B379, [3]!players[win], 1)</f>
        <v>0</v>
      </c>
      <c r="F379" s="1">
        <f t="shared" si="5"/>
        <v>0</v>
      </c>
      <c r="G379" s="2">
        <f>AVERAGEIFS([3]!players[gold_per_min], [3]!players[name],A379,[3]!players[hero_name],B379)</f>
        <v>493.66666666666669</v>
      </c>
      <c r="H379" s="2">
        <f>AVERAGEIFS([3]!players[xp_per_min], [3]!players[name],A379,[3]!players[hero_name],B379)</f>
        <v>581.66666666666663</v>
      </c>
    </row>
    <row r="380" spans="1:8" x14ac:dyDescent="0.3">
      <c r="A380" t="str">
        <v>Copy</v>
      </c>
      <c r="B380" t="str">
        <v>Sand King</v>
      </c>
      <c r="C380" t="str" cm="1">
        <f t="array" ref="C380">_xlfn.XLOOKUP(1,([3]!players[name]=A380)*([3]!players[hero_name]=B380),[3]!players[lane_name])</f>
        <v>Mid</v>
      </c>
      <c r="D380">
        <f>COUNTIFS([3]!players[name],A380,[3]!players[hero_name],B380)</f>
        <v>2</v>
      </c>
      <c r="E380">
        <f>COUNTIFS([3]!players[name],A380,[3]!players[hero_name],B380, [3]!players[win], 1)</f>
        <v>1</v>
      </c>
      <c r="F380" s="1">
        <f t="shared" si="5"/>
        <v>0.5</v>
      </c>
      <c r="G380" s="2">
        <f>AVERAGEIFS([3]!players[gold_per_min], [3]!players[name],A380,[3]!players[hero_name],B380)</f>
        <v>586</v>
      </c>
      <c r="H380" s="2">
        <f>AVERAGEIFS([3]!players[xp_per_min], [3]!players[name],A380,[3]!players[hero_name],B380)</f>
        <v>772</v>
      </c>
    </row>
    <row r="381" spans="1:8" x14ac:dyDescent="0.3">
      <c r="A381" t="str">
        <v>Copy</v>
      </c>
      <c r="B381" t="str">
        <v>Void Spirit</v>
      </c>
      <c r="C381" t="str" cm="1">
        <f t="array" ref="C381">_xlfn.XLOOKUP(1,([3]!players[name]=A381)*([3]!players[hero_name]=B381),[3]!players[lane_name])</f>
        <v>Mid</v>
      </c>
      <c r="D381">
        <f>COUNTIFS([3]!players[name],A381,[3]!players[hero_name],B381)</f>
        <v>1</v>
      </c>
      <c r="E381">
        <f>COUNTIFS([3]!players[name],A381,[3]!players[hero_name],B381, [3]!players[win], 1)</f>
        <v>0</v>
      </c>
      <c r="F381" s="1">
        <f t="shared" si="5"/>
        <v>0</v>
      </c>
      <c r="G381" s="2">
        <f>AVERAGEIFS([3]!players[gold_per_min], [3]!players[name],A381,[3]!players[hero_name],B381)</f>
        <v>515</v>
      </c>
      <c r="H381" s="2">
        <f>AVERAGEIFS([3]!players[xp_per_min], [3]!players[name],A381,[3]!players[hero_name],B381)</f>
        <v>599</v>
      </c>
    </row>
    <row r="382" spans="1:8" x14ac:dyDescent="0.3">
      <c r="A382" t="str">
        <v>CoYoTÃ£o</v>
      </c>
      <c r="B382" t="str">
        <v>Shadow Demon</v>
      </c>
      <c r="C382" t="str" cm="1">
        <f t="array" ref="C382">_xlfn.XLOOKUP(1,([3]!players[name]=A382)*([3]!players[hero_name]=B382),[3]!players[lane_name])</f>
        <v>Soft Support</v>
      </c>
      <c r="D382">
        <f>COUNTIFS([3]!players[name],A382,[3]!players[hero_name],B382)</f>
        <v>2</v>
      </c>
      <c r="E382">
        <f>COUNTIFS([3]!players[name],A382,[3]!players[hero_name],B382, [3]!players[win], 1)</f>
        <v>2</v>
      </c>
      <c r="F382" s="1">
        <f t="shared" si="5"/>
        <v>1</v>
      </c>
      <c r="G382" s="2">
        <f>AVERAGEIFS([3]!players[gold_per_min], [3]!players[name],A382,[3]!players[hero_name],B382)</f>
        <v>353.5</v>
      </c>
      <c r="H382" s="2">
        <f>AVERAGEIFS([3]!players[xp_per_min], [3]!players[name],A382,[3]!players[hero_name],B382)</f>
        <v>523</v>
      </c>
    </row>
    <row r="383" spans="1:8" x14ac:dyDescent="0.3">
      <c r="A383" t="str">
        <v>CoYoTÃ£o</v>
      </c>
      <c r="B383" t="str">
        <v>Techies</v>
      </c>
      <c r="C383" t="str" cm="1">
        <f t="array" ref="C383">_xlfn.XLOOKUP(1,([3]!players[name]=A383)*([3]!players[hero_name]=B383),[3]!players[lane_name])</f>
        <v>Roam</v>
      </c>
      <c r="D383">
        <f>COUNTIFS([3]!players[name],A383,[3]!players[hero_name],B383)</f>
        <v>3</v>
      </c>
      <c r="E383">
        <f>COUNTIFS([3]!players[name],A383,[3]!players[hero_name],B383, [3]!players[win], 1)</f>
        <v>2</v>
      </c>
      <c r="F383" s="1">
        <f t="shared" si="5"/>
        <v>0.66666666666666663</v>
      </c>
      <c r="G383" s="2">
        <f>AVERAGEIFS([3]!players[gold_per_min], [3]!players[name],A383,[3]!players[hero_name],B383)</f>
        <v>399.33333333333331</v>
      </c>
      <c r="H383" s="2">
        <f>AVERAGEIFS([3]!players[xp_per_min], [3]!players[name],A383,[3]!players[hero_name],B383)</f>
        <v>508.33333333333331</v>
      </c>
    </row>
    <row r="384" spans="1:8" x14ac:dyDescent="0.3">
      <c r="A384" t="str">
        <v>CoYoTÃ£o</v>
      </c>
      <c r="B384" t="str">
        <v>Hoodwink</v>
      </c>
      <c r="C384" t="str" cm="1">
        <f t="array" ref="C384">_xlfn.XLOOKUP(1,([3]!players[name]=A384)*([3]!players[hero_name]=B384),[3]!players[lane_name])</f>
        <v>Soft Support</v>
      </c>
      <c r="D384">
        <f>COUNTIFS([3]!players[name],A384,[3]!players[hero_name],B384)</f>
        <v>6</v>
      </c>
      <c r="E384">
        <f>COUNTIFS([3]!players[name],A384,[3]!players[hero_name],B384, [3]!players[win], 1)</f>
        <v>3</v>
      </c>
      <c r="F384" s="1">
        <f t="shared" si="5"/>
        <v>0.5</v>
      </c>
      <c r="G384" s="2">
        <f>AVERAGEIFS([3]!players[gold_per_min], [3]!players[name],A384,[3]!players[hero_name],B384)</f>
        <v>314.66666666666669</v>
      </c>
      <c r="H384" s="2">
        <f>AVERAGEIFS([3]!players[xp_per_min], [3]!players[name],A384,[3]!players[hero_name],B384)</f>
        <v>409.66666666666669</v>
      </c>
    </row>
    <row r="385" spans="1:8" x14ac:dyDescent="0.3">
      <c r="A385" t="str">
        <v>CoYoTÃ£o</v>
      </c>
      <c r="B385" t="str">
        <v>Clockwerk</v>
      </c>
      <c r="C385" t="str" cm="1">
        <f t="array" ref="C385">_xlfn.XLOOKUP(1,([3]!players[name]=A385)*([3]!players[hero_name]=B385),[3]!players[lane_name])</f>
        <v>Hard Support</v>
      </c>
      <c r="D385">
        <f>COUNTIFS([3]!players[name],A385,[3]!players[hero_name],B385)</f>
        <v>2</v>
      </c>
      <c r="E385">
        <f>COUNTIFS([3]!players[name],A385,[3]!players[hero_name],B385, [3]!players[win], 1)</f>
        <v>2</v>
      </c>
      <c r="F385" s="1">
        <f t="shared" si="5"/>
        <v>1</v>
      </c>
      <c r="G385" s="2">
        <f>AVERAGEIFS([3]!players[gold_per_min], [3]!players[name],A385,[3]!players[hero_name],B385)</f>
        <v>357</v>
      </c>
      <c r="H385" s="2">
        <f>AVERAGEIFS([3]!players[xp_per_min], [3]!players[name],A385,[3]!players[hero_name],B385)</f>
        <v>596</v>
      </c>
    </row>
    <row r="386" spans="1:8" x14ac:dyDescent="0.3">
      <c r="A386" t="str">
        <v>CoYoTÃ£o</v>
      </c>
      <c r="B386" t="str">
        <v>Largo</v>
      </c>
      <c r="C386" t="str" cm="1">
        <f t="array" ref="C386">_xlfn.XLOOKUP(1,([3]!players[name]=A386)*([3]!players[hero_name]=B386),[3]!players[lane_name])</f>
        <v>Soft Support</v>
      </c>
      <c r="D386">
        <f>COUNTIFS([3]!players[name],A386,[3]!players[hero_name],B386)</f>
        <v>3</v>
      </c>
      <c r="E386">
        <f>COUNTIFS([3]!players[name],A386,[3]!players[hero_name],B386, [3]!players[win], 1)</f>
        <v>2</v>
      </c>
      <c r="F386" s="1">
        <f t="shared" si="5"/>
        <v>0.66666666666666663</v>
      </c>
      <c r="G386" s="2">
        <f>AVERAGEIFS([3]!players[gold_per_min], [3]!players[name],A386,[3]!players[hero_name],B386)</f>
        <v>332</v>
      </c>
      <c r="H386" s="2">
        <f>AVERAGEIFS([3]!players[xp_per_min], [3]!players[name],A386,[3]!players[hero_name],B386)</f>
        <v>511.66666666666669</v>
      </c>
    </row>
    <row r="387" spans="1:8" x14ac:dyDescent="0.3">
      <c r="A387" t="str">
        <v>CoYoTÃ£o</v>
      </c>
      <c r="B387" t="str">
        <v>Keeper of the Light</v>
      </c>
      <c r="C387" t="str" cm="1">
        <f t="array" ref="C387">_xlfn.XLOOKUP(1,([3]!players[name]=A387)*([3]!players[hero_name]=B387),[3]!players[lane_name])</f>
        <v>Roam</v>
      </c>
      <c r="D387">
        <f>COUNTIFS([3]!players[name],A387,[3]!players[hero_name],B387)</f>
        <v>1</v>
      </c>
      <c r="E387">
        <f>COUNTIFS([3]!players[name],A387,[3]!players[hero_name],B387, [3]!players[win], 1)</f>
        <v>1</v>
      </c>
      <c r="F387" s="1">
        <f t="shared" ref="F387:F450" si="6">E387/D387</f>
        <v>1</v>
      </c>
      <c r="G387" s="2">
        <f>AVERAGEIFS([3]!players[gold_per_min], [3]!players[name],A387,[3]!players[hero_name],B387)</f>
        <v>359</v>
      </c>
      <c r="H387" s="2">
        <f>AVERAGEIFS([3]!players[xp_per_min], [3]!players[name],A387,[3]!players[hero_name],B387)</f>
        <v>495</v>
      </c>
    </row>
    <row r="388" spans="1:8" x14ac:dyDescent="0.3">
      <c r="A388" t="str">
        <v>CoYoTÃ£o</v>
      </c>
      <c r="B388" t="str">
        <v>Ringmaster</v>
      </c>
      <c r="C388" t="str" cm="1">
        <f t="array" ref="C388">_xlfn.XLOOKUP(1,([3]!players[name]=A388)*([3]!players[hero_name]=B388),[3]!players[lane_name])</f>
        <v>Soft Support</v>
      </c>
      <c r="D388">
        <f>COUNTIFS([3]!players[name],A388,[3]!players[hero_name],B388)</f>
        <v>1</v>
      </c>
      <c r="E388">
        <f>COUNTIFS([3]!players[name],A388,[3]!players[hero_name],B388, [3]!players[win], 1)</f>
        <v>0</v>
      </c>
      <c r="F388" s="1">
        <f t="shared" si="6"/>
        <v>0</v>
      </c>
      <c r="G388" s="2">
        <f>AVERAGEIFS([3]!players[gold_per_min], [3]!players[name],A388,[3]!players[hero_name],B388)</f>
        <v>278</v>
      </c>
      <c r="H388" s="2">
        <f>AVERAGEIFS([3]!players[xp_per_min], [3]!players[name],A388,[3]!players[hero_name],B388)</f>
        <v>342</v>
      </c>
    </row>
    <row r="389" spans="1:8" x14ac:dyDescent="0.3">
      <c r="A389" t="str">
        <v>Cr1t-</v>
      </c>
      <c r="B389" t="str">
        <v>Hoodwink</v>
      </c>
      <c r="C389" t="str" cm="1">
        <f t="array" ref="C389">_xlfn.XLOOKUP(1,([3]!players[name]=A389)*([3]!players[hero_name]=B389),[3]!players[lane_name])</f>
        <v>Hard Support</v>
      </c>
      <c r="D389">
        <f>COUNTIFS([3]!players[name],A389,[3]!players[hero_name],B389)</f>
        <v>10</v>
      </c>
      <c r="E389">
        <f>COUNTIFS([3]!players[name],A389,[3]!players[hero_name],B389, [3]!players[win], 1)</f>
        <v>6</v>
      </c>
      <c r="F389" s="1">
        <f t="shared" si="6"/>
        <v>0.6</v>
      </c>
      <c r="G389" s="2">
        <f>AVERAGEIFS([3]!players[gold_per_min], [3]!players[name],A389,[3]!players[hero_name],B389)</f>
        <v>370</v>
      </c>
      <c r="H389" s="2">
        <f>AVERAGEIFS([3]!players[xp_per_min], [3]!players[name],A389,[3]!players[hero_name],B389)</f>
        <v>575</v>
      </c>
    </row>
    <row r="390" spans="1:8" x14ac:dyDescent="0.3">
      <c r="A390" t="str">
        <v>Cr1t-</v>
      </c>
      <c r="B390" t="str">
        <v>Rubick</v>
      </c>
      <c r="C390" t="str" cm="1">
        <f t="array" ref="C390">_xlfn.XLOOKUP(1,([3]!players[name]=A390)*([3]!players[hero_name]=B390),[3]!players[lane_name])</f>
        <v>Hard Support</v>
      </c>
      <c r="D390">
        <f>COUNTIFS([3]!players[name],A390,[3]!players[hero_name],B390)</f>
        <v>7</v>
      </c>
      <c r="E390">
        <f>COUNTIFS([3]!players[name],A390,[3]!players[hero_name],B390, [3]!players[win], 1)</f>
        <v>5</v>
      </c>
      <c r="F390" s="1">
        <f t="shared" si="6"/>
        <v>0.7142857142857143</v>
      </c>
      <c r="G390" s="2">
        <f>AVERAGEIFS([3]!players[gold_per_min], [3]!players[name],A390,[3]!players[hero_name],B390)</f>
        <v>383.71428571428572</v>
      </c>
      <c r="H390" s="2">
        <f>AVERAGEIFS([3]!players[xp_per_min], [3]!players[name],A390,[3]!players[hero_name],B390)</f>
        <v>609.14285714285711</v>
      </c>
    </row>
    <row r="391" spans="1:8" x14ac:dyDescent="0.3">
      <c r="A391" t="str">
        <v>Cr1t-</v>
      </c>
      <c r="B391" t="str">
        <v>Shadow Shaman</v>
      </c>
      <c r="C391" t="str" cm="1">
        <f t="array" ref="C391">_xlfn.XLOOKUP(1,([3]!players[name]=A391)*([3]!players[hero_name]=B391),[3]!players[lane_name])</f>
        <v>Hard Support</v>
      </c>
      <c r="D391">
        <f>COUNTIFS([3]!players[name],A391,[3]!players[hero_name],B391)</f>
        <v>1</v>
      </c>
      <c r="E391">
        <f>COUNTIFS([3]!players[name],A391,[3]!players[hero_name],B391, [3]!players[win], 1)</f>
        <v>1</v>
      </c>
      <c r="F391" s="1">
        <f t="shared" si="6"/>
        <v>1</v>
      </c>
      <c r="G391" s="2">
        <f>AVERAGEIFS([3]!players[gold_per_min], [3]!players[name],A391,[3]!players[hero_name],B391)</f>
        <v>323</v>
      </c>
      <c r="H391" s="2">
        <f>AVERAGEIFS([3]!players[xp_per_min], [3]!players[name],A391,[3]!players[hero_name],B391)</f>
        <v>500</v>
      </c>
    </row>
    <row r="392" spans="1:8" x14ac:dyDescent="0.3">
      <c r="A392" t="str">
        <v>Cr1t-</v>
      </c>
      <c r="B392" t="str">
        <v>Clockwerk</v>
      </c>
      <c r="C392" t="str" cm="1">
        <f t="array" ref="C392">_xlfn.XLOOKUP(1,([3]!players[name]=A392)*([3]!players[hero_name]=B392),[3]!players[lane_name])</f>
        <v>Hard Support</v>
      </c>
      <c r="D392">
        <f>COUNTIFS([3]!players[name],A392,[3]!players[hero_name],B392)</f>
        <v>2</v>
      </c>
      <c r="E392">
        <f>COUNTIFS([3]!players[name],A392,[3]!players[hero_name],B392, [3]!players[win], 1)</f>
        <v>1</v>
      </c>
      <c r="F392" s="1">
        <f t="shared" si="6"/>
        <v>0.5</v>
      </c>
      <c r="G392" s="2">
        <f>AVERAGEIFS([3]!players[gold_per_min], [3]!players[name],A392,[3]!players[hero_name],B392)</f>
        <v>310</v>
      </c>
      <c r="H392" s="2">
        <f>AVERAGEIFS([3]!players[xp_per_min], [3]!players[name],A392,[3]!players[hero_name],B392)</f>
        <v>500.5</v>
      </c>
    </row>
    <row r="393" spans="1:8" x14ac:dyDescent="0.3">
      <c r="A393" t="str">
        <v>Cr1t-</v>
      </c>
      <c r="B393" t="str">
        <v>Batrider</v>
      </c>
      <c r="C393" t="str" cm="1">
        <f t="array" ref="C393">_xlfn.XLOOKUP(1,([3]!players[name]=A393)*([3]!players[hero_name]=B393),[3]!players[lane_name])</f>
        <v>Roam</v>
      </c>
      <c r="D393">
        <f>COUNTIFS([3]!players[name],A393,[3]!players[hero_name],B393)</f>
        <v>1</v>
      </c>
      <c r="E393">
        <f>COUNTIFS([3]!players[name],A393,[3]!players[hero_name],B393, [3]!players[win], 1)</f>
        <v>0</v>
      </c>
      <c r="F393" s="1">
        <f t="shared" si="6"/>
        <v>0</v>
      </c>
      <c r="G393" s="2">
        <f>AVERAGEIFS([3]!players[gold_per_min], [3]!players[name],A393,[3]!players[hero_name],B393)</f>
        <v>253</v>
      </c>
      <c r="H393" s="2">
        <f>AVERAGEIFS([3]!players[xp_per_min], [3]!players[name],A393,[3]!players[hero_name],B393)</f>
        <v>324</v>
      </c>
    </row>
    <row r="394" spans="1:8" x14ac:dyDescent="0.3">
      <c r="A394" t="str">
        <v>CreepSlayer</v>
      </c>
      <c r="B394" t="str">
        <v>Bristleback</v>
      </c>
      <c r="C394" t="str" cm="1">
        <f t="array" ref="C394">_xlfn.XLOOKUP(1,([3]!players[name]=A394)*([3]!players[hero_name]=B394),[3]!players[lane_name])</f>
        <v>Off Lane</v>
      </c>
      <c r="D394">
        <f>COUNTIFS([3]!players[name],A394,[3]!players[hero_name],B394)</f>
        <v>10</v>
      </c>
      <c r="E394">
        <f>COUNTIFS([3]!players[name],A394,[3]!players[hero_name],B394, [3]!players[win], 1)</f>
        <v>5</v>
      </c>
      <c r="F394" s="1">
        <f t="shared" si="6"/>
        <v>0.5</v>
      </c>
      <c r="G394" s="2">
        <f>AVERAGEIFS([3]!players[gold_per_min], [3]!players[name],A394,[3]!players[hero_name],B394)</f>
        <v>635.29999999999995</v>
      </c>
      <c r="H394" s="2">
        <f>AVERAGEIFS([3]!players[xp_per_min], [3]!players[name],A394,[3]!players[hero_name],B394)</f>
        <v>802.5</v>
      </c>
    </row>
    <row r="395" spans="1:8" x14ac:dyDescent="0.3">
      <c r="A395" t="str">
        <v>CreepSlayer</v>
      </c>
      <c r="B395" t="str">
        <v>Centaur Warrunner</v>
      </c>
      <c r="C395" t="str" cm="1">
        <f t="array" ref="C395">_xlfn.XLOOKUP(1,([3]!players[name]=A395)*([3]!players[hero_name]=B395),[3]!players[lane_name])</f>
        <v>Off Lane</v>
      </c>
      <c r="D395">
        <f>COUNTIFS([3]!players[name],A395,[3]!players[hero_name],B395)</f>
        <v>5</v>
      </c>
      <c r="E395">
        <f>COUNTIFS([3]!players[name],A395,[3]!players[hero_name],B395, [3]!players[win], 1)</f>
        <v>2</v>
      </c>
      <c r="F395" s="1">
        <f t="shared" si="6"/>
        <v>0.4</v>
      </c>
      <c r="G395" s="2">
        <f>AVERAGEIFS([3]!players[gold_per_min], [3]!players[name],A395,[3]!players[hero_name],B395)</f>
        <v>526</v>
      </c>
      <c r="H395" s="2">
        <f>AVERAGEIFS([3]!players[xp_per_min], [3]!players[name],A395,[3]!players[hero_name],B395)</f>
        <v>710.4</v>
      </c>
    </row>
    <row r="396" spans="1:8" x14ac:dyDescent="0.3">
      <c r="A396" t="str">
        <v>CreepSlayer</v>
      </c>
      <c r="B396" t="str">
        <v>Windranger</v>
      </c>
      <c r="C396" t="str" cm="1">
        <f t="array" ref="C396">_xlfn.XLOOKUP(1,([3]!players[name]=A396)*([3]!players[hero_name]=B396),[3]!players[lane_name])</f>
        <v>Off Lane</v>
      </c>
      <c r="D396">
        <f>COUNTIFS([3]!players[name],A396,[3]!players[hero_name],B396)</f>
        <v>2</v>
      </c>
      <c r="E396">
        <f>COUNTIFS([3]!players[name],A396,[3]!players[hero_name],B396, [3]!players[win], 1)</f>
        <v>0</v>
      </c>
      <c r="F396" s="1">
        <f t="shared" si="6"/>
        <v>0</v>
      </c>
      <c r="G396" s="2">
        <f>AVERAGEIFS([3]!players[gold_per_min], [3]!players[name],A396,[3]!players[hero_name],B396)</f>
        <v>477</v>
      </c>
      <c r="H396" s="2">
        <f>AVERAGEIFS([3]!players[xp_per_min], [3]!players[name],A396,[3]!players[hero_name],B396)</f>
        <v>604.5</v>
      </c>
    </row>
    <row r="397" spans="1:8" x14ac:dyDescent="0.3">
      <c r="A397" t="str">
        <v>CreepSlayer</v>
      </c>
      <c r="B397" t="str">
        <v>Timbersaw</v>
      </c>
      <c r="C397" t="str" cm="1">
        <f t="array" ref="C397">_xlfn.XLOOKUP(1,([3]!players[name]=A397)*([3]!players[hero_name]=B397),[3]!players[lane_name])</f>
        <v>Off Lane</v>
      </c>
      <c r="D397">
        <f>COUNTIFS([3]!players[name],A397,[3]!players[hero_name],B397)</f>
        <v>3</v>
      </c>
      <c r="E397">
        <f>COUNTIFS([3]!players[name],A397,[3]!players[hero_name],B397, [3]!players[win], 1)</f>
        <v>3</v>
      </c>
      <c r="F397" s="1">
        <f t="shared" si="6"/>
        <v>1</v>
      </c>
      <c r="G397" s="2">
        <f>AVERAGEIFS([3]!players[gold_per_min], [3]!players[name],A397,[3]!players[hero_name],B397)</f>
        <v>724.66666666666663</v>
      </c>
      <c r="H397" s="2">
        <f>AVERAGEIFS([3]!players[xp_per_min], [3]!players[name],A397,[3]!players[hero_name],B397)</f>
        <v>960.66666666666663</v>
      </c>
    </row>
    <row r="398" spans="1:8" x14ac:dyDescent="0.3">
      <c r="A398" t="str">
        <v>CreepSlayer</v>
      </c>
      <c r="B398" t="str">
        <v>Tidehunter</v>
      </c>
      <c r="C398" t="str" cm="1">
        <f t="array" ref="C398">_xlfn.XLOOKUP(1,([3]!players[name]=A398)*([3]!players[hero_name]=B398),[3]!players[lane_name])</f>
        <v>Off Lane</v>
      </c>
      <c r="D398">
        <f>COUNTIFS([3]!players[name],A398,[3]!players[hero_name],B398)</f>
        <v>10</v>
      </c>
      <c r="E398">
        <f>COUNTIFS([3]!players[name],A398,[3]!players[hero_name],B398, [3]!players[win], 1)</f>
        <v>4</v>
      </c>
      <c r="F398" s="1">
        <f t="shared" si="6"/>
        <v>0.4</v>
      </c>
      <c r="G398" s="2">
        <f>AVERAGEIFS([3]!players[gold_per_min], [3]!players[name],A398,[3]!players[hero_name],B398)</f>
        <v>563.9</v>
      </c>
      <c r="H398" s="2">
        <f>AVERAGEIFS([3]!players[xp_per_min], [3]!players[name],A398,[3]!players[hero_name],B398)</f>
        <v>739.4</v>
      </c>
    </row>
    <row r="399" spans="1:8" x14ac:dyDescent="0.3">
      <c r="A399" t="str">
        <v>CreepSlayer</v>
      </c>
      <c r="B399" t="str">
        <v>Undying</v>
      </c>
      <c r="C399" t="str" cm="1">
        <f t="array" ref="C399">_xlfn.XLOOKUP(1,([3]!players[name]=A399)*([3]!players[hero_name]=B399),[3]!players[lane_name])</f>
        <v>Off Lane</v>
      </c>
      <c r="D399">
        <f>COUNTIFS([3]!players[name],A399,[3]!players[hero_name],B399)</f>
        <v>2</v>
      </c>
      <c r="E399">
        <f>COUNTIFS([3]!players[name],A399,[3]!players[hero_name],B399, [3]!players[win], 1)</f>
        <v>1</v>
      </c>
      <c r="F399" s="1">
        <f t="shared" si="6"/>
        <v>0.5</v>
      </c>
      <c r="G399" s="2">
        <f>AVERAGEIFS([3]!players[gold_per_min], [3]!players[name],A399,[3]!players[hero_name],B399)</f>
        <v>605</v>
      </c>
      <c r="H399" s="2">
        <f>AVERAGEIFS([3]!players[xp_per_min], [3]!players[name],A399,[3]!players[hero_name],B399)</f>
        <v>915.5</v>
      </c>
    </row>
    <row r="400" spans="1:8" x14ac:dyDescent="0.3">
      <c r="A400" t="str">
        <v>CreepSlayer</v>
      </c>
      <c r="B400" t="str">
        <v>Wraith King</v>
      </c>
      <c r="C400" t="str" cm="1">
        <f t="array" ref="C400">_xlfn.XLOOKUP(1,([3]!players[name]=A400)*([3]!players[hero_name]=B400),[3]!players[lane_name])</f>
        <v>Off Lane</v>
      </c>
      <c r="D400">
        <f>COUNTIFS([3]!players[name],A400,[3]!players[hero_name],B400)</f>
        <v>2</v>
      </c>
      <c r="E400">
        <f>COUNTIFS([3]!players[name],A400,[3]!players[hero_name],B400, [3]!players[win], 1)</f>
        <v>1</v>
      </c>
      <c r="F400" s="1">
        <f t="shared" si="6"/>
        <v>0.5</v>
      </c>
      <c r="G400" s="2">
        <f>AVERAGEIFS([3]!players[gold_per_min], [3]!players[name],A400,[3]!players[hero_name],B400)</f>
        <v>628</v>
      </c>
      <c r="H400" s="2">
        <f>AVERAGEIFS([3]!players[xp_per_min], [3]!players[name],A400,[3]!players[hero_name],B400)</f>
        <v>756</v>
      </c>
    </row>
    <row r="401" spans="1:8" x14ac:dyDescent="0.3">
      <c r="A401" t="str">
        <v>CreepSlayer</v>
      </c>
      <c r="B401" t="str">
        <v>Underlord</v>
      </c>
      <c r="C401" t="str" cm="1">
        <f t="array" ref="C401">_xlfn.XLOOKUP(1,([3]!players[name]=A401)*([3]!players[hero_name]=B401),[3]!players[lane_name])</f>
        <v>Off Lane</v>
      </c>
      <c r="D401">
        <f>COUNTIFS([3]!players[name],A401,[3]!players[hero_name],B401)</f>
        <v>2</v>
      </c>
      <c r="E401">
        <f>COUNTIFS([3]!players[name],A401,[3]!players[hero_name],B401, [3]!players[win], 1)</f>
        <v>0</v>
      </c>
      <c r="F401" s="1">
        <f t="shared" si="6"/>
        <v>0</v>
      </c>
      <c r="G401" s="2">
        <f>AVERAGEIFS([3]!players[gold_per_min], [3]!players[name],A401,[3]!players[hero_name],B401)</f>
        <v>487.5</v>
      </c>
      <c r="H401" s="2">
        <f>AVERAGEIFS([3]!players[xp_per_min], [3]!players[name],A401,[3]!players[hero_name],B401)</f>
        <v>528.5</v>
      </c>
    </row>
    <row r="402" spans="1:8" x14ac:dyDescent="0.3">
      <c r="A402" t="str">
        <v>CreepSlayer</v>
      </c>
      <c r="B402" t="str">
        <v>Faceless Void</v>
      </c>
      <c r="C402" t="str" cm="1">
        <f t="array" ref="C402">_xlfn.XLOOKUP(1,([3]!players[name]=A402)*([3]!players[hero_name]=B402),[3]!players[lane_name])</f>
        <v>Off Lane</v>
      </c>
      <c r="D402">
        <f>COUNTIFS([3]!players[name],A402,[3]!players[hero_name],B402)</f>
        <v>2</v>
      </c>
      <c r="E402">
        <f>COUNTIFS([3]!players[name],A402,[3]!players[hero_name],B402, [3]!players[win], 1)</f>
        <v>1</v>
      </c>
      <c r="F402" s="1">
        <f t="shared" si="6"/>
        <v>0.5</v>
      </c>
      <c r="G402" s="2">
        <f>AVERAGEIFS([3]!players[gold_per_min], [3]!players[name],A402,[3]!players[hero_name],B402)</f>
        <v>508.5</v>
      </c>
      <c r="H402" s="2">
        <f>AVERAGEIFS([3]!players[xp_per_min], [3]!players[name],A402,[3]!players[hero_name],B402)</f>
        <v>667</v>
      </c>
    </row>
    <row r="403" spans="1:8" x14ac:dyDescent="0.3">
      <c r="A403" t="str">
        <v>CreepSlayer</v>
      </c>
      <c r="B403" t="str">
        <v>Sand King</v>
      </c>
      <c r="C403" t="str" cm="1">
        <f t="array" ref="C403">_xlfn.XLOOKUP(1,([3]!players[name]=A403)*([3]!players[hero_name]=B403),[3]!players[lane_name])</f>
        <v>Off Lane</v>
      </c>
      <c r="D403">
        <f>COUNTIFS([3]!players[name],A403,[3]!players[hero_name],B403)</f>
        <v>3</v>
      </c>
      <c r="E403">
        <f>COUNTIFS([3]!players[name],A403,[3]!players[hero_name],B403, [3]!players[win], 1)</f>
        <v>2</v>
      </c>
      <c r="F403" s="1">
        <f t="shared" si="6"/>
        <v>0.66666666666666663</v>
      </c>
      <c r="G403" s="2">
        <f>AVERAGEIFS([3]!players[gold_per_min], [3]!players[name],A403,[3]!players[hero_name],B403)</f>
        <v>571</v>
      </c>
      <c r="H403" s="2">
        <f>AVERAGEIFS([3]!players[xp_per_min], [3]!players[name],A403,[3]!players[hero_name],B403)</f>
        <v>787.66666666666663</v>
      </c>
    </row>
    <row r="404" spans="1:8" x14ac:dyDescent="0.3">
      <c r="A404" t="str">
        <v>CreepSlayer</v>
      </c>
      <c r="B404" t="str">
        <v>Legion Commander</v>
      </c>
      <c r="C404" t="str" cm="1">
        <f t="array" ref="C404">_xlfn.XLOOKUP(1,([3]!players[name]=A404)*([3]!players[hero_name]=B404),[3]!players[lane_name])</f>
        <v>Off Lane</v>
      </c>
      <c r="D404">
        <f>COUNTIFS([3]!players[name],A404,[3]!players[hero_name],B404)</f>
        <v>3</v>
      </c>
      <c r="E404">
        <f>COUNTIFS([3]!players[name],A404,[3]!players[hero_name],B404, [3]!players[win], 1)</f>
        <v>1</v>
      </c>
      <c r="F404" s="1">
        <f t="shared" si="6"/>
        <v>0.33333333333333331</v>
      </c>
      <c r="G404" s="2">
        <f>AVERAGEIFS([3]!players[gold_per_min], [3]!players[name],A404,[3]!players[hero_name],B404)</f>
        <v>532</v>
      </c>
      <c r="H404" s="2">
        <f>AVERAGEIFS([3]!players[xp_per_min], [3]!players[name],A404,[3]!players[hero_name],B404)</f>
        <v>777</v>
      </c>
    </row>
    <row r="405" spans="1:8" x14ac:dyDescent="0.3">
      <c r="A405" t="str">
        <v>CreepSlayer</v>
      </c>
      <c r="B405" t="str">
        <v>Mars</v>
      </c>
      <c r="C405" t="str" cm="1">
        <f t="array" ref="C405">_xlfn.XLOOKUP(1,([3]!players[name]=A405)*([3]!players[hero_name]=B405),[3]!players[lane_name])</f>
        <v>Off Lane</v>
      </c>
      <c r="D405">
        <f>COUNTIFS([3]!players[name],A405,[3]!players[hero_name],B405)</f>
        <v>14</v>
      </c>
      <c r="E405">
        <f>COUNTIFS([3]!players[name],A405,[3]!players[hero_name],B405, [3]!players[win], 1)</f>
        <v>5</v>
      </c>
      <c r="F405" s="1">
        <f t="shared" si="6"/>
        <v>0.35714285714285715</v>
      </c>
      <c r="G405" s="2">
        <f>AVERAGEIFS([3]!players[gold_per_min], [3]!players[name],A405,[3]!players[hero_name],B405)</f>
        <v>557.78571428571433</v>
      </c>
      <c r="H405" s="2">
        <f>AVERAGEIFS([3]!players[xp_per_min], [3]!players[name],A405,[3]!players[hero_name],B405)</f>
        <v>764.64285714285711</v>
      </c>
    </row>
    <row r="406" spans="1:8" x14ac:dyDescent="0.3">
      <c r="A406" t="str">
        <v>CreepSlayer</v>
      </c>
      <c r="B406" t="str">
        <v>Pudge</v>
      </c>
      <c r="C406" t="str" cm="1">
        <f t="array" ref="C406">_xlfn.XLOOKUP(1,([3]!players[name]=A406)*([3]!players[hero_name]=B406),[3]!players[lane_name])</f>
        <v>Off Lane</v>
      </c>
      <c r="D406">
        <f>COUNTIFS([3]!players[name],A406,[3]!players[hero_name],B406)</f>
        <v>1</v>
      </c>
      <c r="E406">
        <f>COUNTIFS([3]!players[name],A406,[3]!players[hero_name],B406, [3]!players[win], 1)</f>
        <v>1</v>
      </c>
      <c r="F406" s="1">
        <f t="shared" si="6"/>
        <v>1</v>
      </c>
      <c r="G406" s="2">
        <f>AVERAGEIFS([3]!players[gold_per_min], [3]!players[name],A406,[3]!players[hero_name],B406)</f>
        <v>576</v>
      </c>
      <c r="H406" s="2">
        <f>AVERAGEIFS([3]!players[xp_per_min], [3]!players[name],A406,[3]!players[hero_name],B406)</f>
        <v>722</v>
      </c>
    </row>
    <row r="407" spans="1:8" x14ac:dyDescent="0.3">
      <c r="A407" t="str">
        <v>CreepSlayer</v>
      </c>
      <c r="B407" t="str">
        <v>Axe</v>
      </c>
      <c r="C407" t="str" cm="1">
        <f t="array" ref="C407">_xlfn.XLOOKUP(1,([3]!players[name]=A407)*([3]!players[hero_name]=B407),[3]!players[lane_name])</f>
        <v>Off Lane</v>
      </c>
      <c r="D407">
        <f>COUNTIFS([3]!players[name],A407,[3]!players[hero_name],B407)</f>
        <v>15</v>
      </c>
      <c r="E407">
        <f>COUNTIFS([3]!players[name],A407,[3]!players[hero_name],B407, [3]!players[win], 1)</f>
        <v>8</v>
      </c>
      <c r="F407" s="1">
        <f t="shared" si="6"/>
        <v>0.53333333333333333</v>
      </c>
      <c r="G407" s="2">
        <f>AVERAGEIFS([3]!players[gold_per_min], [3]!players[name],A407,[3]!players[hero_name],B407)</f>
        <v>596.93333333333328</v>
      </c>
      <c r="H407" s="2">
        <f>AVERAGEIFS([3]!players[xp_per_min], [3]!players[name],A407,[3]!players[hero_name],B407)</f>
        <v>852.06666666666672</v>
      </c>
    </row>
    <row r="408" spans="1:8" x14ac:dyDescent="0.3">
      <c r="A408" t="str">
        <v>CreepSlayer</v>
      </c>
      <c r="B408" t="str">
        <v>Doom</v>
      </c>
      <c r="C408" t="str" cm="1">
        <f t="array" ref="C408">_xlfn.XLOOKUP(1,([3]!players[name]=A408)*([3]!players[hero_name]=B408),[3]!players[lane_name])</f>
        <v>Off Lane</v>
      </c>
      <c r="D408">
        <f>COUNTIFS([3]!players[name],A408,[3]!players[hero_name],B408)</f>
        <v>5</v>
      </c>
      <c r="E408">
        <f>COUNTIFS([3]!players[name],A408,[3]!players[hero_name],B408, [3]!players[win], 1)</f>
        <v>4</v>
      </c>
      <c r="F408" s="1">
        <f t="shared" si="6"/>
        <v>0.8</v>
      </c>
      <c r="G408" s="2">
        <f>AVERAGEIFS([3]!players[gold_per_min], [3]!players[name],A408,[3]!players[hero_name],B408)</f>
        <v>652.20000000000005</v>
      </c>
      <c r="H408" s="2">
        <f>AVERAGEIFS([3]!players[xp_per_min], [3]!players[name],A408,[3]!players[hero_name],B408)</f>
        <v>846</v>
      </c>
    </row>
    <row r="409" spans="1:8" x14ac:dyDescent="0.3">
      <c r="A409" t="str">
        <v>CreepSlayer</v>
      </c>
      <c r="B409" t="str">
        <v>Pangolier</v>
      </c>
      <c r="C409" t="str" cm="1">
        <f t="array" ref="C409">_xlfn.XLOOKUP(1,([3]!players[name]=A409)*([3]!players[hero_name]=B409),[3]!players[lane_name])</f>
        <v>Off Lane</v>
      </c>
      <c r="D409">
        <f>COUNTIFS([3]!players[name],A409,[3]!players[hero_name],B409)</f>
        <v>4</v>
      </c>
      <c r="E409">
        <f>COUNTIFS([3]!players[name],A409,[3]!players[hero_name],B409, [3]!players[win], 1)</f>
        <v>3</v>
      </c>
      <c r="F409" s="1">
        <f t="shared" si="6"/>
        <v>0.75</v>
      </c>
      <c r="G409" s="2">
        <f>AVERAGEIFS([3]!players[gold_per_min], [3]!players[name],A409,[3]!players[hero_name],B409)</f>
        <v>621.75</v>
      </c>
      <c r="H409" s="2">
        <f>AVERAGEIFS([3]!players[xp_per_min], [3]!players[name],A409,[3]!players[hero_name],B409)</f>
        <v>810.5</v>
      </c>
    </row>
    <row r="410" spans="1:8" x14ac:dyDescent="0.3">
      <c r="A410" t="str">
        <v>CreepSlayer</v>
      </c>
      <c r="B410" t="str">
        <v>Slardar</v>
      </c>
      <c r="C410" t="str" cm="1">
        <f t="array" ref="C410">_xlfn.XLOOKUP(1,([3]!players[name]=A410)*([3]!players[hero_name]=B410),[3]!players[lane_name])</f>
        <v>Off Lane</v>
      </c>
      <c r="D410">
        <f>COUNTIFS([3]!players[name],A410,[3]!players[hero_name],B410)</f>
        <v>4</v>
      </c>
      <c r="E410">
        <f>COUNTIFS([3]!players[name],A410,[3]!players[hero_name],B410, [3]!players[win], 1)</f>
        <v>2</v>
      </c>
      <c r="F410" s="1">
        <f t="shared" si="6"/>
        <v>0.5</v>
      </c>
      <c r="G410" s="2">
        <f>AVERAGEIFS([3]!players[gold_per_min], [3]!players[name],A410,[3]!players[hero_name],B410)</f>
        <v>550.75</v>
      </c>
      <c r="H410" s="2">
        <f>AVERAGEIFS([3]!players[xp_per_min], [3]!players[name],A410,[3]!players[hero_name],B410)</f>
        <v>809.5</v>
      </c>
    </row>
    <row r="411" spans="1:8" x14ac:dyDescent="0.3">
      <c r="A411" t="str">
        <v>CreepSlayer</v>
      </c>
      <c r="B411" t="str">
        <v>Abaddon</v>
      </c>
      <c r="C411" t="str" cm="1">
        <f t="array" ref="C411">_xlfn.XLOOKUP(1,([3]!players[name]=A411)*([3]!players[hero_name]=B411),[3]!players[lane_name])</f>
        <v>Off Lane</v>
      </c>
      <c r="D411">
        <f>COUNTIFS([3]!players[name],A411,[3]!players[hero_name],B411)</f>
        <v>1</v>
      </c>
      <c r="E411">
        <f>COUNTIFS([3]!players[name],A411,[3]!players[hero_name],B411, [3]!players[win], 1)</f>
        <v>1</v>
      </c>
      <c r="F411" s="1">
        <f t="shared" si="6"/>
        <v>1</v>
      </c>
      <c r="G411" s="2">
        <f>AVERAGEIFS([3]!players[gold_per_min], [3]!players[name],A411,[3]!players[hero_name],B411)</f>
        <v>617</v>
      </c>
      <c r="H411" s="2">
        <f>AVERAGEIFS([3]!players[xp_per_min], [3]!players[name],A411,[3]!players[hero_name],B411)</f>
        <v>864</v>
      </c>
    </row>
    <row r="412" spans="1:8" x14ac:dyDescent="0.3">
      <c r="A412" t="str">
        <v>CreepSlayer</v>
      </c>
      <c r="B412" t="str">
        <v>Dawnbreaker</v>
      </c>
      <c r="C412" t="str" cm="1">
        <f t="array" ref="C412">_xlfn.XLOOKUP(1,([3]!players[name]=A412)*([3]!players[hero_name]=B412),[3]!players[lane_name])</f>
        <v>Off Lane</v>
      </c>
      <c r="D412">
        <f>COUNTIFS([3]!players[name],A412,[3]!players[hero_name],B412)</f>
        <v>4</v>
      </c>
      <c r="E412">
        <f>COUNTIFS([3]!players[name],A412,[3]!players[hero_name],B412, [3]!players[win], 1)</f>
        <v>2</v>
      </c>
      <c r="F412" s="1">
        <f t="shared" si="6"/>
        <v>0.5</v>
      </c>
      <c r="G412" s="2">
        <f>AVERAGEIFS([3]!players[gold_per_min], [3]!players[name],A412,[3]!players[hero_name],B412)</f>
        <v>543</v>
      </c>
      <c r="H412" s="2">
        <f>AVERAGEIFS([3]!players[xp_per_min], [3]!players[name],A412,[3]!players[hero_name],B412)</f>
        <v>780.5</v>
      </c>
    </row>
    <row r="413" spans="1:8" x14ac:dyDescent="0.3">
      <c r="A413" t="str">
        <v>CreepSlayer</v>
      </c>
      <c r="B413" t="str">
        <v>Omniknight</v>
      </c>
      <c r="C413" t="str" cm="1">
        <f t="array" ref="C413">_xlfn.XLOOKUP(1,([3]!players[name]=A413)*([3]!players[hero_name]=B413),[3]!players[lane_name])</f>
        <v>Off Lane</v>
      </c>
      <c r="D413">
        <f>COUNTIFS([3]!players[name],A413,[3]!players[hero_name],B413)</f>
        <v>2</v>
      </c>
      <c r="E413">
        <f>COUNTIFS([3]!players[name],A413,[3]!players[hero_name],B413, [3]!players[win], 1)</f>
        <v>1</v>
      </c>
      <c r="F413" s="1">
        <f t="shared" si="6"/>
        <v>0.5</v>
      </c>
      <c r="G413" s="2">
        <f>AVERAGEIFS([3]!players[gold_per_min], [3]!players[name],A413,[3]!players[hero_name],B413)</f>
        <v>428</v>
      </c>
      <c r="H413" s="2">
        <f>AVERAGEIFS([3]!players[xp_per_min], [3]!players[name],A413,[3]!players[hero_name],B413)</f>
        <v>524.5</v>
      </c>
    </row>
    <row r="414" spans="1:8" x14ac:dyDescent="0.3">
      <c r="A414" t="str">
        <v>CreepSlayer</v>
      </c>
      <c r="B414" t="str">
        <v>Brewmaster</v>
      </c>
      <c r="C414" t="str" cm="1">
        <f t="array" ref="C414">_xlfn.XLOOKUP(1,([3]!players[name]=A414)*([3]!players[hero_name]=B414),[3]!players[lane_name])</f>
        <v>Off Lane</v>
      </c>
      <c r="D414">
        <f>COUNTIFS([3]!players[name],A414,[3]!players[hero_name],B414)</f>
        <v>3</v>
      </c>
      <c r="E414">
        <f>COUNTIFS([3]!players[name],A414,[3]!players[hero_name],B414, [3]!players[win], 1)</f>
        <v>3</v>
      </c>
      <c r="F414" s="1">
        <f t="shared" si="6"/>
        <v>1</v>
      </c>
      <c r="G414" s="2">
        <f>AVERAGEIFS([3]!players[gold_per_min], [3]!players[name],A414,[3]!players[hero_name],B414)</f>
        <v>656.33333333333337</v>
      </c>
      <c r="H414" s="2">
        <f>AVERAGEIFS([3]!players[xp_per_min], [3]!players[name],A414,[3]!players[hero_name],B414)</f>
        <v>883</v>
      </c>
    </row>
    <row r="415" spans="1:8" x14ac:dyDescent="0.3">
      <c r="A415" t="str">
        <v>CreepSlayer</v>
      </c>
      <c r="B415" t="str">
        <v>Anti-Mage</v>
      </c>
      <c r="C415" t="str" cm="1">
        <f t="array" ref="C415">_xlfn.XLOOKUP(1,([3]!players[name]=A415)*([3]!players[hero_name]=B415),[3]!players[lane_name])</f>
        <v>Off Lane</v>
      </c>
      <c r="D415">
        <f>COUNTIFS([3]!players[name],A415,[3]!players[hero_name],B415)</f>
        <v>1</v>
      </c>
      <c r="E415">
        <f>COUNTIFS([3]!players[name],A415,[3]!players[hero_name],B415, [3]!players[win], 1)</f>
        <v>1</v>
      </c>
      <c r="F415" s="1">
        <f t="shared" si="6"/>
        <v>1</v>
      </c>
      <c r="G415" s="2">
        <f>AVERAGEIFS([3]!players[gold_per_min], [3]!players[name],A415,[3]!players[hero_name],B415)</f>
        <v>747</v>
      </c>
      <c r="H415" s="2">
        <f>AVERAGEIFS([3]!players[xp_per_min], [3]!players[name],A415,[3]!players[hero_name],B415)</f>
        <v>1228</v>
      </c>
    </row>
    <row r="416" spans="1:8" x14ac:dyDescent="0.3">
      <c r="A416" t="str">
        <v>CreepSlayer</v>
      </c>
      <c r="B416" t="str">
        <v>Kunkka</v>
      </c>
      <c r="C416" t="str" cm="1">
        <f t="array" ref="C416">_xlfn.XLOOKUP(1,([3]!players[name]=A416)*([3]!players[hero_name]=B416),[3]!players[lane_name])</f>
        <v>Off Lane</v>
      </c>
      <c r="D416">
        <f>COUNTIFS([3]!players[name],A416,[3]!players[hero_name],B416)</f>
        <v>4</v>
      </c>
      <c r="E416">
        <f>COUNTIFS([3]!players[name],A416,[3]!players[hero_name],B416, [3]!players[win], 1)</f>
        <v>4</v>
      </c>
      <c r="F416" s="1">
        <f t="shared" si="6"/>
        <v>1</v>
      </c>
      <c r="G416" s="2">
        <f>AVERAGEIFS([3]!players[gold_per_min], [3]!players[name],A416,[3]!players[hero_name],B416)</f>
        <v>777.25</v>
      </c>
      <c r="H416" s="2">
        <f>AVERAGEIFS([3]!players[xp_per_min], [3]!players[name],A416,[3]!players[hero_name],B416)</f>
        <v>1254.25</v>
      </c>
    </row>
    <row r="417" spans="1:8" x14ac:dyDescent="0.3">
      <c r="A417" t="str">
        <v>CreepSlayer</v>
      </c>
      <c r="B417" t="str">
        <v>Snapfire</v>
      </c>
      <c r="C417" t="str" cm="1">
        <f t="array" ref="C417">_xlfn.XLOOKUP(1,([3]!players[name]=A417)*([3]!players[hero_name]=B417),[3]!players[lane_name])</f>
        <v>Off Lane</v>
      </c>
      <c r="D417">
        <f>COUNTIFS([3]!players[name],A417,[3]!players[hero_name],B417)</f>
        <v>1</v>
      </c>
      <c r="E417">
        <f>COUNTIFS([3]!players[name],A417,[3]!players[hero_name],B417, [3]!players[win], 1)</f>
        <v>0</v>
      </c>
      <c r="F417" s="1">
        <f t="shared" si="6"/>
        <v>0</v>
      </c>
      <c r="G417" s="2">
        <f>AVERAGEIFS([3]!players[gold_per_min], [3]!players[name],A417,[3]!players[hero_name],B417)</f>
        <v>672</v>
      </c>
      <c r="H417" s="2">
        <f>AVERAGEIFS([3]!players[xp_per_min], [3]!players[name],A417,[3]!players[hero_name],B417)</f>
        <v>921</v>
      </c>
    </row>
    <row r="418" spans="1:8" x14ac:dyDescent="0.3">
      <c r="A418" t="str">
        <v>CreepSlayer</v>
      </c>
      <c r="B418" t="str">
        <v>Earthshaker</v>
      </c>
      <c r="C418" t="str" cm="1">
        <f t="array" ref="C418">_xlfn.XLOOKUP(1,([3]!players[name]=A418)*([3]!players[hero_name]=B418),[3]!players[lane_name])</f>
        <v>Off Lane</v>
      </c>
      <c r="D418">
        <f>COUNTIFS([3]!players[name],A418,[3]!players[hero_name],B418)</f>
        <v>1</v>
      </c>
      <c r="E418">
        <f>COUNTIFS([3]!players[name],A418,[3]!players[hero_name],B418, [3]!players[win], 1)</f>
        <v>1</v>
      </c>
      <c r="F418" s="1">
        <f t="shared" si="6"/>
        <v>1</v>
      </c>
      <c r="G418" s="2">
        <f>AVERAGEIFS([3]!players[gold_per_min], [3]!players[name],A418,[3]!players[hero_name],B418)</f>
        <v>801</v>
      </c>
      <c r="H418" s="2">
        <f>AVERAGEIFS([3]!players[xp_per_min], [3]!players[name],A418,[3]!players[hero_name],B418)</f>
        <v>1340</v>
      </c>
    </row>
    <row r="419" spans="1:8" x14ac:dyDescent="0.3">
      <c r="A419" t="str">
        <v>CreepSlayer</v>
      </c>
      <c r="B419" t="str">
        <v>Nature's Prophet</v>
      </c>
      <c r="C419" t="str" cm="1">
        <f t="array" ref="C419">_xlfn.XLOOKUP(1,([3]!players[name]=A419)*([3]!players[hero_name]=B419),[3]!players[lane_name])</f>
        <v>Off Lane</v>
      </c>
      <c r="D419">
        <f>COUNTIFS([3]!players[name],A419,[3]!players[hero_name],B419)</f>
        <v>1</v>
      </c>
      <c r="E419">
        <f>COUNTIFS([3]!players[name],A419,[3]!players[hero_name],B419, [3]!players[win], 1)</f>
        <v>0</v>
      </c>
      <c r="F419" s="1">
        <f t="shared" si="6"/>
        <v>0</v>
      </c>
      <c r="G419" s="2">
        <f>AVERAGEIFS([3]!players[gold_per_min], [3]!players[name],A419,[3]!players[hero_name],B419)</f>
        <v>378</v>
      </c>
      <c r="H419" s="2">
        <f>AVERAGEIFS([3]!players[xp_per_min], [3]!players[name],A419,[3]!players[hero_name],B419)</f>
        <v>327</v>
      </c>
    </row>
    <row r="420" spans="1:8" x14ac:dyDescent="0.3">
      <c r="A420" t="str">
        <v>CreepSlayer</v>
      </c>
      <c r="B420" t="str">
        <v>Spirit Breaker</v>
      </c>
      <c r="C420" t="str" cm="1">
        <f t="array" ref="C420">_xlfn.XLOOKUP(1,([3]!players[name]=A420)*([3]!players[hero_name]=B420),[3]!players[lane_name])</f>
        <v>Off Lane</v>
      </c>
      <c r="D420">
        <f>COUNTIFS([3]!players[name],A420,[3]!players[hero_name],B420)</f>
        <v>3</v>
      </c>
      <c r="E420">
        <f>COUNTIFS([3]!players[name],A420,[3]!players[hero_name],B420, [3]!players[win], 1)</f>
        <v>1</v>
      </c>
      <c r="F420" s="1">
        <f t="shared" si="6"/>
        <v>0.33333333333333331</v>
      </c>
      <c r="G420" s="2">
        <f>AVERAGEIFS([3]!players[gold_per_min], [3]!players[name],A420,[3]!players[hero_name],B420)</f>
        <v>516.66666666666663</v>
      </c>
      <c r="H420" s="2">
        <f>AVERAGEIFS([3]!players[xp_per_min], [3]!players[name],A420,[3]!players[hero_name],B420)</f>
        <v>674</v>
      </c>
    </row>
    <row r="421" spans="1:8" x14ac:dyDescent="0.3">
      <c r="A421" t="str">
        <v>CreepSlayer</v>
      </c>
      <c r="B421" t="str">
        <v>Dragon Knight</v>
      </c>
      <c r="C421" t="str" cm="1">
        <f t="array" ref="C421">_xlfn.XLOOKUP(1,([3]!players[name]=A421)*([3]!players[hero_name]=B421),[3]!players[lane_name])</f>
        <v>Off Lane</v>
      </c>
      <c r="D421">
        <f>COUNTIFS([3]!players[name],A421,[3]!players[hero_name],B421)</f>
        <v>1</v>
      </c>
      <c r="E421">
        <f>COUNTIFS([3]!players[name],A421,[3]!players[hero_name],B421, [3]!players[win], 1)</f>
        <v>0</v>
      </c>
      <c r="F421" s="1">
        <f t="shared" si="6"/>
        <v>0</v>
      </c>
      <c r="G421" s="2">
        <f>AVERAGEIFS([3]!players[gold_per_min], [3]!players[name],A421,[3]!players[hero_name],B421)</f>
        <v>402</v>
      </c>
      <c r="H421" s="2">
        <f>AVERAGEIFS([3]!players[xp_per_min], [3]!players[name],A421,[3]!players[hero_name],B421)</f>
        <v>530</v>
      </c>
    </row>
    <row r="422" spans="1:8" x14ac:dyDescent="0.3">
      <c r="A422" t="str">
        <v>CreepSlayer</v>
      </c>
      <c r="B422" t="str">
        <v>Lycan</v>
      </c>
      <c r="C422" t="str" cm="1">
        <f t="array" ref="C422">_xlfn.XLOOKUP(1,([3]!players[name]=A422)*([3]!players[hero_name]=B422),[3]!players[lane_name])</f>
        <v>Off Lane</v>
      </c>
      <c r="D422">
        <f>COUNTIFS([3]!players[name],A422,[3]!players[hero_name],B422)</f>
        <v>1</v>
      </c>
      <c r="E422">
        <f>COUNTIFS([3]!players[name],A422,[3]!players[hero_name],B422, [3]!players[win], 1)</f>
        <v>1</v>
      </c>
      <c r="F422" s="1">
        <f t="shared" si="6"/>
        <v>1</v>
      </c>
      <c r="G422" s="2">
        <f>AVERAGEIFS([3]!players[gold_per_min], [3]!players[name],A422,[3]!players[hero_name],B422)</f>
        <v>718</v>
      </c>
      <c r="H422" s="2">
        <f>AVERAGEIFS([3]!players[xp_per_min], [3]!players[name],A422,[3]!players[hero_name],B422)</f>
        <v>1028</v>
      </c>
    </row>
    <row r="423" spans="1:8" x14ac:dyDescent="0.3">
      <c r="A423" t="str">
        <v>CreepSlayer</v>
      </c>
      <c r="B423" t="str">
        <v>Beastmaster</v>
      </c>
      <c r="C423" t="str" cm="1">
        <f t="array" ref="C423">_xlfn.XLOOKUP(1,([3]!players[name]=A423)*([3]!players[hero_name]=B423),[3]!players[lane_name])</f>
        <v>Off Lane</v>
      </c>
      <c r="D423">
        <f>COUNTIFS([3]!players[name],A423,[3]!players[hero_name],B423)</f>
        <v>2</v>
      </c>
      <c r="E423">
        <f>COUNTIFS([3]!players[name],A423,[3]!players[hero_name],B423, [3]!players[win], 1)</f>
        <v>1</v>
      </c>
      <c r="F423" s="1">
        <f t="shared" si="6"/>
        <v>0.5</v>
      </c>
      <c r="G423" s="2">
        <f>AVERAGEIFS([3]!players[gold_per_min], [3]!players[name],A423,[3]!players[hero_name],B423)</f>
        <v>670.5</v>
      </c>
      <c r="H423" s="2">
        <f>AVERAGEIFS([3]!players[xp_per_min], [3]!players[name],A423,[3]!players[hero_name],B423)</f>
        <v>914.5</v>
      </c>
    </row>
    <row r="424" spans="1:8" x14ac:dyDescent="0.3">
      <c r="A424" t="str">
        <v>CreepSlayer</v>
      </c>
      <c r="B424" t="str">
        <v>Monkey King</v>
      </c>
      <c r="C424" t="str" cm="1">
        <f t="array" ref="C424">_xlfn.XLOOKUP(1,([3]!players[name]=A424)*([3]!players[hero_name]=B424),[3]!players[lane_name])</f>
        <v>Off Lane</v>
      </c>
      <c r="D424">
        <f>COUNTIFS([3]!players[name],A424,[3]!players[hero_name],B424)</f>
        <v>1</v>
      </c>
      <c r="E424">
        <f>COUNTIFS([3]!players[name],A424,[3]!players[hero_name],B424, [3]!players[win], 1)</f>
        <v>0</v>
      </c>
      <c r="F424" s="1">
        <f t="shared" si="6"/>
        <v>0</v>
      </c>
      <c r="G424" s="2">
        <f>AVERAGEIFS([3]!players[gold_per_min], [3]!players[name],A424,[3]!players[hero_name],B424)</f>
        <v>610</v>
      </c>
      <c r="H424" s="2">
        <f>AVERAGEIFS([3]!players[xp_per_min], [3]!players[name],A424,[3]!players[hero_name],B424)</f>
        <v>821</v>
      </c>
    </row>
    <row r="425" spans="1:8" x14ac:dyDescent="0.3">
      <c r="A425" t="str">
        <v>CreepSlayer</v>
      </c>
      <c r="B425" t="str">
        <v>Queen of Pain</v>
      </c>
      <c r="C425" t="str" cm="1">
        <f t="array" ref="C425">_xlfn.XLOOKUP(1,([3]!players[name]=A425)*([3]!players[hero_name]=B425),[3]!players[lane_name])</f>
        <v>Off Lane</v>
      </c>
      <c r="D425">
        <f>COUNTIFS([3]!players[name],A425,[3]!players[hero_name],B425)</f>
        <v>2</v>
      </c>
      <c r="E425">
        <f>COUNTIFS([3]!players[name],A425,[3]!players[hero_name],B425, [3]!players[win], 1)</f>
        <v>2</v>
      </c>
      <c r="F425" s="1">
        <f t="shared" si="6"/>
        <v>1</v>
      </c>
      <c r="G425" s="2">
        <f>AVERAGEIFS([3]!players[gold_per_min], [3]!players[name],A425,[3]!players[hero_name],B425)</f>
        <v>652.5</v>
      </c>
      <c r="H425" s="2">
        <f>AVERAGEIFS([3]!players[xp_per_min], [3]!players[name],A425,[3]!players[hero_name],B425)</f>
        <v>936</v>
      </c>
    </row>
    <row r="426" spans="1:8" x14ac:dyDescent="0.3">
      <c r="A426" t="str">
        <v>CreepSlayer</v>
      </c>
      <c r="B426" t="str">
        <v>Chaos Knight</v>
      </c>
      <c r="C426" t="str" cm="1">
        <f t="array" ref="C426">_xlfn.XLOOKUP(1,([3]!players[name]=A426)*([3]!players[hero_name]=B426),[3]!players[lane_name])</f>
        <v>Off Lane</v>
      </c>
      <c r="D426">
        <f>COUNTIFS([3]!players[name],A426,[3]!players[hero_name],B426)</f>
        <v>1</v>
      </c>
      <c r="E426">
        <f>COUNTIFS([3]!players[name],A426,[3]!players[hero_name],B426, [3]!players[win], 1)</f>
        <v>0</v>
      </c>
      <c r="F426" s="1">
        <f t="shared" si="6"/>
        <v>0</v>
      </c>
      <c r="G426" s="2">
        <f>AVERAGEIFS([3]!players[gold_per_min], [3]!players[name],A426,[3]!players[hero_name],B426)</f>
        <v>408</v>
      </c>
      <c r="H426" s="2">
        <f>AVERAGEIFS([3]!players[xp_per_min], [3]!players[name],A426,[3]!players[hero_name],B426)</f>
        <v>528</v>
      </c>
    </row>
    <row r="427" spans="1:8" x14ac:dyDescent="0.3">
      <c r="A427" t="str">
        <v>CreepSlayer</v>
      </c>
      <c r="B427" t="str">
        <v>Mirana</v>
      </c>
      <c r="C427" t="str" cm="1">
        <f t="array" ref="C427">_xlfn.XLOOKUP(1,([3]!players[name]=A427)*([3]!players[hero_name]=B427),[3]!players[lane_name])</f>
        <v>Off Lane</v>
      </c>
      <c r="D427">
        <f>COUNTIFS([3]!players[name],A427,[3]!players[hero_name],B427)</f>
        <v>1</v>
      </c>
      <c r="E427">
        <f>COUNTIFS([3]!players[name],A427,[3]!players[hero_name],B427, [3]!players[win], 1)</f>
        <v>0</v>
      </c>
      <c r="F427" s="1">
        <f t="shared" si="6"/>
        <v>0</v>
      </c>
      <c r="G427" s="2">
        <f>AVERAGEIFS([3]!players[gold_per_min], [3]!players[name],A427,[3]!players[hero_name],B427)</f>
        <v>400</v>
      </c>
      <c r="H427" s="2">
        <f>AVERAGEIFS([3]!players[xp_per_min], [3]!players[name],A427,[3]!players[hero_name],B427)</f>
        <v>456</v>
      </c>
    </row>
    <row r="428" spans="1:8" x14ac:dyDescent="0.3">
      <c r="A428" t="str">
        <v>Crystallis</v>
      </c>
      <c r="B428" t="str">
        <v>Razor</v>
      </c>
      <c r="C428" t="str" cm="1">
        <f t="array" ref="C428">_xlfn.XLOOKUP(1,([3]!players[name]=A428)*([3]!players[hero_name]=B428),[3]!players[lane_name])</f>
        <v>Carry</v>
      </c>
      <c r="D428">
        <f>COUNTIFS([3]!players[name],A428,[3]!players[hero_name],B428)</f>
        <v>3</v>
      </c>
      <c r="E428">
        <f>COUNTIFS([3]!players[name],A428,[3]!players[hero_name],B428, [3]!players[win], 1)</f>
        <v>0</v>
      </c>
      <c r="F428" s="1">
        <f t="shared" si="6"/>
        <v>0</v>
      </c>
      <c r="G428" s="2">
        <f>AVERAGEIFS([3]!players[gold_per_min], [3]!players[name],A428,[3]!players[hero_name],B428)</f>
        <v>603</v>
      </c>
      <c r="H428" s="2">
        <f>AVERAGEIFS([3]!players[xp_per_min], [3]!players[name],A428,[3]!players[hero_name],B428)</f>
        <v>769.66666666666663</v>
      </c>
    </row>
    <row r="429" spans="1:8" x14ac:dyDescent="0.3">
      <c r="A429" t="str">
        <v>Crystallis</v>
      </c>
      <c r="B429" t="str">
        <v>Dragon Knight</v>
      </c>
      <c r="C429" t="str" cm="1">
        <f t="array" ref="C429">_xlfn.XLOOKUP(1,([3]!players[name]=A429)*([3]!players[hero_name]=B429),[3]!players[lane_name])</f>
        <v>Carry</v>
      </c>
      <c r="D429">
        <f>COUNTIFS([3]!players[name],A429,[3]!players[hero_name],B429)</f>
        <v>2</v>
      </c>
      <c r="E429">
        <f>COUNTIFS([3]!players[name],A429,[3]!players[hero_name],B429, [3]!players[win], 1)</f>
        <v>1</v>
      </c>
      <c r="F429" s="1">
        <f t="shared" si="6"/>
        <v>0.5</v>
      </c>
      <c r="G429" s="2">
        <f>AVERAGEIFS([3]!players[gold_per_min], [3]!players[name],A429,[3]!players[hero_name],B429)</f>
        <v>667.5</v>
      </c>
      <c r="H429" s="2">
        <f>AVERAGEIFS([3]!players[xp_per_min], [3]!players[name],A429,[3]!players[hero_name],B429)</f>
        <v>840.5</v>
      </c>
    </row>
    <row r="430" spans="1:8" x14ac:dyDescent="0.3">
      <c r="A430" t="str">
        <v>Crystallis</v>
      </c>
      <c r="B430" t="str">
        <v>Juggernaut</v>
      </c>
      <c r="C430" t="str" cm="1">
        <f t="array" ref="C430">_xlfn.XLOOKUP(1,([3]!players[name]=A430)*([3]!players[hero_name]=B430),[3]!players[lane_name])</f>
        <v>Carry</v>
      </c>
      <c r="D430">
        <f>COUNTIFS([3]!players[name],A430,[3]!players[hero_name],B430)</f>
        <v>2</v>
      </c>
      <c r="E430">
        <f>COUNTIFS([3]!players[name],A430,[3]!players[hero_name],B430, [3]!players[win], 1)</f>
        <v>1</v>
      </c>
      <c r="F430" s="1">
        <f t="shared" si="6"/>
        <v>0.5</v>
      </c>
      <c r="G430" s="2">
        <f>AVERAGEIFS([3]!players[gold_per_min], [3]!players[name],A430,[3]!players[hero_name],B430)</f>
        <v>774</v>
      </c>
      <c r="H430" s="2">
        <f>AVERAGEIFS([3]!players[xp_per_min], [3]!players[name],A430,[3]!players[hero_name],B430)</f>
        <v>918.5</v>
      </c>
    </row>
    <row r="431" spans="1:8" x14ac:dyDescent="0.3">
      <c r="A431" t="str">
        <v>Crystallis</v>
      </c>
      <c r="B431" t="str">
        <v>Weaver</v>
      </c>
      <c r="C431" t="str" cm="1">
        <f t="array" ref="C431">_xlfn.XLOOKUP(1,([3]!players[name]=A431)*([3]!players[hero_name]=B431),[3]!players[lane_name])</f>
        <v>Carry</v>
      </c>
      <c r="D431">
        <f>COUNTIFS([3]!players[name],A431,[3]!players[hero_name],B431)</f>
        <v>1</v>
      </c>
      <c r="E431">
        <f>COUNTIFS([3]!players[name],A431,[3]!players[hero_name],B431, [3]!players[win], 1)</f>
        <v>0</v>
      </c>
      <c r="F431" s="1">
        <f t="shared" si="6"/>
        <v>0</v>
      </c>
      <c r="G431" s="2">
        <f>AVERAGEIFS([3]!players[gold_per_min], [3]!players[name],A431,[3]!players[hero_name],B431)</f>
        <v>581</v>
      </c>
      <c r="H431" s="2">
        <f>AVERAGEIFS([3]!players[xp_per_min], [3]!players[name],A431,[3]!players[hero_name],B431)</f>
        <v>1002</v>
      </c>
    </row>
    <row r="432" spans="1:8" x14ac:dyDescent="0.3">
      <c r="A432" t="str">
        <v>Crystallis</v>
      </c>
      <c r="B432" t="str">
        <v>Alchemist</v>
      </c>
      <c r="C432" t="str" cm="1">
        <f t="array" ref="C432">_xlfn.XLOOKUP(1,([3]!players[name]=A432)*([3]!players[hero_name]=B432),[3]!players[lane_name])</f>
        <v>Carry</v>
      </c>
      <c r="D432">
        <f>COUNTIFS([3]!players[name],A432,[3]!players[hero_name],B432)</f>
        <v>5</v>
      </c>
      <c r="E432">
        <f>COUNTIFS([3]!players[name],A432,[3]!players[hero_name],B432, [3]!players[win], 1)</f>
        <v>4</v>
      </c>
      <c r="F432" s="1">
        <f t="shared" si="6"/>
        <v>0.8</v>
      </c>
      <c r="G432" s="2">
        <f>AVERAGEIFS([3]!players[gold_per_min], [3]!players[name],A432,[3]!players[hero_name],B432)</f>
        <v>903.2</v>
      </c>
      <c r="H432" s="2">
        <f>AVERAGEIFS([3]!players[xp_per_min], [3]!players[name],A432,[3]!players[hero_name],B432)</f>
        <v>907</v>
      </c>
    </row>
    <row r="433" spans="1:8" x14ac:dyDescent="0.3">
      <c r="A433" t="str">
        <v>Crystallis</v>
      </c>
      <c r="B433" t="str">
        <v>Monkey King</v>
      </c>
      <c r="C433" t="str" cm="1">
        <f t="array" ref="C433">_xlfn.XLOOKUP(1,([3]!players[name]=A433)*([3]!players[hero_name]=B433),[3]!players[lane_name])</f>
        <v>Carry</v>
      </c>
      <c r="D433">
        <f>COUNTIFS([3]!players[name],A433,[3]!players[hero_name],B433)</f>
        <v>3</v>
      </c>
      <c r="E433">
        <f>COUNTIFS([3]!players[name],A433,[3]!players[hero_name],B433, [3]!players[win], 1)</f>
        <v>1</v>
      </c>
      <c r="F433" s="1">
        <f t="shared" si="6"/>
        <v>0.33333333333333331</v>
      </c>
      <c r="G433" s="2">
        <f>AVERAGEIFS([3]!players[gold_per_min], [3]!players[name],A433,[3]!players[hero_name],B433)</f>
        <v>670</v>
      </c>
      <c r="H433" s="2">
        <f>AVERAGEIFS([3]!players[xp_per_min], [3]!players[name],A433,[3]!players[hero_name],B433)</f>
        <v>808</v>
      </c>
    </row>
    <row r="434" spans="1:8" x14ac:dyDescent="0.3">
      <c r="A434" t="str">
        <v>Crystallis</v>
      </c>
      <c r="B434" t="str">
        <v>Bloodseeker</v>
      </c>
      <c r="C434" t="str" cm="1">
        <f t="array" ref="C434">_xlfn.XLOOKUP(1,([3]!players[name]=A434)*([3]!players[hero_name]=B434),[3]!players[lane_name])</f>
        <v>Carry</v>
      </c>
      <c r="D434">
        <f>COUNTIFS([3]!players[name],A434,[3]!players[hero_name],B434)</f>
        <v>2</v>
      </c>
      <c r="E434">
        <f>COUNTIFS([3]!players[name],A434,[3]!players[hero_name],B434, [3]!players[win], 1)</f>
        <v>1</v>
      </c>
      <c r="F434" s="1">
        <f t="shared" si="6"/>
        <v>0.5</v>
      </c>
      <c r="G434" s="2">
        <f>AVERAGEIFS([3]!players[gold_per_min], [3]!players[name],A434,[3]!players[hero_name],B434)</f>
        <v>647.5</v>
      </c>
      <c r="H434" s="2">
        <f>AVERAGEIFS([3]!players[xp_per_min], [3]!players[name],A434,[3]!players[hero_name],B434)</f>
        <v>766.5</v>
      </c>
    </row>
    <row r="435" spans="1:8" x14ac:dyDescent="0.3">
      <c r="A435" t="str">
        <v>Crystallis</v>
      </c>
      <c r="B435" t="str">
        <v>Luna</v>
      </c>
      <c r="C435" t="str" cm="1">
        <f t="array" ref="C435">_xlfn.XLOOKUP(1,([3]!players[name]=A435)*([3]!players[hero_name]=B435),[3]!players[lane_name])</f>
        <v>Carry</v>
      </c>
      <c r="D435">
        <f>COUNTIFS([3]!players[name],A435,[3]!players[hero_name],B435)</f>
        <v>2</v>
      </c>
      <c r="E435">
        <f>COUNTIFS([3]!players[name],A435,[3]!players[hero_name],B435, [3]!players[win], 1)</f>
        <v>0</v>
      </c>
      <c r="F435" s="1">
        <f t="shared" si="6"/>
        <v>0</v>
      </c>
      <c r="G435" s="2">
        <f>AVERAGEIFS([3]!players[gold_per_min], [3]!players[name],A435,[3]!players[hero_name],B435)</f>
        <v>688</v>
      </c>
      <c r="H435" s="2">
        <f>AVERAGEIFS([3]!players[xp_per_min], [3]!players[name],A435,[3]!players[hero_name],B435)</f>
        <v>782.5</v>
      </c>
    </row>
    <row r="436" spans="1:8" x14ac:dyDescent="0.3">
      <c r="A436" t="str">
        <v>Crystallis</v>
      </c>
      <c r="B436" t="str">
        <v>Muerta</v>
      </c>
      <c r="C436" t="str" cm="1">
        <f t="array" ref="C436">_xlfn.XLOOKUP(1,([3]!players[name]=A436)*([3]!players[hero_name]=B436),[3]!players[lane_name])</f>
        <v>Carry</v>
      </c>
      <c r="D436">
        <f>COUNTIFS([3]!players[name],A436,[3]!players[hero_name],B436)</f>
        <v>2</v>
      </c>
      <c r="E436">
        <f>COUNTIFS([3]!players[name],A436,[3]!players[hero_name],B436, [3]!players[win], 1)</f>
        <v>0</v>
      </c>
      <c r="F436" s="1">
        <f t="shared" si="6"/>
        <v>0</v>
      </c>
      <c r="G436" s="2">
        <f>AVERAGEIFS([3]!players[gold_per_min], [3]!players[name],A436,[3]!players[hero_name],B436)</f>
        <v>622</v>
      </c>
      <c r="H436" s="2">
        <f>AVERAGEIFS([3]!players[xp_per_min], [3]!players[name],A436,[3]!players[hero_name],B436)</f>
        <v>768.5</v>
      </c>
    </row>
    <row r="437" spans="1:8" x14ac:dyDescent="0.3">
      <c r="A437" t="str">
        <v>Crystallis</v>
      </c>
      <c r="B437" t="str">
        <v>Faceless Void</v>
      </c>
      <c r="C437" t="str" cm="1">
        <f t="array" ref="C437">_xlfn.XLOOKUP(1,([3]!players[name]=A437)*([3]!players[hero_name]=B437),[3]!players[lane_name])</f>
        <v>Carry</v>
      </c>
      <c r="D437">
        <f>COUNTIFS([3]!players[name],A437,[3]!players[hero_name],B437)</f>
        <v>2</v>
      </c>
      <c r="E437">
        <f>COUNTIFS([3]!players[name],A437,[3]!players[hero_name],B437, [3]!players[win], 1)</f>
        <v>1</v>
      </c>
      <c r="F437" s="1">
        <f t="shared" si="6"/>
        <v>0.5</v>
      </c>
      <c r="G437" s="2">
        <f>AVERAGEIFS([3]!players[gold_per_min], [3]!players[name],A437,[3]!players[hero_name],B437)</f>
        <v>671.5</v>
      </c>
      <c r="H437" s="2">
        <f>AVERAGEIFS([3]!players[xp_per_min], [3]!players[name],A437,[3]!players[hero_name],B437)</f>
        <v>983.5</v>
      </c>
    </row>
    <row r="438" spans="1:8" x14ac:dyDescent="0.3">
      <c r="A438" t="str">
        <v>Crystallis</v>
      </c>
      <c r="B438" t="str">
        <v>Templar Assassin</v>
      </c>
      <c r="C438" t="str" cm="1">
        <f t="array" ref="C438">_xlfn.XLOOKUP(1,([3]!players[name]=A438)*([3]!players[hero_name]=B438),[3]!players[lane_name])</f>
        <v>Carry</v>
      </c>
      <c r="D438">
        <f>COUNTIFS([3]!players[name],A438,[3]!players[hero_name],B438)</f>
        <v>1</v>
      </c>
      <c r="E438">
        <f>COUNTIFS([3]!players[name],A438,[3]!players[hero_name],B438, [3]!players[win], 1)</f>
        <v>1</v>
      </c>
      <c r="F438" s="1">
        <f t="shared" si="6"/>
        <v>1</v>
      </c>
      <c r="G438" s="2">
        <f>AVERAGEIFS([3]!players[gold_per_min], [3]!players[name],A438,[3]!players[hero_name],B438)</f>
        <v>741</v>
      </c>
      <c r="H438" s="2">
        <f>AVERAGEIFS([3]!players[xp_per_min], [3]!players[name],A438,[3]!players[hero_name],B438)</f>
        <v>798</v>
      </c>
    </row>
    <row r="439" spans="1:8" x14ac:dyDescent="0.3">
      <c r="A439" t="str">
        <v>Crystallis</v>
      </c>
      <c r="B439" t="str">
        <v>Ursa</v>
      </c>
      <c r="C439" t="str" cm="1">
        <f t="array" ref="C439">_xlfn.XLOOKUP(1,([3]!players[name]=A439)*([3]!players[hero_name]=B439),[3]!players[lane_name])</f>
        <v>Carry</v>
      </c>
      <c r="D439">
        <f>COUNTIFS([3]!players[name],A439,[3]!players[hero_name],B439)</f>
        <v>2</v>
      </c>
      <c r="E439">
        <f>COUNTIFS([3]!players[name],A439,[3]!players[hero_name],B439, [3]!players[win], 1)</f>
        <v>1</v>
      </c>
      <c r="F439" s="1">
        <f t="shared" si="6"/>
        <v>0.5</v>
      </c>
      <c r="G439" s="2">
        <f>AVERAGEIFS([3]!players[gold_per_min], [3]!players[name],A439,[3]!players[hero_name],B439)</f>
        <v>737.5</v>
      </c>
      <c r="H439" s="2">
        <f>AVERAGEIFS([3]!players[xp_per_min], [3]!players[name],A439,[3]!players[hero_name],B439)</f>
        <v>964</v>
      </c>
    </row>
    <row r="440" spans="1:8" x14ac:dyDescent="0.3">
      <c r="A440" t="str">
        <v>Crystallis</v>
      </c>
      <c r="B440" t="str">
        <v>Phantom Lancer</v>
      </c>
      <c r="C440" t="str" cm="1">
        <f t="array" ref="C440">_xlfn.XLOOKUP(1,([3]!players[name]=A440)*([3]!players[hero_name]=B440),[3]!players[lane_name])</f>
        <v>Carry</v>
      </c>
      <c r="D440">
        <f>COUNTIFS([3]!players[name],A440,[3]!players[hero_name],B440)</f>
        <v>1</v>
      </c>
      <c r="E440">
        <f>COUNTIFS([3]!players[name],A440,[3]!players[hero_name],B440, [3]!players[win], 1)</f>
        <v>0</v>
      </c>
      <c r="F440" s="1">
        <f t="shared" si="6"/>
        <v>0</v>
      </c>
      <c r="G440" s="2">
        <f>AVERAGEIFS([3]!players[gold_per_min], [3]!players[name],A440,[3]!players[hero_name],B440)</f>
        <v>492</v>
      </c>
      <c r="H440" s="2">
        <f>AVERAGEIFS([3]!players[xp_per_min], [3]!players[name],A440,[3]!players[hero_name],B440)</f>
        <v>517</v>
      </c>
    </row>
    <row r="441" spans="1:8" x14ac:dyDescent="0.3">
      <c r="A441" t="str">
        <v>Crystallis</v>
      </c>
      <c r="B441" t="str">
        <v>Tiny</v>
      </c>
      <c r="C441" t="str" cm="1">
        <f t="array" ref="C441">_xlfn.XLOOKUP(1,([3]!players[name]=A441)*([3]!players[hero_name]=B441),[3]!players[lane_name])</f>
        <v>Carry</v>
      </c>
      <c r="D441">
        <f>COUNTIFS([3]!players[name],A441,[3]!players[hero_name],B441)</f>
        <v>3</v>
      </c>
      <c r="E441">
        <f>COUNTIFS([3]!players[name],A441,[3]!players[hero_name],B441, [3]!players[win], 1)</f>
        <v>1</v>
      </c>
      <c r="F441" s="1">
        <f t="shared" si="6"/>
        <v>0.33333333333333331</v>
      </c>
      <c r="G441" s="2">
        <f>AVERAGEIFS([3]!players[gold_per_min], [3]!players[name],A441,[3]!players[hero_name],B441)</f>
        <v>563</v>
      </c>
      <c r="H441" s="2">
        <f>AVERAGEIFS([3]!players[xp_per_min], [3]!players[name],A441,[3]!players[hero_name],B441)</f>
        <v>729</v>
      </c>
    </row>
    <row r="442" spans="1:8" x14ac:dyDescent="0.3">
      <c r="A442" t="str">
        <v>Crystallis</v>
      </c>
      <c r="B442" t="str">
        <v>Windranger</v>
      </c>
      <c r="C442" t="str" cm="1">
        <f t="array" ref="C442">_xlfn.XLOOKUP(1,([3]!players[name]=A442)*([3]!players[hero_name]=B442),[3]!players[lane_name])</f>
        <v>Carry</v>
      </c>
      <c r="D442">
        <f>COUNTIFS([3]!players[name],A442,[3]!players[hero_name],B442)</f>
        <v>1</v>
      </c>
      <c r="E442">
        <f>COUNTIFS([3]!players[name],A442,[3]!players[hero_name],B442, [3]!players[win], 1)</f>
        <v>0</v>
      </c>
      <c r="F442" s="1">
        <f t="shared" si="6"/>
        <v>0</v>
      </c>
      <c r="G442" s="2">
        <f>AVERAGEIFS([3]!players[gold_per_min], [3]!players[name],A442,[3]!players[hero_name],B442)</f>
        <v>506</v>
      </c>
      <c r="H442" s="2">
        <f>AVERAGEIFS([3]!players[xp_per_min], [3]!players[name],A442,[3]!players[hero_name],B442)</f>
        <v>562</v>
      </c>
    </row>
    <row r="443" spans="1:8" x14ac:dyDescent="0.3">
      <c r="A443" t="str">
        <v>Crystallis</v>
      </c>
      <c r="B443" t="str">
        <v>Lone Druid</v>
      </c>
      <c r="C443" t="str" cm="1">
        <f t="array" ref="C443">_xlfn.XLOOKUP(1,([3]!players[name]=A443)*([3]!players[hero_name]=B443),[3]!players[lane_name])</f>
        <v>Carry</v>
      </c>
      <c r="D443">
        <f>COUNTIFS([3]!players[name],A443,[3]!players[hero_name],B443)</f>
        <v>2</v>
      </c>
      <c r="E443">
        <f>COUNTIFS([3]!players[name],A443,[3]!players[hero_name],B443, [3]!players[win], 1)</f>
        <v>2</v>
      </c>
      <c r="F443" s="1">
        <f t="shared" si="6"/>
        <v>1</v>
      </c>
      <c r="G443" s="2">
        <f>AVERAGEIFS([3]!players[gold_per_min], [3]!players[name],A443,[3]!players[hero_name],B443)</f>
        <v>718</v>
      </c>
      <c r="H443" s="2">
        <f>AVERAGEIFS([3]!players[xp_per_min], [3]!players[name],A443,[3]!players[hero_name],B443)</f>
        <v>590</v>
      </c>
    </row>
    <row r="444" spans="1:8" x14ac:dyDescent="0.3">
      <c r="A444" t="str">
        <v>Crystallis</v>
      </c>
      <c r="B444" t="str">
        <v>Medusa</v>
      </c>
      <c r="C444" t="str" cm="1">
        <f t="array" ref="C444">_xlfn.XLOOKUP(1,([3]!players[name]=A444)*([3]!players[hero_name]=B444),[3]!players[lane_name])</f>
        <v>Carry</v>
      </c>
      <c r="D444">
        <f>COUNTIFS([3]!players[name],A444,[3]!players[hero_name],B444)</f>
        <v>1</v>
      </c>
      <c r="E444">
        <f>COUNTIFS([3]!players[name],A444,[3]!players[hero_name],B444, [3]!players[win], 1)</f>
        <v>1</v>
      </c>
      <c r="F444" s="1">
        <f t="shared" si="6"/>
        <v>1</v>
      </c>
      <c r="G444" s="2">
        <f>AVERAGEIFS([3]!players[gold_per_min], [3]!players[name],A444,[3]!players[hero_name],B444)</f>
        <v>884</v>
      </c>
      <c r="H444" s="2">
        <f>AVERAGEIFS([3]!players[xp_per_min], [3]!players[name],A444,[3]!players[hero_name],B444)</f>
        <v>800</v>
      </c>
    </row>
    <row r="445" spans="1:8" x14ac:dyDescent="0.3">
      <c r="A445" t="str">
        <v>cutie</v>
      </c>
      <c r="B445" t="str">
        <v>Muerta</v>
      </c>
      <c r="C445" t="str" cm="1">
        <f t="array" ref="C445">_xlfn.XLOOKUP(1,([3]!players[name]=A445)*([3]!players[hero_name]=B445),[3]!players[lane_name])</f>
        <v>Carry</v>
      </c>
      <c r="D445">
        <f>COUNTIFS([3]!players[name],A445,[3]!players[hero_name],B445)</f>
        <v>3</v>
      </c>
      <c r="E445">
        <f>COUNTIFS([3]!players[name],A445,[3]!players[hero_name],B445, [3]!players[win], 1)</f>
        <v>0</v>
      </c>
      <c r="F445" s="1">
        <f t="shared" si="6"/>
        <v>0</v>
      </c>
      <c r="G445" s="2">
        <f>AVERAGEIFS([3]!players[gold_per_min], [3]!players[name],A445,[3]!players[hero_name],B445)</f>
        <v>535</v>
      </c>
      <c r="H445" s="2">
        <f>AVERAGEIFS([3]!players[xp_per_min], [3]!players[name],A445,[3]!players[hero_name],B445)</f>
        <v>545</v>
      </c>
    </row>
    <row r="446" spans="1:8" x14ac:dyDescent="0.3">
      <c r="A446" t="str">
        <v>cutie</v>
      </c>
      <c r="B446" t="str">
        <v>Weaver</v>
      </c>
      <c r="C446" t="str" cm="1">
        <f t="array" ref="C446">_xlfn.XLOOKUP(1,([3]!players[name]=A446)*([3]!players[hero_name]=B446),[3]!players[lane_name])</f>
        <v>Carry</v>
      </c>
      <c r="D446">
        <f>COUNTIFS([3]!players[name],A446,[3]!players[hero_name],B446)</f>
        <v>2</v>
      </c>
      <c r="E446">
        <f>COUNTIFS([3]!players[name],A446,[3]!players[hero_name],B446, [3]!players[win], 1)</f>
        <v>0</v>
      </c>
      <c r="F446" s="1">
        <f t="shared" si="6"/>
        <v>0</v>
      </c>
      <c r="G446" s="2">
        <f>AVERAGEIFS([3]!players[gold_per_min], [3]!players[name],A446,[3]!players[hero_name],B446)</f>
        <v>489.5</v>
      </c>
      <c r="H446" s="2">
        <f>AVERAGEIFS([3]!players[xp_per_min], [3]!players[name],A446,[3]!players[hero_name],B446)</f>
        <v>638.5</v>
      </c>
    </row>
    <row r="447" spans="1:8" x14ac:dyDescent="0.3">
      <c r="A447" t="str">
        <v>cutie</v>
      </c>
      <c r="B447" t="str">
        <v>Terrorblade</v>
      </c>
      <c r="C447" t="str" cm="1">
        <f t="array" ref="C447">_xlfn.XLOOKUP(1,([3]!players[name]=A447)*([3]!players[hero_name]=B447),[3]!players[lane_name])</f>
        <v>Carry</v>
      </c>
      <c r="D447">
        <f>COUNTIFS([3]!players[name],A447,[3]!players[hero_name],B447)</f>
        <v>2</v>
      </c>
      <c r="E447">
        <f>COUNTIFS([3]!players[name],A447,[3]!players[hero_name],B447, [3]!players[win], 1)</f>
        <v>1</v>
      </c>
      <c r="F447" s="1">
        <f t="shared" si="6"/>
        <v>0.5</v>
      </c>
      <c r="G447" s="2">
        <f>AVERAGEIFS([3]!players[gold_per_min], [3]!players[name],A447,[3]!players[hero_name],B447)</f>
        <v>674</v>
      </c>
      <c r="H447" s="2">
        <f>AVERAGEIFS([3]!players[xp_per_min], [3]!players[name],A447,[3]!players[hero_name],B447)</f>
        <v>642.5</v>
      </c>
    </row>
    <row r="448" spans="1:8" x14ac:dyDescent="0.3">
      <c r="A448" t="str">
        <v>cutie</v>
      </c>
      <c r="B448" t="str">
        <v>Mirana</v>
      </c>
      <c r="C448" t="str" cm="1">
        <f t="array" ref="C448">_xlfn.XLOOKUP(1,([3]!players[name]=A448)*([3]!players[hero_name]=B448),[3]!players[lane_name])</f>
        <v>Carry</v>
      </c>
      <c r="D448">
        <f>COUNTIFS([3]!players[name],A448,[3]!players[hero_name],B448)</f>
        <v>1</v>
      </c>
      <c r="E448">
        <f>COUNTIFS([3]!players[name],A448,[3]!players[hero_name],B448, [3]!players[win], 1)</f>
        <v>0</v>
      </c>
      <c r="F448" s="1">
        <f t="shared" si="6"/>
        <v>0</v>
      </c>
      <c r="G448" s="2">
        <f>AVERAGEIFS([3]!players[gold_per_min], [3]!players[name],A448,[3]!players[hero_name],B448)</f>
        <v>546</v>
      </c>
      <c r="H448" s="2">
        <f>AVERAGEIFS([3]!players[xp_per_min], [3]!players[name],A448,[3]!players[hero_name],B448)</f>
        <v>601</v>
      </c>
    </row>
    <row r="449" spans="1:8" x14ac:dyDescent="0.3">
      <c r="A449" t="str">
        <v>cutie</v>
      </c>
      <c r="B449" t="str">
        <v>Ursa</v>
      </c>
      <c r="C449" t="str" cm="1">
        <f t="array" ref="C449">_xlfn.XLOOKUP(1,([3]!players[name]=A449)*([3]!players[hero_name]=B449),[3]!players[lane_name])</f>
        <v>Carry</v>
      </c>
      <c r="D449">
        <f>COUNTIFS([3]!players[name],A449,[3]!players[hero_name],B449)</f>
        <v>1</v>
      </c>
      <c r="E449">
        <f>COUNTIFS([3]!players[name],A449,[3]!players[hero_name],B449, [3]!players[win], 1)</f>
        <v>0</v>
      </c>
      <c r="F449" s="1">
        <f t="shared" si="6"/>
        <v>0</v>
      </c>
      <c r="G449" s="2">
        <f>AVERAGEIFS([3]!players[gold_per_min], [3]!players[name],A449,[3]!players[hero_name],B449)</f>
        <v>755</v>
      </c>
      <c r="H449" s="2">
        <f>AVERAGEIFS([3]!players[xp_per_min], [3]!players[name],A449,[3]!players[hero_name],B449)</f>
        <v>948</v>
      </c>
    </row>
    <row r="450" spans="1:8" x14ac:dyDescent="0.3">
      <c r="A450" t="str">
        <v>cutie</v>
      </c>
      <c r="B450" t="str">
        <v>Luna</v>
      </c>
      <c r="C450" t="str" cm="1">
        <f t="array" ref="C450">_xlfn.XLOOKUP(1,([3]!players[name]=A450)*([3]!players[hero_name]=B450),[3]!players[lane_name])</f>
        <v>Carry</v>
      </c>
      <c r="D450">
        <f>COUNTIFS([3]!players[name],A450,[3]!players[hero_name],B450)</f>
        <v>3</v>
      </c>
      <c r="E450">
        <f>COUNTIFS([3]!players[name],A450,[3]!players[hero_name],B450, [3]!players[win], 1)</f>
        <v>0</v>
      </c>
      <c r="F450" s="1">
        <f t="shared" si="6"/>
        <v>0</v>
      </c>
      <c r="G450" s="2">
        <f>AVERAGEIFS([3]!players[gold_per_min], [3]!players[name],A450,[3]!players[hero_name],B450)</f>
        <v>547.66666666666663</v>
      </c>
      <c r="H450" s="2">
        <f>AVERAGEIFS([3]!players[xp_per_min], [3]!players[name],A450,[3]!players[hero_name],B450)</f>
        <v>588.33333333333337</v>
      </c>
    </row>
    <row r="451" spans="1:8" x14ac:dyDescent="0.3">
      <c r="A451" t="str">
        <v>cutie</v>
      </c>
      <c r="B451" t="str">
        <v>Beastmaster</v>
      </c>
      <c r="C451" t="str" cm="1">
        <f t="array" ref="C451">_xlfn.XLOOKUP(1,([3]!players[name]=A451)*([3]!players[hero_name]=B451),[3]!players[lane_name])</f>
        <v>Carry</v>
      </c>
      <c r="D451">
        <f>COUNTIFS([3]!players[name],A451,[3]!players[hero_name],B451)</f>
        <v>5</v>
      </c>
      <c r="E451">
        <f>COUNTIFS([3]!players[name],A451,[3]!players[hero_name],B451, [3]!players[win], 1)</f>
        <v>3</v>
      </c>
      <c r="F451" s="1">
        <f t="shared" ref="F451:F514" si="7">E451/D451</f>
        <v>0.6</v>
      </c>
      <c r="G451" s="2">
        <f>AVERAGEIFS([3]!players[gold_per_min], [3]!players[name],A451,[3]!players[hero_name],B451)</f>
        <v>662</v>
      </c>
      <c r="H451" s="2">
        <f>AVERAGEIFS([3]!players[xp_per_min], [3]!players[name],A451,[3]!players[hero_name],B451)</f>
        <v>814.2</v>
      </c>
    </row>
    <row r="452" spans="1:8" x14ac:dyDescent="0.3">
      <c r="A452" t="str">
        <v>cutie</v>
      </c>
      <c r="B452" t="str">
        <v>Clinkz</v>
      </c>
      <c r="C452" t="str" cm="1">
        <f t="array" ref="C452">_xlfn.XLOOKUP(1,([3]!players[name]=A452)*([3]!players[hero_name]=B452),[3]!players[lane_name])</f>
        <v>Carry</v>
      </c>
      <c r="D452">
        <f>COUNTIFS([3]!players[name],A452,[3]!players[hero_name],B452)</f>
        <v>4</v>
      </c>
      <c r="E452">
        <f>COUNTIFS([3]!players[name],A452,[3]!players[hero_name],B452, [3]!players[win], 1)</f>
        <v>3</v>
      </c>
      <c r="F452" s="1">
        <f t="shared" si="7"/>
        <v>0.75</v>
      </c>
      <c r="G452" s="2">
        <f>AVERAGEIFS([3]!players[gold_per_min], [3]!players[name],A452,[3]!players[hero_name],B452)</f>
        <v>769.5</v>
      </c>
      <c r="H452" s="2">
        <f>AVERAGEIFS([3]!players[xp_per_min], [3]!players[name],A452,[3]!players[hero_name],B452)</f>
        <v>928.5</v>
      </c>
    </row>
    <row r="453" spans="1:8" x14ac:dyDescent="0.3">
      <c r="A453" t="str">
        <v>cutie</v>
      </c>
      <c r="B453" t="str">
        <v>Monkey King</v>
      </c>
      <c r="C453" t="str" cm="1">
        <f t="array" ref="C453">_xlfn.XLOOKUP(1,([3]!players[name]=A453)*([3]!players[hero_name]=B453),[3]!players[lane_name])</f>
        <v>Carry</v>
      </c>
      <c r="D453">
        <f>COUNTIFS([3]!players[name],A453,[3]!players[hero_name],B453)</f>
        <v>3</v>
      </c>
      <c r="E453">
        <f>COUNTIFS([3]!players[name],A453,[3]!players[hero_name],B453, [3]!players[win], 1)</f>
        <v>1</v>
      </c>
      <c r="F453" s="1">
        <f t="shared" si="7"/>
        <v>0.33333333333333331</v>
      </c>
      <c r="G453" s="2">
        <f>AVERAGEIFS([3]!players[gold_per_min], [3]!players[name],A453,[3]!players[hero_name],B453)</f>
        <v>670.66666666666663</v>
      </c>
      <c r="H453" s="2">
        <f>AVERAGEIFS([3]!players[xp_per_min], [3]!players[name],A453,[3]!players[hero_name],B453)</f>
        <v>722.33333333333337</v>
      </c>
    </row>
    <row r="454" spans="1:8" x14ac:dyDescent="0.3">
      <c r="A454" t="str">
        <v>cutie</v>
      </c>
      <c r="B454" t="str">
        <v>Alchemist</v>
      </c>
      <c r="C454" t="str" cm="1">
        <f t="array" ref="C454">_xlfn.XLOOKUP(1,([3]!players[name]=A454)*([3]!players[hero_name]=B454),[3]!players[lane_name])</f>
        <v>Carry</v>
      </c>
      <c r="D454">
        <f>COUNTIFS([3]!players[name],A454,[3]!players[hero_name],B454)</f>
        <v>1</v>
      </c>
      <c r="E454">
        <f>COUNTIFS([3]!players[name],A454,[3]!players[hero_name],B454, [3]!players[win], 1)</f>
        <v>0</v>
      </c>
      <c r="F454" s="1">
        <f t="shared" si="7"/>
        <v>0</v>
      </c>
      <c r="G454" s="2">
        <f>AVERAGEIFS([3]!players[gold_per_min], [3]!players[name],A454,[3]!players[hero_name],B454)</f>
        <v>889</v>
      </c>
      <c r="H454" s="2">
        <f>AVERAGEIFS([3]!players[xp_per_min], [3]!players[name],A454,[3]!players[hero_name],B454)</f>
        <v>809</v>
      </c>
    </row>
    <row r="455" spans="1:8" x14ac:dyDescent="0.3">
      <c r="A455" t="str">
        <v>cutie</v>
      </c>
      <c r="B455" t="str">
        <v>Drow Ranger</v>
      </c>
      <c r="C455" t="str" cm="1">
        <f t="array" ref="C455">_xlfn.XLOOKUP(1,([3]!players[name]=A455)*([3]!players[hero_name]=B455),[3]!players[lane_name])</f>
        <v>Carry</v>
      </c>
      <c r="D455">
        <f>COUNTIFS([3]!players[name],A455,[3]!players[hero_name],B455)</f>
        <v>1</v>
      </c>
      <c r="E455">
        <f>COUNTIFS([3]!players[name],A455,[3]!players[hero_name],B455, [3]!players[win], 1)</f>
        <v>0</v>
      </c>
      <c r="F455" s="1">
        <f t="shared" si="7"/>
        <v>0</v>
      </c>
      <c r="G455" s="2">
        <f>AVERAGEIFS([3]!players[gold_per_min], [3]!players[name],A455,[3]!players[hero_name],B455)</f>
        <v>513</v>
      </c>
      <c r="H455" s="2">
        <f>AVERAGEIFS([3]!players[xp_per_min], [3]!players[name],A455,[3]!players[hero_name],B455)</f>
        <v>534</v>
      </c>
    </row>
    <row r="456" spans="1:8" x14ac:dyDescent="0.3">
      <c r="A456" t="str">
        <v>d1man41g</v>
      </c>
      <c r="B456" t="str">
        <v>Queen of Pain</v>
      </c>
      <c r="C456" t="str" cm="1">
        <f t="array" ref="C456">_xlfn.XLOOKUP(1,([3]!players[name]=A456)*([3]!players[hero_name]=B456),[3]!players[lane_name])</f>
        <v>Mid</v>
      </c>
      <c r="D456">
        <f>COUNTIFS([3]!players[name],A456,[3]!players[hero_name],B456)</f>
        <v>3</v>
      </c>
      <c r="E456">
        <f>COUNTIFS([3]!players[name],A456,[3]!players[hero_name],B456, [3]!players[win], 1)</f>
        <v>1</v>
      </c>
      <c r="F456" s="1">
        <f t="shared" si="7"/>
        <v>0.33333333333333331</v>
      </c>
      <c r="G456" s="2">
        <f>AVERAGEIFS([3]!players[gold_per_min], [3]!players[name],A456,[3]!players[hero_name],B456)</f>
        <v>523.66666666666663</v>
      </c>
      <c r="H456" s="2">
        <f>AVERAGEIFS([3]!players[xp_per_min], [3]!players[name],A456,[3]!players[hero_name],B456)</f>
        <v>622.33333333333337</v>
      </c>
    </row>
    <row r="457" spans="1:8" x14ac:dyDescent="0.3">
      <c r="A457" t="str">
        <v>d1man41g</v>
      </c>
      <c r="B457" t="str">
        <v>Ember Spirit</v>
      </c>
      <c r="C457" t="str" cm="1">
        <f t="array" ref="C457">_xlfn.XLOOKUP(1,([3]!players[name]=A457)*([3]!players[hero_name]=B457),[3]!players[lane_name])</f>
        <v>Mid</v>
      </c>
      <c r="D457">
        <f>COUNTIFS([3]!players[name],A457,[3]!players[hero_name],B457)</f>
        <v>1</v>
      </c>
      <c r="E457">
        <f>COUNTIFS([3]!players[name],A457,[3]!players[hero_name],B457, [3]!players[win], 1)</f>
        <v>0</v>
      </c>
      <c r="F457" s="1">
        <f t="shared" si="7"/>
        <v>0</v>
      </c>
      <c r="G457" s="2">
        <f>AVERAGEIFS([3]!players[gold_per_min], [3]!players[name],A457,[3]!players[hero_name],B457)</f>
        <v>377</v>
      </c>
      <c r="H457" s="2">
        <f>AVERAGEIFS([3]!players[xp_per_min], [3]!players[name],A457,[3]!players[hero_name],B457)</f>
        <v>433</v>
      </c>
    </row>
    <row r="458" spans="1:8" x14ac:dyDescent="0.3">
      <c r="A458" t="str">
        <v>d1man41g</v>
      </c>
      <c r="B458" t="str">
        <v>Void Spirit</v>
      </c>
      <c r="C458" t="str" cm="1">
        <f t="array" ref="C458">_xlfn.XLOOKUP(1,([3]!players[name]=A458)*([3]!players[hero_name]=B458),[3]!players[lane_name])</f>
        <v>Mid</v>
      </c>
      <c r="D458">
        <f>COUNTIFS([3]!players[name],A458,[3]!players[hero_name],B458)</f>
        <v>2</v>
      </c>
      <c r="E458">
        <f>COUNTIFS([3]!players[name],A458,[3]!players[hero_name],B458, [3]!players[win], 1)</f>
        <v>1</v>
      </c>
      <c r="F458" s="1">
        <f t="shared" si="7"/>
        <v>0.5</v>
      </c>
      <c r="G458" s="2">
        <f>AVERAGEIFS([3]!players[gold_per_min], [3]!players[name],A458,[3]!players[hero_name],B458)</f>
        <v>493.5</v>
      </c>
      <c r="H458" s="2">
        <f>AVERAGEIFS([3]!players[xp_per_min], [3]!players[name],A458,[3]!players[hero_name],B458)</f>
        <v>613.5</v>
      </c>
    </row>
    <row r="459" spans="1:8" x14ac:dyDescent="0.3">
      <c r="A459" t="str">
        <v>d1man41g</v>
      </c>
      <c r="B459" t="str">
        <v>Puck</v>
      </c>
      <c r="C459" t="str" cm="1">
        <f t="array" ref="C459">_xlfn.XLOOKUP(1,([3]!players[name]=A459)*([3]!players[hero_name]=B459),[3]!players[lane_name])</f>
        <v>Mid</v>
      </c>
      <c r="D459">
        <f>COUNTIFS([3]!players[name],A459,[3]!players[hero_name],B459)</f>
        <v>4</v>
      </c>
      <c r="E459">
        <f>COUNTIFS([3]!players[name],A459,[3]!players[hero_name],B459, [3]!players[win], 1)</f>
        <v>2</v>
      </c>
      <c r="F459" s="1">
        <f t="shared" si="7"/>
        <v>0.5</v>
      </c>
      <c r="G459" s="2">
        <f>AVERAGEIFS([3]!players[gold_per_min], [3]!players[name],A459,[3]!players[hero_name],B459)</f>
        <v>573.75</v>
      </c>
      <c r="H459" s="2">
        <f>AVERAGEIFS([3]!players[xp_per_min], [3]!players[name],A459,[3]!players[hero_name],B459)</f>
        <v>773</v>
      </c>
    </row>
    <row r="460" spans="1:8" x14ac:dyDescent="0.3">
      <c r="A460" t="str">
        <v>d1man41g</v>
      </c>
      <c r="B460" t="str">
        <v>Sand King</v>
      </c>
      <c r="C460" t="str" cm="1">
        <f t="array" ref="C460">_xlfn.XLOOKUP(1,([3]!players[name]=A460)*([3]!players[hero_name]=B460),[3]!players[lane_name])</f>
        <v>Mid</v>
      </c>
      <c r="D460">
        <f>COUNTIFS([3]!players[name],A460,[3]!players[hero_name],B460)</f>
        <v>1</v>
      </c>
      <c r="E460">
        <f>COUNTIFS([3]!players[name],A460,[3]!players[hero_name],B460, [3]!players[win], 1)</f>
        <v>0</v>
      </c>
      <c r="F460" s="1">
        <f t="shared" si="7"/>
        <v>0</v>
      </c>
      <c r="G460" s="2">
        <f>AVERAGEIFS([3]!players[gold_per_min], [3]!players[name],A460,[3]!players[hero_name],B460)</f>
        <v>494</v>
      </c>
      <c r="H460" s="2">
        <f>AVERAGEIFS([3]!players[xp_per_min], [3]!players[name],A460,[3]!players[hero_name],B460)</f>
        <v>752</v>
      </c>
    </row>
    <row r="461" spans="1:8" x14ac:dyDescent="0.3">
      <c r="A461" t="str">
        <v>d1man41g</v>
      </c>
      <c r="B461" t="str">
        <v>Beastmaster</v>
      </c>
      <c r="C461" t="str" cm="1">
        <f t="array" ref="C461">_xlfn.XLOOKUP(1,([3]!players[name]=A461)*([3]!players[hero_name]=B461),[3]!players[lane_name])</f>
        <v>Mid</v>
      </c>
      <c r="D461">
        <f>COUNTIFS([3]!players[name],A461,[3]!players[hero_name],B461)</f>
        <v>1</v>
      </c>
      <c r="E461">
        <f>COUNTIFS([3]!players[name],A461,[3]!players[hero_name],B461, [3]!players[win], 1)</f>
        <v>0</v>
      </c>
      <c r="F461" s="1">
        <f t="shared" si="7"/>
        <v>0</v>
      </c>
      <c r="G461" s="2">
        <f>AVERAGEIFS([3]!players[gold_per_min], [3]!players[name],A461,[3]!players[hero_name],B461)</f>
        <v>460</v>
      </c>
      <c r="H461" s="2">
        <f>AVERAGEIFS([3]!players[xp_per_min], [3]!players[name],A461,[3]!players[hero_name],B461)</f>
        <v>631</v>
      </c>
    </row>
    <row r="462" spans="1:8" x14ac:dyDescent="0.3">
      <c r="A462" t="str">
        <v>d1man41g</v>
      </c>
      <c r="B462" t="str">
        <v>Pangolier</v>
      </c>
      <c r="C462" t="str" cm="1">
        <f t="array" ref="C462">_xlfn.XLOOKUP(1,([3]!players[name]=A462)*([3]!players[hero_name]=B462),[3]!players[lane_name])</f>
        <v>Mid</v>
      </c>
      <c r="D462">
        <f>COUNTIFS([3]!players[name],A462,[3]!players[hero_name],B462)</f>
        <v>1</v>
      </c>
      <c r="E462">
        <f>COUNTIFS([3]!players[name],A462,[3]!players[hero_name],B462, [3]!players[win], 1)</f>
        <v>0</v>
      </c>
      <c r="F462" s="1">
        <f t="shared" si="7"/>
        <v>0</v>
      </c>
      <c r="G462" s="2">
        <f>AVERAGEIFS([3]!players[gold_per_min], [3]!players[name],A462,[3]!players[hero_name],B462)</f>
        <v>578</v>
      </c>
      <c r="H462" s="2">
        <f>AVERAGEIFS([3]!players[xp_per_min], [3]!players[name],A462,[3]!players[hero_name],B462)</f>
        <v>814</v>
      </c>
    </row>
    <row r="463" spans="1:8" x14ac:dyDescent="0.3">
      <c r="A463" t="str">
        <v>dalul</v>
      </c>
      <c r="B463" t="str">
        <v>Batrider</v>
      </c>
      <c r="C463" t="str" cm="1">
        <f t="array" ref="C463">_xlfn.XLOOKUP(1,([3]!players[name]=A463)*([3]!players[hero_name]=B463),[3]!players[lane_name])</f>
        <v>Soft Support</v>
      </c>
      <c r="D463">
        <f>COUNTIFS([3]!players[name],A463,[3]!players[hero_name],B463)</f>
        <v>2</v>
      </c>
      <c r="E463">
        <f>COUNTIFS([3]!players[name],A463,[3]!players[hero_name],B463, [3]!players[win], 1)</f>
        <v>2</v>
      </c>
      <c r="F463" s="1">
        <f t="shared" si="7"/>
        <v>1</v>
      </c>
      <c r="G463" s="2">
        <f>AVERAGEIFS([3]!players[gold_per_min], [3]!players[name],A463,[3]!players[hero_name],B463)</f>
        <v>382</v>
      </c>
      <c r="H463" s="2">
        <f>AVERAGEIFS([3]!players[xp_per_min], [3]!players[name],A463,[3]!players[hero_name],B463)</f>
        <v>455.5</v>
      </c>
    </row>
    <row r="464" spans="1:8" x14ac:dyDescent="0.3">
      <c r="A464" t="str">
        <v>dalul</v>
      </c>
      <c r="B464" t="str">
        <v>Hoodwink</v>
      </c>
      <c r="C464" t="str" cm="1">
        <f t="array" ref="C464">_xlfn.XLOOKUP(1,([3]!players[name]=A464)*([3]!players[hero_name]=B464),[3]!players[lane_name])</f>
        <v>Hard Support</v>
      </c>
      <c r="D464">
        <f>COUNTIFS([3]!players[name],A464,[3]!players[hero_name],B464)</f>
        <v>3</v>
      </c>
      <c r="E464">
        <f>COUNTIFS([3]!players[name],A464,[3]!players[hero_name],B464, [3]!players[win], 1)</f>
        <v>3</v>
      </c>
      <c r="F464" s="1">
        <f t="shared" si="7"/>
        <v>1</v>
      </c>
      <c r="G464" s="2">
        <f>AVERAGEIFS([3]!players[gold_per_min], [3]!players[name],A464,[3]!players[hero_name],B464)</f>
        <v>427.33333333333331</v>
      </c>
      <c r="H464" s="2">
        <f>AVERAGEIFS([3]!players[xp_per_min], [3]!players[name],A464,[3]!players[hero_name],B464)</f>
        <v>643.66666666666663</v>
      </c>
    </row>
    <row r="465" spans="1:8" x14ac:dyDescent="0.3">
      <c r="A465" t="str">
        <v>dalul</v>
      </c>
      <c r="B465" t="str">
        <v>Rubick</v>
      </c>
      <c r="C465" t="str" cm="1">
        <f t="array" ref="C465">_xlfn.XLOOKUP(1,([3]!players[name]=A465)*([3]!players[hero_name]=B465),[3]!players[lane_name])</f>
        <v>Roam</v>
      </c>
      <c r="D465">
        <f>COUNTIFS([3]!players[name],A465,[3]!players[hero_name],B465)</f>
        <v>7</v>
      </c>
      <c r="E465">
        <f>COUNTIFS([3]!players[name],A465,[3]!players[hero_name],B465, [3]!players[win], 1)</f>
        <v>6</v>
      </c>
      <c r="F465" s="1">
        <f t="shared" si="7"/>
        <v>0.8571428571428571</v>
      </c>
      <c r="G465" s="2">
        <f>AVERAGEIFS([3]!players[gold_per_min], [3]!players[name],A465,[3]!players[hero_name],B465)</f>
        <v>419.71428571428572</v>
      </c>
      <c r="H465" s="2">
        <f>AVERAGEIFS([3]!players[xp_per_min], [3]!players[name],A465,[3]!players[hero_name],B465)</f>
        <v>585.85714285714289</v>
      </c>
    </row>
    <row r="466" spans="1:8" x14ac:dyDescent="0.3">
      <c r="A466" t="str">
        <v>dalul</v>
      </c>
      <c r="B466" t="str">
        <v>Shadow Demon</v>
      </c>
      <c r="C466" t="str" cm="1">
        <f t="array" ref="C466">_xlfn.XLOOKUP(1,([3]!players[name]=A466)*([3]!players[hero_name]=B466),[3]!players[lane_name])</f>
        <v>Soft Support</v>
      </c>
      <c r="D466">
        <f>COUNTIFS([3]!players[name],A466,[3]!players[hero_name],B466)</f>
        <v>1</v>
      </c>
      <c r="E466">
        <f>COUNTIFS([3]!players[name],A466,[3]!players[hero_name],B466, [3]!players[win], 1)</f>
        <v>0</v>
      </c>
      <c r="F466" s="1">
        <f t="shared" si="7"/>
        <v>0</v>
      </c>
      <c r="G466" s="2">
        <f>AVERAGEIFS([3]!players[gold_per_min], [3]!players[name],A466,[3]!players[hero_name],B466)</f>
        <v>312</v>
      </c>
      <c r="H466" s="2">
        <f>AVERAGEIFS([3]!players[xp_per_min], [3]!players[name],A466,[3]!players[hero_name],B466)</f>
        <v>411</v>
      </c>
    </row>
    <row r="467" spans="1:8" x14ac:dyDescent="0.3">
      <c r="A467" t="str">
        <v>dalul</v>
      </c>
      <c r="B467" t="str">
        <v>Io</v>
      </c>
      <c r="C467" t="str" cm="1">
        <f t="array" ref="C467">_xlfn.XLOOKUP(1,([3]!players[name]=A467)*([3]!players[hero_name]=B467),[3]!players[lane_name])</f>
        <v>Soft Support</v>
      </c>
      <c r="D467">
        <f>COUNTIFS([3]!players[name],A467,[3]!players[hero_name],B467)</f>
        <v>2</v>
      </c>
      <c r="E467">
        <f>COUNTIFS([3]!players[name],A467,[3]!players[hero_name],B467, [3]!players[win], 1)</f>
        <v>1</v>
      </c>
      <c r="F467" s="1">
        <f t="shared" si="7"/>
        <v>0.5</v>
      </c>
      <c r="G467" s="2">
        <f>AVERAGEIFS([3]!players[gold_per_min], [3]!players[name],A467,[3]!players[hero_name],B467)</f>
        <v>380.5</v>
      </c>
      <c r="H467" s="2">
        <f>AVERAGEIFS([3]!players[xp_per_min], [3]!players[name],A467,[3]!players[hero_name],B467)</f>
        <v>628</v>
      </c>
    </row>
    <row r="468" spans="1:8" x14ac:dyDescent="0.3">
      <c r="A468" t="str">
        <v>dalul</v>
      </c>
      <c r="B468" t="str">
        <v>Monkey King</v>
      </c>
      <c r="C468" t="str" cm="1">
        <f t="array" ref="C468">_xlfn.XLOOKUP(1,([3]!players[name]=A468)*([3]!players[hero_name]=B468),[3]!players[lane_name])</f>
        <v>Soft Support</v>
      </c>
      <c r="D468">
        <f>COUNTIFS([3]!players[name],A468,[3]!players[hero_name],B468)</f>
        <v>1</v>
      </c>
      <c r="E468">
        <f>COUNTIFS([3]!players[name],A468,[3]!players[hero_name],B468, [3]!players[win], 1)</f>
        <v>0</v>
      </c>
      <c r="F468" s="1">
        <f t="shared" si="7"/>
        <v>0</v>
      </c>
      <c r="G468" s="2">
        <f>AVERAGEIFS([3]!players[gold_per_min], [3]!players[name],A468,[3]!players[hero_name],B468)</f>
        <v>245</v>
      </c>
      <c r="H468" s="2">
        <f>AVERAGEIFS([3]!players[xp_per_min], [3]!players[name],A468,[3]!players[hero_name],B468)</f>
        <v>283</v>
      </c>
    </row>
    <row r="469" spans="1:8" x14ac:dyDescent="0.3">
      <c r="A469" t="str">
        <v>dalul</v>
      </c>
      <c r="B469" t="str">
        <v>Mirana</v>
      </c>
      <c r="C469" t="str" cm="1">
        <f t="array" ref="C469">_xlfn.XLOOKUP(1,([3]!players[name]=A469)*([3]!players[hero_name]=B469),[3]!players[lane_name])</f>
        <v>Soft Support</v>
      </c>
      <c r="D469">
        <f>COUNTIFS([3]!players[name],A469,[3]!players[hero_name],B469)</f>
        <v>2</v>
      </c>
      <c r="E469">
        <f>COUNTIFS([3]!players[name],A469,[3]!players[hero_name],B469, [3]!players[win], 1)</f>
        <v>2</v>
      </c>
      <c r="F469" s="1">
        <f t="shared" si="7"/>
        <v>1</v>
      </c>
      <c r="G469" s="2">
        <f>AVERAGEIFS([3]!players[gold_per_min], [3]!players[name],A469,[3]!players[hero_name],B469)</f>
        <v>488.5</v>
      </c>
      <c r="H469" s="2">
        <f>AVERAGEIFS([3]!players[xp_per_min], [3]!players[name],A469,[3]!players[hero_name],B469)</f>
        <v>691.5</v>
      </c>
    </row>
    <row r="470" spans="1:8" x14ac:dyDescent="0.3">
      <c r="A470" t="str">
        <v>dalul</v>
      </c>
      <c r="B470" t="str">
        <v>Grimstroke</v>
      </c>
      <c r="C470" t="str" cm="1">
        <f t="array" ref="C470">_xlfn.XLOOKUP(1,([3]!players[name]=A470)*([3]!players[hero_name]=B470),[3]!players[lane_name])</f>
        <v>Roam</v>
      </c>
      <c r="D470">
        <f>COUNTIFS([3]!players[name],A470,[3]!players[hero_name],B470)</f>
        <v>2</v>
      </c>
      <c r="E470">
        <f>COUNTIFS([3]!players[name],A470,[3]!players[hero_name],B470, [3]!players[win], 1)</f>
        <v>1</v>
      </c>
      <c r="F470" s="1">
        <f t="shared" si="7"/>
        <v>0.5</v>
      </c>
      <c r="G470" s="2">
        <f>AVERAGEIFS([3]!players[gold_per_min], [3]!players[name],A470,[3]!players[hero_name],B470)</f>
        <v>400.5</v>
      </c>
      <c r="H470" s="2">
        <f>AVERAGEIFS([3]!players[xp_per_min], [3]!players[name],A470,[3]!players[hero_name],B470)</f>
        <v>579</v>
      </c>
    </row>
    <row r="471" spans="1:8" x14ac:dyDescent="0.3">
      <c r="A471" t="str">
        <v>dalul</v>
      </c>
      <c r="B471" t="str">
        <v>Tusk</v>
      </c>
      <c r="C471" t="str" cm="1">
        <f t="array" ref="C471">_xlfn.XLOOKUP(1,([3]!players[name]=A471)*([3]!players[hero_name]=B471),[3]!players[lane_name])</f>
        <v>Roam</v>
      </c>
      <c r="D471">
        <f>COUNTIFS([3]!players[name],A471,[3]!players[hero_name],B471)</f>
        <v>1</v>
      </c>
      <c r="E471">
        <f>COUNTIFS([3]!players[name],A471,[3]!players[hero_name],B471, [3]!players[win], 1)</f>
        <v>0</v>
      </c>
      <c r="F471" s="1">
        <f t="shared" si="7"/>
        <v>0</v>
      </c>
      <c r="G471" s="2">
        <f>AVERAGEIFS([3]!players[gold_per_min], [3]!players[name],A471,[3]!players[hero_name],B471)</f>
        <v>258</v>
      </c>
      <c r="H471" s="2">
        <f>AVERAGEIFS([3]!players[xp_per_min], [3]!players[name],A471,[3]!players[hero_name],B471)</f>
        <v>370</v>
      </c>
    </row>
    <row r="472" spans="1:8" x14ac:dyDescent="0.3">
      <c r="A472" t="str">
        <v>Darklord^</v>
      </c>
      <c r="B472" t="str">
        <v>Dragon Knight</v>
      </c>
      <c r="C472" t="str" cm="1">
        <f t="array" ref="C472">_xlfn.XLOOKUP(1,([3]!players[name]=A472)*([3]!players[hero_name]=B472),[3]!players[lane_name])</f>
        <v>Carry</v>
      </c>
      <c r="D472">
        <f>COUNTIFS([3]!players[name],A472,[3]!players[hero_name],B472)</f>
        <v>1</v>
      </c>
      <c r="E472">
        <f>COUNTIFS([3]!players[name],A472,[3]!players[hero_name],B472, [3]!players[win], 1)</f>
        <v>1</v>
      </c>
      <c r="F472" s="1">
        <f t="shared" si="7"/>
        <v>1</v>
      </c>
      <c r="G472" s="2">
        <f>AVERAGEIFS([3]!players[gold_per_min], [3]!players[name],A472,[3]!players[hero_name],B472)</f>
        <v>651</v>
      </c>
      <c r="H472" s="2">
        <f>AVERAGEIFS([3]!players[xp_per_min], [3]!players[name],A472,[3]!players[hero_name],B472)</f>
        <v>682</v>
      </c>
    </row>
    <row r="473" spans="1:8" x14ac:dyDescent="0.3">
      <c r="A473" t="str">
        <v>Darklord^</v>
      </c>
      <c r="B473" t="str">
        <v>Monkey King</v>
      </c>
      <c r="C473" t="str" cm="1">
        <f t="array" ref="C473">_xlfn.XLOOKUP(1,([3]!players[name]=A473)*([3]!players[hero_name]=B473),[3]!players[lane_name])</f>
        <v>Carry</v>
      </c>
      <c r="D473">
        <f>COUNTIFS([3]!players[name],A473,[3]!players[hero_name],B473)</f>
        <v>8</v>
      </c>
      <c r="E473">
        <f>COUNTIFS([3]!players[name],A473,[3]!players[hero_name],B473, [3]!players[win], 1)</f>
        <v>6</v>
      </c>
      <c r="F473" s="1">
        <f t="shared" si="7"/>
        <v>0.75</v>
      </c>
      <c r="G473" s="2">
        <f>AVERAGEIFS([3]!players[gold_per_min], [3]!players[name],A473,[3]!players[hero_name],B473)</f>
        <v>621.375</v>
      </c>
      <c r="H473" s="2">
        <f>AVERAGEIFS([3]!players[xp_per_min], [3]!players[name],A473,[3]!players[hero_name],B473)</f>
        <v>779.75</v>
      </c>
    </row>
    <row r="474" spans="1:8" x14ac:dyDescent="0.3">
      <c r="A474" t="str">
        <v>Darklord^</v>
      </c>
      <c r="B474" t="str">
        <v>Muerta</v>
      </c>
      <c r="C474" t="str" cm="1">
        <f t="array" ref="C474">_xlfn.XLOOKUP(1,([3]!players[name]=A474)*([3]!players[hero_name]=B474),[3]!players[lane_name])</f>
        <v>Carry</v>
      </c>
      <c r="D474">
        <f>COUNTIFS([3]!players[name],A474,[3]!players[hero_name],B474)</f>
        <v>5</v>
      </c>
      <c r="E474">
        <f>COUNTIFS([3]!players[name],A474,[3]!players[hero_name],B474, [3]!players[win], 1)</f>
        <v>3</v>
      </c>
      <c r="F474" s="1">
        <f t="shared" si="7"/>
        <v>0.6</v>
      </c>
      <c r="G474" s="2">
        <f>AVERAGEIFS([3]!players[gold_per_min], [3]!players[name],A474,[3]!players[hero_name],B474)</f>
        <v>688.8</v>
      </c>
      <c r="H474" s="2">
        <f>AVERAGEIFS([3]!players[xp_per_min], [3]!players[name],A474,[3]!players[hero_name],B474)</f>
        <v>880.4</v>
      </c>
    </row>
    <row r="475" spans="1:8" x14ac:dyDescent="0.3">
      <c r="A475" t="str">
        <v>Darklord^</v>
      </c>
      <c r="B475" t="str">
        <v>Luna</v>
      </c>
      <c r="C475" t="str" cm="1">
        <f t="array" ref="C475">_xlfn.XLOOKUP(1,([3]!players[name]=A475)*([3]!players[hero_name]=B475),[3]!players[lane_name])</f>
        <v>Carry</v>
      </c>
      <c r="D475">
        <f>COUNTIFS([3]!players[name],A475,[3]!players[hero_name],B475)</f>
        <v>2</v>
      </c>
      <c r="E475">
        <f>COUNTIFS([3]!players[name],A475,[3]!players[hero_name],B475, [3]!players[win], 1)</f>
        <v>1</v>
      </c>
      <c r="F475" s="1">
        <f t="shared" si="7"/>
        <v>0.5</v>
      </c>
      <c r="G475" s="2">
        <f>AVERAGEIFS([3]!players[gold_per_min], [3]!players[name],A475,[3]!players[hero_name],B475)</f>
        <v>730.5</v>
      </c>
      <c r="H475" s="2">
        <f>AVERAGEIFS([3]!players[xp_per_min], [3]!players[name],A475,[3]!players[hero_name],B475)</f>
        <v>828.5</v>
      </c>
    </row>
    <row r="476" spans="1:8" x14ac:dyDescent="0.3">
      <c r="A476" t="str">
        <v>Darklord^</v>
      </c>
      <c r="B476" t="str">
        <v>Clinkz</v>
      </c>
      <c r="C476" t="str" cm="1">
        <f t="array" ref="C476">_xlfn.XLOOKUP(1,([3]!players[name]=A476)*([3]!players[hero_name]=B476),[3]!players[lane_name])</f>
        <v>Carry</v>
      </c>
      <c r="D476">
        <f>COUNTIFS([3]!players[name],A476,[3]!players[hero_name],B476)</f>
        <v>2</v>
      </c>
      <c r="E476">
        <f>COUNTIFS([3]!players[name],A476,[3]!players[hero_name],B476, [3]!players[win], 1)</f>
        <v>1</v>
      </c>
      <c r="F476" s="1">
        <f t="shared" si="7"/>
        <v>0.5</v>
      </c>
      <c r="G476" s="2">
        <f>AVERAGEIFS([3]!players[gold_per_min], [3]!players[name],A476,[3]!players[hero_name],B476)</f>
        <v>718</v>
      </c>
      <c r="H476" s="2">
        <f>AVERAGEIFS([3]!players[xp_per_min], [3]!players[name],A476,[3]!players[hero_name],B476)</f>
        <v>863</v>
      </c>
    </row>
    <row r="477" spans="1:8" x14ac:dyDescent="0.3">
      <c r="A477" t="str">
        <v>Darklord^</v>
      </c>
      <c r="B477" t="str">
        <v>Phantom Lancer</v>
      </c>
      <c r="C477" t="str" cm="1">
        <f t="array" ref="C477">_xlfn.XLOOKUP(1,([3]!players[name]=A477)*([3]!players[hero_name]=B477),[3]!players[lane_name])</f>
        <v>Carry</v>
      </c>
      <c r="D477">
        <f>COUNTIFS([3]!players[name],A477,[3]!players[hero_name],B477)</f>
        <v>1</v>
      </c>
      <c r="E477">
        <f>COUNTIFS([3]!players[name],A477,[3]!players[hero_name],B477, [3]!players[win], 1)</f>
        <v>1</v>
      </c>
      <c r="F477" s="1">
        <f t="shared" si="7"/>
        <v>1</v>
      </c>
      <c r="G477" s="2">
        <f>AVERAGEIFS([3]!players[gold_per_min], [3]!players[name],A477,[3]!players[hero_name],B477)</f>
        <v>770</v>
      </c>
      <c r="H477" s="2">
        <f>AVERAGEIFS([3]!players[xp_per_min], [3]!players[name],A477,[3]!players[hero_name],B477)</f>
        <v>922</v>
      </c>
    </row>
    <row r="478" spans="1:8" x14ac:dyDescent="0.3">
      <c r="A478" t="str">
        <v>Darklord^</v>
      </c>
      <c r="B478" t="str">
        <v>Weaver</v>
      </c>
      <c r="C478" t="str" cm="1">
        <f t="array" ref="C478">_xlfn.XLOOKUP(1,([3]!players[name]=A478)*([3]!players[hero_name]=B478),[3]!players[lane_name])</f>
        <v>Carry</v>
      </c>
      <c r="D478">
        <f>COUNTIFS([3]!players[name],A478,[3]!players[hero_name],B478)</f>
        <v>3</v>
      </c>
      <c r="E478">
        <f>COUNTIFS([3]!players[name],A478,[3]!players[hero_name],B478, [3]!players[win], 1)</f>
        <v>0</v>
      </c>
      <c r="F478" s="1">
        <f t="shared" si="7"/>
        <v>0</v>
      </c>
      <c r="G478" s="2">
        <f>AVERAGEIFS([3]!players[gold_per_min], [3]!players[name],A478,[3]!players[hero_name],B478)</f>
        <v>631.66666666666663</v>
      </c>
      <c r="H478" s="2">
        <f>AVERAGEIFS([3]!players[xp_per_min], [3]!players[name],A478,[3]!players[hero_name],B478)</f>
        <v>787.33333333333337</v>
      </c>
    </row>
    <row r="479" spans="1:8" x14ac:dyDescent="0.3">
      <c r="A479" t="str">
        <v>Darklord^</v>
      </c>
      <c r="B479" t="str">
        <v>Beastmaster</v>
      </c>
      <c r="C479" t="str" cm="1">
        <f t="array" ref="C479">_xlfn.XLOOKUP(1,([3]!players[name]=A479)*([3]!players[hero_name]=B479),[3]!players[lane_name])</f>
        <v>Carry</v>
      </c>
      <c r="D479">
        <f>COUNTIFS([3]!players[name],A479,[3]!players[hero_name],B479)</f>
        <v>2</v>
      </c>
      <c r="E479">
        <f>COUNTIFS([3]!players[name],A479,[3]!players[hero_name],B479, [3]!players[win], 1)</f>
        <v>2</v>
      </c>
      <c r="F479" s="1">
        <f t="shared" si="7"/>
        <v>1</v>
      </c>
      <c r="G479" s="2">
        <f>AVERAGEIFS([3]!players[gold_per_min], [3]!players[name],A479,[3]!players[hero_name],B479)</f>
        <v>732.5</v>
      </c>
      <c r="H479" s="2">
        <f>AVERAGEIFS([3]!players[xp_per_min], [3]!players[name],A479,[3]!players[hero_name],B479)</f>
        <v>908.5</v>
      </c>
    </row>
    <row r="480" spans="1:8" x14ac:dyDescent="0.3">
      <c r="A480" t="str">
        <v>Darklord^</v>
      </c>
      <c r="B480" t="str">
        <v>Bristleback</v>
      </c>
      <c r="C480" t="str" cm="1">
        <f t="array" ref="C480">_xlfn.XLOOKUP(1,([3]!players[name]=A480)*([3]!players[hero_name]=B480),[3]!players[lane_name])</f>
        <v>Carry</v>
      </c>
      <c r="D480">
        <f>COUNTIFS([3]!players[name],A480,[3]!players[hero_name],B480)</f>
        <v>2</v>
      </c>
      <c r="E480">
        <f>COUNTIFS([3]!players[name],A480,[3]!players[hero_name],B480, [3]!players[win], 1)</f>
        <v>0</v>
      </c>
      <c r="F480" s="1">
        <f t="shared" si="7"/>
        <v>0</v>
      </c>
      <c r="G480" s="2">
        <f>AVERAGEIFS([3]!players[gold_per_min], [3]!players[name],A480,[3]!players[hero_name],B480)</f>
        <v>460</v>
      </c>
      <c r="H480" s="2">
        <f>AVERAGEIFS([3]!players[xp_per_min], [3]!players[name],A480,[3]!players[hero_name],B480)</f>
        <v>510.5</v>
      </c>
    </row>
    <row r="481" spans="1:8" x14ac:dyDescent="0.3">
      <c r="A481" t="str">
        <v>Darklord^</v>
      </c>
      <c r="B481" t="str">
        <v>Lone Druid</v>
      </c>
      <c r="C481" t="str" cm="1">
        <f t="array" ref="C481">_xlfn.XLOOKUP(1,([3]!players[name]=A481)*([3]!players[hero_name]=B481),[3]!players[lane_name])</f>
        <v>Carry</v>
      </c>
      <c r="D481">
        <f>COUNTIFS([3]!players[name],A481,[3]!players[hero_name],B481)</f>
        <v>4</v>
      </c>
      <c r="E481">
        <f>COUNTIFS([3]!players[name],A481,[3]!players[hero_name],B481, [3]!players[win], 1)</f>
        <v>2</v>
      </c>
      <c r="F481" s="1">
        <f t="shared" si="7"/>
        <v>0.5</v>
      </c>
      <c r="G481" s="2">
        <f>AVERAGEIFS([3]!players[gold_per_min], [3]!players[name],A481,[3]!players[hero_name],B481)</f>
        <v>694.75</v>
      </c>
      <c r="H481" s="2">
        <f>AVERAGEIFS([3]!players[xp_per_min], [3]!players[name],A481,[3]!players[hero_name],B481)</f>
        <v>623.75</v>
      </c>
    </row>
    <row r="482" spans="1:8" x14ac:dyDescent="0.3">
      <c r="A482" t="str">
        <v>Darklord^</v>
      </c>
      <c r="B482" t="str">
        <v>Queen of Pain</v>
      </c>
      <c r="C482" t="str" cm="1">
        <f t="array" ref="C482">_xlfn.XLOOKUP(1,([3]!players[name]=A482)*([3]!players[hero_name]=B482),[3]!players[lane_name])</f>
        <v>Carry</v>
      </c>
      <c r="D482">
        <f>COUNTIFS([3]!players[name],A482,[3]!players[hero_name],B482)</f>
        <v>1</v>
      </c>
      <c r="E482">
        <f>COUNTIFS([3]!players[name],A482,[3]!players[hero_name],B482, [3]!players[win], 1)</f>
        <v>0</v>
      </c>
      <c r="F482" s="1">
        <f t="shared" si="7"/>
        <v>0</v>
      </c>
      <c r="G482" s="2">
        <f>AVERAGEIFS([3]!players[gold_per_min], [3]!players[name],A482,[3]!players[hero_name],B482)</f>
        <v>503</v>
      </c>
      <c r="H482" s="2">
        <f>AVERAGEIFS([3]!players[xp_per_min], [3]!players[name],A482,[3]!players[hero_name],B482)</f>
        <v>583</v>
      </c>
    </row>
    <row r="483" spans="1:8" x14ac:dyDescent="0.3">
      <c r="A483" t="str">
        <v>Darklord^</v>
      </c>
      <c r="B483" t="str">
        <v>Tiny</v>
      </c>
      <c r="C483" t="str" cm="1">
        <f t="array" ref="C483">_xlfn.XLOOKUP(1,([3]!players[name]=A483)*([3]!players[hero_name]=B483),[3]!players[lane_name])</f>
        <v>Carry</v>
      </c>
      <c r="D483">
        <f>COUNTIFS([3]!players[name],A483,[3]!players[hero_name],B483)</f>
        <v>2</v>
      </c>
      <c r="E483">
        <f>COUNTIFS([3]!players[name],A483,[3]!players[hero_name],B483, [3]!players[win], 1)</f>
        <v>2</v>
      </c>
      <c r="F483" s="1">
        <f t="shared" si="7"/>
        <v>1</v>
      </c>
      <c r="G483" s="2">
        <f>AVERAGEIFS([3]!players[gold_per_min], [3]!players[name],A483,[3]!players[hero_name],B483)</f>
        <v>680.5</v>
      </c>
      <c r="H483" s="2">
        <f>AVERAGEIFS([3]!players[xp_per_min], [3]!players[name],A483,[3]!players[hero_name],B483)</f>
        <v>929.5</v>
      </c>
    </row>
    <row r="484" spans="1:8" x14ac:dyDescent="0.3">
      <c r="A484" t="str">
        <v>Darklord^</v>
      </c>
      <c r="B484" t="str">
        <v>Ursa</v>
      </c>
      <c r="C484" t="str" cm="1">
        <f t="array" ref="C484">_xlfn.XLOOKUP(1,([3]!players[name]=A484)*([3]!players[hero_name]=B484),[3]!players[lane_name])</f>
        <v>Carry</v>
      </c>
      <c r="D484">
        <f>COUNTIFS([3]!players[name],A484,[3]!players[hero_name],B484)</f>
        <v>1</v>
      </c>
      <c r="E484">
        <f>COUNTIFS([3]!players[name],A484,[3]!players[hero_name],B484, [3]!players[win], 1)</f>
        <v>1</v>
      </c>
      <c r="F484" s="1">
        <f t="shared" si="7"/>
        <v>1</v>
      </c>
      <c r="G484" s="2">
        <f>AVERAGEIFS([3]!players[gold_per_min], [3]!players[name],A484,[3]!players[hero_name],B484)</f>
        <v>638</v>
      </c>
      <c r="H484" s="2">
        <f>AVERAGEIFS([3]!players[xp_per_min], [3]!players[name],A484,[3]!players[hero_name],B484)</f>
        <v>721</v>
      </c>
    </row>
    <row r="485" spans="1:8" x14ac:dyDescent="0.3">
      <c r="A485" t="str">
        <v>Darklord^</v>
      </c>
      <c r="B485" t="str">
        <v>Alchemist</v>
      </c>
      <c r="C485" t="str" cm="1">
        <f t="array" ref="C485">_xlfn.XLOOKUP(1,([3]!players[name]=A485)*([3]!players[hero_name]=B485),[3]!players[lane_name])</f>
        <v>Carry</v>
      </c>
      <c r="D485">
        <f>COUNTIFS([3]!players[name],A485,[3]!players[hero_name],B485)</f>
        <v>1</v>
      </c>
      <c r="E485">
        <f>COUNTIFS([3]!players[name],A485,[3]!players[hero_name],B485, [3]!players[win], 1)</f>
        <v>0</v>
      </c>
      <c r="F485" s="1">
        <f t="shared" si="7"/>
        <v>0</v>
      </c>
      <c r="G485" s="2">
        <f>AVERAGEIFS([3]!players[gold_per_min], [3]!players[name],A485,[3]!players[hero_name],B485)</f>
        <v>759</v>
      </c>
      <c r="H485" s="2">
        <f>AVERAGEIFS([3]!players[xp_per_min], [3]!players[name],A485,[3]!players[hero_name],B485)</f>
        <v>734</v>
      </c>
    </row>
    <row r="486" spans="1:8" x14ac:dyDescent="0.3">
      <c r="A486" t="str">
        <v>Darklord^</v>
      </c>
      <c r="B486" t="str">
        <v>Terrorblade</v>
      </c>
      <c r="C486" t="str" cm="1">
        <f t="array" ref="C486">_xlfn.XLOOKUP(1,([3]!players[name]=A486)*([3]!players[hero_name]=B486),[3]!players[lane_name])</f>
        <v>Carry</v>
      </c>
      <c r="D486">
        <f>COUNTIFS([3]!players[name],A486,[3]!players[hero_name],B486)</f>
        <v>1</v>
      </c>
      <c r="E486">
        <f>COUNTIFS([3]!players[name],A486,[3]!players[hero_name],B486, [3]!players[win], 1)</f>
        <v>0</v>
      </c>
      <c r="F486" s="1">
        <f t="shared" si="7"/>
        <v>0</v>
      </c>
      <c r="G486" s="2">
        <f>AVERAGEIFS([3]!players[gold_per_min], [3]!players[name],A486,[3]!players[hero_name],B486)</f>
        <v>409</v>
      </c>
      <c r="H486" s="2">
        <f>AVERAGEIFS([3]!players[xp_per_min], [3]!players[name],A486,[3]!players[hero_name],B486)</f>
        <v>436</v>
      </c>
    </row>
    <row r="487" spans="1:8" x14ac:dyDescent="0.3">
      <c r="A487" t="str">
        <v>Darklord^</v>
      </c>
      <c r="B487" t="str">
        <v>Lifestealer</v>
      </c>
      <c r="C487" t="str" cm="1">
        <f t="array" ref="C487">_xlfn.XLOOKUP(1,([3]!players[name]=A487)*([3]!players[hero_name]=B487),[3]!players[lane_name])</f>
        <v>Carry</v>
      </c>
      <c r="D487">
        <f>COUNTIFS([3]!players[name],A487,[3]!players[hero_name],B487)</f>
        <v>1</v>
      </c>
      <c r="E487">
        <f>COUNTIFS([3]!players[name],A487,[3]!players[hero_name],B487, [3]!players[win], 1)</f>
        <v>0</v>
      </c>
      <c r="F487" s="1">
        <f t="shared" si="7"/>
        <v>0</v>
      </c>
      <c r="G487" s="2">
        <f>AVERAGEIFS([3]!players[gold_per_min], [3]!players[name],A487,[3]!players[hero_name],B487)</f>
        <v>576</v>
      </c>
      <c r="H487" s="2">
        <f>AVERAGEIFS([3]!players[xp_per_min], [3]!players[name],A487,[3]!players[hero_name],B487)</f>
        <v>800</v>
      </c>
    </row>
    <row r="488" spans="1:8" x14ac:dyDescent="0.3">
      <c r="A488" t="str">
        <v>DarkMagoâ™¡</v>
      </c>
      <c r="B488" t="str">
        <v>Mars</v>
      </c>
      <c r="C488" t="str" cm="1">
        <f t="array" ref="C488">_xlfn.XLOOKUP(1,([3]!players[name]=A488)*([3]!players[hero_name]=B488),[3]!players[lane_name])</f>
        <v>Mid</v>
      </c>
      <c r="D488">
        <f>COUNTIFS([3]!players[name],A488,[3]!players[hero_name],B488)</f>
        <v>1</v>
      </c>
      <c r="E488">
        <f>COUNTIFS([3]!players[name],A488,[3]!players[hero_name],B488, [3]!players[win], 1)</f>
        <v>1</v>
      </c>
      <c r="F488" s="1">
        <f t="shared" si="7"/>
        <v>1</v>
      </c>
      <c r="G488" s="2">
        <f>AVERAGEIFS([3]!players[gold_per_min], [3]!players[name],A488,[3]!players[hero_name],B488)</f>
        <v>624</v>
      </c>
      <c r="H488" s="2">
        <f>AVERAGEIFS([3]!players[xp_per_min], [3]!players[name],A488,[3]!players[hero_name],B488)</f>
        <v>857</v>
      </c>
    </row>
    <row r="489" spans="1:8" x14ac:dyDescent="0.3">
      <c r="A489" t="str">
        <v>DarkMagoâ™¡</v>
      </c>
      <c r="B489" t="str">
        <v>Sand King</v>
      </c>
      <c r="C489" t="str" cm="1">
        <f t="array" ref="C489">_xlfn.XLOOKUP(1,([3]!players[name]=A489)*([3]!players[hero_name]=B489),[3]!players[lane_name])</f>
        <v>Mid</v>
      </c>
      <c r="D489">
        <f>COUNTIFS([3]!players[name],A489,[3]!players[hero_name],B489)</f>
        <v>3</v>
      </c>
      <c r="E489">
        <f>COUNTIFS([3]!players[name],A489,[3]!players[hero_name],B489, [3]!players[win], 1)</f>
        <v>2</v>
      </c>
      <c r="F489" s="1">
        <f t="shared" si="7"/>
        <v>0.66666666666666663</v>
      </c>
      <c r="G489" s="2">
        <f>AVERAGEIFS([3]!players[gold_per_min], [3]!players[name],A489,[3]!players[hero_name],B489)</f>
        <v>670.66666666666663</v>
      </c>
      <c r="H489" s="2">
        <f>AVERAGEIFS([3]!players[xp_per_min], [3]!players[name],A489,[3]!players[hero_name],B489)</f>
        <v>809.66666666666663</v>
      </c>
    </row>
    <row r="490" spans="1:8" x14ac:dyDescent="0.3">
      <c r="A490" t="str">
        <v>DarkMagoâ™¡</v>
      </c>
      <c r="B490" t="str">
        <v>Ember Spirit</v>
      </c>
      <c r="C490" t="str" cm="1">
        <f t="array" ref="C490">_xlfn.XLOOKUP(1,([3]!players[name]=A490)*([3]!players[hero_name]=B490),[3]!players[lane_name])</f>
        <v>Mid</v>
      </c>
      <c r="D490">
        <f>COUNTIFS([3]!players[name],A490,[3]!players[hero_name],B490)</f>
        <v>10</v>
      </c>
      <c r="E490">
        <f>COUNTIFS([3]!players[name],A490,[3]!players[hero_name],B490, [3]!players[win], 1)</f>
        <v>7</v>
      </c>
      <c r="F490" s="1">
        <f t="shared" si="7"/>
        <v>0.7</v>
      </c>
      <c r="G490" s="2">
        <f>AVERAGEIFS([3]!players[gold_per_min], [3]!players[name],A490,[3]!players[hero_name],B490)</f>
        <v>609.79999999999995</v>
      </c>
      <c r="H490" s="2">
        <f>AVERAGEIFS([3]!players[xp_per_min], [3]!players[name],A490,[3]!players[hero_name],B490)</f>
        <v>770</v>
      </c>
    </row>
    <row r="491" spans="1:8" x14ac:dyDescent="0.3">
      <c r="A491" t="str">
        <v>DarkMagoâ™¡</v>
      </c>
      <c r="B491" t="str">
        <v>Slardar</v>
      </c>
      <c r="C491" t="str" cm="1">
        <f t="array" ref="C491">_xlfn.XLOOKUP(1,([3]!players[name]=A491)*([3]!players[hero_name]=B491),[3]!players[lane_name])</f>
        <v>Mid</v>
      </c>
      <c r="D491">
        <f>COUNTIFS([3]!players[name],A491,[3]!players[hero_name],B491)</f>
        <v>6</v>
      </c>
      <c r="E491">
        <f>COUNTIFS([3]!players[name],A491,[3]!players[hero_name],B491, [3]!players[win], 1)</f>
        <v>3</v>
      </c>
      <c r="F491" s="1">
        <f t="shared" si="7"/>
        <v>0.5</v>
      </c>
      <c r="G491" s="2">
        <f>AVERAGEIFS([3]!players[gold_per_min], [3]!players[name],A491,[3]!players[hero_name],B491)</f>
        <v>576.83333333333337</v>
      </c>
      <c r="H491" s="2">
        <f>AVERAGEIFS([3]!players[xp_per_min], [3]!players[name],A491,[3]!players[hero_name],B491)</f>
        <v>797.16666666666663</v>
      </c>
    </row>
    <row r="492" spans="1:8" x14ac:dyDescent="0.3">
      <c r="A492" t="str">
        <v>DarkMagoâ™¡</v>
      </c>
      <c r="B492" t="str">
        <v>Sniper</v>
      </c>
      <c r="C492" t="str" cm="1">
        <f t="array" ref="C492">_xlfn.XLOOKUP(1,([3]!players[name]=A492)*([3]!players[hero_name]=B492),[3]!players[lane_name])</f>
        <v>Mid</v>
      </c>
      <c r="D492">
        <f>COUNTIFS([3]!players[name],A492,[3]!players[hero_name],B492)</f>
        <v>3</v>
      </c>
      <c r="E492">
        <f>COUNTIFS([3]!players[name],A492,[3]!players[hero_name],B492, [3]!players[win], 1)</f>
        <v>1</v>
      </c>
      <c r="F492" s="1">
        <f t="shared" si="7"/>
        <v>0.33333333333333331</v>
      </c>
      <c r="G492" s="2">
        <f>AVERAGEIFS([3]!players[gold_per_min], [3]!players[name],A492,[3]!players[hero_name],B492)</f>
        <v>728.66666666666663</v>
      </c>
      <c r="H492" s="2">
        <f>AVERAGEIFS([3]!players[xp_per_min], [3]!players[name],A492,[3]!players[hero_name],B492)</f>
        <v>883.66666666666663</v>
      </c>
    </row>
    <row r="493" spans="1:8" x14ac:dyDescent="0.3">
      <c r="A493" t="str">
        <v>DarkMagoâ™¡</v>
      </c>
      <c r="B493" t="str">
        <v>Kunkka</v>
      </c>
      <c r="C493" t="str" cm="1">
        <f t="array" ref="C493">_xlfn.XLOOKUP(1,([3]!players[name]=A493)*([3]!players[hero_name]=B493),[3]!players[lane_name])</f>
        <v>Mid</v>
      </c>
      <c r="D493">
        <f>COUNTIFS([3]!players[name],A493,[3]!players[hero_name],B493)</f>
        <v>13</v>
      </c>
      <c r="E493">
        <f>COUNTIFS([3]!players[name],A493,[3]!players[hero_name],B493, [3]!players[win], 1)</f>
        <v>8</v>
      </c>
      <c r="F493" s="1">
        <f t="shared" si="7"/>
        <v>0.61538461538461542</v>
      </c>
      <c r="G493" s="2">
        <f>AVERAGEIFS([3]!players[gold_per_min], [3]!players[name],A493,[3]!players[hero_name],B493)</f>
        <v>698.15384615384619</v>
      </c>
      <c r="H493" s="2">
        <f>AVERAGEIFS([3]!players[xp_per_min], [3]!players[name],A493,[3]!players[hero_name],B493)</f>
        <v>891.38461538461536</v>
      </c>
    </row>
    <row r="494" spans="1:8" x14ac:dyDescent="0.3">
      <c r="A494" t="str">
        <v>DarkMagoâ™¡</v>
      </c>
      <c r="B494" t="str">
        <v>Storm Spirit</v>
      </c>
      <c r="C494" t="str" cm="1">
        <f t="array" ref="C494">_xlfn.XLOOKUP(1,([3]!players[name]=A494)*([3]!players[hero_name]=B494),[3]!players[lane_name])</f>
        <v>Mid</v>
      </c>
      <c r="D494">
        <f>COUNTIFS([3]!players[name],A494,[3]!players[hero_name],B494)</f>
        <v>3</v>
      </c>
      <c r="E494">
        <f>COUNTIFS([3]!players[name],A494,[3]!players[hero_name],B494, [3]!players[win], 1)</f>
        <v>1</v>
      </c>
      <c r="F494" s="1">
        <f t="shared" si="7"/>
        <v>0.33333333333333331</v>
      </c>
      <c r="G494" s="2">
        <f>AVERAGEIFS([3]!players[gold_per_min], [3]!players[name],A494,[3]!players[hero_name],B494)</f>
        <v>629</v>
      </c>
      <c r="H494" s="2">
        <f>AVERAGEIFS([3]!players[xp_per_min], [3]!players[name],A494,[3]!players[hero_name],B494)</f>
        <v>813.33333333333337</v>
      </c>
    </row>
    <row r="495" spans="1:8" x14ac:dyDescent="0.3">
      <c r="A495" t="str">
        <v>DarkMagoâ™¡</v>
      </c>
      <c r="B495" t="str">
        <v>Viper</v>
      </c>
      <c r="C495" t="str" cm="1">
        <f t="array" ref="C495">_xlfn.XLOOKUP(1,([3]!players[name]=A495)*([3]!players[hero_name]=B495),[3]!players[lane_name])</f>
        <v>Mid</v>
      </c>
      <c r="D495">
        <f>COUNTIFS([3]!players[name],A495,[3]!players[hero_name],B495)</f>
        <v>4</v>
      </c>
      <c r="E495">
        <f>COUNTIFS([3]!players[name],A495,[3]!players[hero_name],B495, [3]!players[win], 1)</f>
        <v>2</v>
      </c>
      <c r="F495" s="1">
        <f t="shared" si="7"/>
        <v>0.5</v>
      </c>
      <c r="G495" s="2">
        <f>AVERAGEIFS([3]!players[gold_per_min], [3]!players[name],A495,[3]!players[hero_name],B495)</f>
        <v>720.75</v>
      </c>
      <c r="H495" s="2">
        <f>AVERAGEIFS([3]!players[xp_per_min], [3]!players[name],A495,[3]!players[hero_name],B495)</f>
        <v>909.75</v>
      </c>
    </row>
    <row r="496" spans="1:8" x14ac:dyDescent="0.3">
      <c r="A496" t="str">
        <v>DarkMagoâ™¡</v>
      </c>
      <c r="B496" t="str">
        <v>Queen of Pain</v>
      </c>
      <c r="C496" t="str" cm="1">
        <f t="array" ref="C496">_xlfn.XLOOKUP(1,([3]!players[name]=A496)*([3]!players[hero_name]=B496),[3]!players[lane_name])</f>
        <v>Mid</v>
      </c>
      <c r="D496">
        <f>COUNTIFS([3]!players[name],A496,[3]!players[hero_name],B496)</f>
        <v>9</v>
      </c>
      <c r="E496">
        <f>COUNTIFS([3]!players[name],A496,[3]!players[hero_name],B496, [3]!players[win], 1)</f>
        <v>6</v>
      </c>
      <c r="F496" s="1">
        <f t="shared" si="7"/>
        <v>0.66666666666666663</v>
      </c>
      <c r="G496" s="2">
        <f>AVERAGEIFS([3]!players[gold_per_min], [3]!players[name],A496,[3]!players[hero_name],B496)</f>
        <v>669.77777777777783</v>
      </c>
      <c r="H496" s="2">
        <f>AVERAGEIFS([3]!players[xp_per_min], [3]!players[name],A496,[3]!players[hero_name],B496)</f>
        <v>858.22222222222217</v>
      </c>
    </row>
    <row r="497" spans="1:8" x14ac:dyDescent="0.3">
      <c r="A497" t="str">
        <v>DarkMagoâ™¡</v>
      </c>
      <c r="B497" t="str">
        <v>Death Prophet</v>
      </c>
      <c r="C497" t="str" cm="1">
        <f t="array" ref="C497">_xlfn.XLOOKUP(1,([3]!players[name]=A497)*([3]!players[hero_name]=B497),[3]!players[lane_name])</f>
        <v>Mid</v>
      </c>
      <c r="D497">
        <f>COUNTIFS([3]!players[name],A497,[3]!players[hero_name],B497)</f>
        <v>4</v>
      </c>
      <c r="E497">
        <f>COUNTIFS([3]!players[name],A497,[3]!players[hero_name],B497, [3]!players[win], 1)</f>
        <v>4</v>
      </c>
      <c r="F497" s="1">
        <f t="shared" si="7"/>
        <v>1</v>
      </c>
      <c r="G497" s="2">
        <f>AVERAGEIFS([3]!players[gold_per_min], [3]!players[name],A497,[3]!players[hero_name],B497)</f>
        <v>676.5</v>
      </c>
      <c r="H497" s="2">
        <f>AVERAGEIFS([3]!players[xp_per_min], [3]!players[name],A497,[3]!players[hero_name],B497)</f>
        <v>871</v>
      </c>
    </row>
    <row r="498" spans="1:8" x14ac:dyDescent="0.3">
      <c r="A498" t="str">
        <v>DarkMagoâ™¡</v>
      </c>
      <c r="B498" t="str">
        <v>Pangolier</v>
      </c>
      <c r="C498" t="str" cm="1">
        <f t="array" ref="C498">_xlfn.XLOOKUP(1,([3]!players[name]=A498)*([3]!players[hero_name]=B498),[3]!players[lane_name])</f>
        <v>Mid</v>
      </c>
      <c r="D498">
        <f>COUNTIFS([3]!players[name],A498,[3]!players[hero_name],B498)</f>
        <v>11</v>
      </c>
      <c r="E498">
        <f>COUNTIFS([3]!players[name],A498,[3]!players[hero_name],B498, [3]!players[win], 1)</f>
        <v>7</v>
      </c>
      <c r="F498" s="1">
        <f t="shared" si="7"/>
        <v>0.63636363636363635</v>
      </c>
      <c r="G498" s="2">
        <f>AVERAGEIFS([3]!players[gold_per_min], [3]!players[name],A498,[3]!players[hero_name],B498)</f>
        <v>707.81818181818187</v>
      </c>
      <c r="H498" s="2">
        <f>AVERAGEIFS([3]!players[xp_per_min], [3]!players[name],A498,[3]!players[hero_name],B498)</f>
        <v>1025.1818181818182</v>
      </c>
    </row>
    <row r="499" spans="1:8" x14ac:dyDescent="0.3">
      <c r="A499" t="str">
        <v>DarkMagoâ™¡</v>
      </c>
      <c r="B499" t="str">
        <v>Earthshaker</v>
      </c>
      <c r="C499" t="str" cm="1">
        <f t="array" ref="C499">_xlfn.XLOOKUP(1,([3]!players[name]=A499)*([3]!players[hero_name]=B499),[3]!players[lane_name])</f>
        <v>Mid</v>
      </c>
      <c r="D499">
        <f>COUNTIFS([3]!players[name],A499,[3]!players[hero_name],B499)</f>
        <v>1</v>
      </c>
      <c r="E499">
        <f>COUNTIFS([3]!players[name],A499,[3]!players[hero_name],B499, [3]!players[win], 1)</f>
        <v>1</v>
      </c>
      <c r="F499" s="1">
        <f t="shared" si="7"/>
        <v>1</v>
      </c>
      <c r="G499" s="2">
        <f>AVERAGEIFS([3]!players[gold_per_min], [3]!players[name],A499,[3]!players[hero_name],B499)</f>
        <v>640</v>
      </c>
      <c r="H499" s="2">
        <f>AVERAGEIFS([3]!players[xp_per_min], [3]!players[name],A499,[3]!players[hero_name],B499)</f>
        <v>762</v>
      </c>
    </row>
    <row r="500" spans="1:8" x14ac:dyDescent="0.3">
      <c r="A500" t="str">
        <v>Davai Lama</v>
      </c>
      <c r="B500" t="str">
        <v>Viper</v>
      </c>
      <c r="C500" t="str" cm="1">
        <f t="array" ref="C500">_xlfn.XLOOKUP(1,([3]!players[name]=A500)*([3]!players[hero_name]=B500),[3]!players[lane_name])</f>
        <v>Off Lane</v>
      </c>
      <c r="D500">
        <f>COUNTIFS([3]!players[name],A500,[3]!players[hero_name],B500)</f>
        <v>1</v>
      </c>
      <c r="E500">
        <f>COUNTIFS([3]!players[name],A500,[3]!players[hero_name],B500, [3]!players[win], 1)</f>
        <v>1</v>
      </c>
      <c r="F500" s="1">
        <f t="shared" si="7"/>
        <v>1</v>
      </c>
      <c r="G500" s="2">
        <f>AVERAGEIFS([3]!players[gold_per_min], [3]!players[name],A500,[3]!players[hero_name],B500)</f>
        <v>519</v>
      </c>
      <c r="H500" s="2">
        <f>AVERAGEIFS([3]!players[xp_per_min], [3]!players[name],A500,[3]!players[hero_name],B500)</f>
        <v>632</v>
      </c>
    </row>
    <row r="501" spans="1:8" x14ac:dyDescent="0.3">
      <c r="A501" t="str">
        <v>Davai Lama</v>
      </c>
      <c r="B501" t="str">
        <v>Ember Spirit</v>
      </c>
      <c r="C501" t="str" cm="1">
        <f t="array" ref="C501">_xlfn.XLOOKUP(1,([3]!players[name]=A501)*([3]!players[hero_name]=B501),[3]!players[lane_name])</f>
        <v>Off Lane</v>
      </c>
      <c r="D501">
        <f>COUNTIFS([3]!players[name],A501,[3]!players[hero_name],B501)</f>
        <v>2</v>
      </c>
      <c r="E501">
        <f>COUNTIFS([3]!players[name],A501,[3]!players[hero_name],B501, [3]!players[win], 1)</f>
        <v>1</v>
      </c>
      <c r="F501" s="1">
        <f t="shared" si="7"/>
        <v>0.5</v>
      </c>
      <c r="G501" s="2">
        <f>AVERAGEIFS([3]!players[gold_per_min], [3]!players[name],A501,[3]!players[hero_name],B501)</f>
        <v>548</v>
      </c>
      <c r="H501" s="2">
        <f>AVERAGEIFS([3]!players[xp_per_min], [3]!players[name],A501,[3]!players[hero_name],B501)</f>
        <v>780.5</v>
      </c>
    </row>
    <row r="502" spans="1:8" x14ac:dyDescent="0.3">
      <c r="A502" t="str">
        <v>Davai Lama</v>
      </c>
      <c r="B502" t="str">
        <v>Timbersaw</v>
      </c>
      <c r="C502" t="str" cm="1">
        <f t="array" ref="C502">_xlfn.XLOOKUP(1,([3]!players[name]=A502)*([3]!players[hero_name]=B502),[3]!players[lane_name])</f>
        <v>Off Lane</v>
      </c>
      <c r="D502">
        <f>COUNTIFS([3]!players[name],A502,[3]!players[hero_name],B502)</f>
        <v>2</v>
      </c>
      <c r="E502">
        <f>COUNTIFS([3]!players[name],A502,[3]!players[hero_name],B502, [3]!players[win], 1)</f>
        <v>0</v>
      </c>
      <c r="F502" s="1">
        <f t="shared" si="7"/>
        <v>0</v>
      </c>
      <c r="G502" s="2">
        <f>AVERAGEIFS([3]!players[gold_per_min], [3]!players[name],A502,[3]!players[hero_name],B502)</f>
        <v>421</v>
      </c>
      <c r="H502" s="2">
        <f>AVERAGEIFS([3]!players[xp_per_min], [3]!players[name],A502,[3]!players[hero_name],B502)</f>
        <v>470</v>
      </c>
    </row>
    <row r="503" spans="1:8" x14ac:dyDescent="0.3">
      <c r="A503" t="str">
        <v>Davai Lama</v>
      </c>
      <c r="B503" t="str">
        <v>Tidehunter</v>
      </c>
      <c r="C503" t="str" cm="1">
        <f t="array" ref="C503">_xlfn.XLOOKUP(1,([3]!players[name]=A503)*([3]!players[hero_name]=B503),[3]!players[lane_name])</f>
        <v>Off Lane</v>
      </c>
      <c r="D503">
        <f>COUNTIFS([3]!players[name],A503,[3]!players[hero_name],B503)</f>
        <v>6</v>
      </c>
      <c r="E503">
        <f>COUNTIFS([3]!players[name],A503,[3]!players[hero_name],B503, [3]!players[win], 1)</f>
        <v>3</v>
      </c>
      <c r="F503" s="1">
        <f t="shared" si="7"/>
        <v>0.5</v>
      </c>
      <c r="G503" s="2">
        <f>AVERAGEIFS([3]!players[gold_per_min], [3]!players[name],A503,[3]!players[hero_name],B503)</f>
        <v>492.83333333333331</v>
      </c>
      <c r="H503" s="2">
        <f>AVERAGEIFS([3]!players[xp_per_min], [3]!players[name],A503,[3]!players[hero_name],B503)</f>
        <v>625.16666666666663</v>
      </c>
    </row>
    <row r="504" spans="1:8" x14ac:dyDescent="0.3">
      <c r="A504" t="str">
        <v>Davai Lama</v>
      </c>
      <c r="B504" t="str">
        <v>Doom</v>
      </c>
      <c r="C504" t="str" cm="1">
        <f t="array" ref="C504">_xlfn.XLOOKUP(1,([3]!players[name]=A504)*([3]!players[hero_name]=B504),[3]!players[lane_name])</f>
        <v>Off Lane</v>
      </c>
      <c r="D504">
        <f>COUNTIFS([3]!players[name],A504,[3]!players[hero_name],B504)</f>
        <v>2</v>
      </c>
      <c r="E504">
        <f>COUNTIFS([3]!players[name],A504,[3]!players[hero_name],B504, [3]!players[win], 1)</f>
        <v>1</v>
      </c>
      <c r="F504" s="1">
        <f t="shared" si="7"/>
        <v>0.5</v>
      </c>
      <c r="G504" s="2">
        <f>AVERAGEIFS([3]!players[gold_per_min], [3]!players[name],A504,[3]!players[hero_name],B504)</f>
        <v>577.5</v>
      </c>
      <c r="H504" s="2">
        <f>AVERAGEIFS([3]!players[xp_per_min], [3]!players[name],A504,[3]!players[hero_name],B504)</f>
        <v>779</v>
      </c>
    </row>
    <row r="505" spans="1:8" x14ac:dyDescent="0.3">
      <c r="A505" t="str">
        <v>Davai Lama</v>
      </c>
      <c r="B505" t="str">
        <v>Slardar</v>
      </c>
      <c r="C505" t="str" cm="1">
        <f t="array" ref="C505">_xlfn.XLOOKUP(1,([3]!players[name]=A505)*([3]!players[hero_name]=B505),[3]!players[lane_name])</f>
        <v>Off Lane</v>
      </c>
      <c r="D505">
        <f>COUNTIFS([3]!players[name],A505,[3]!players[hero_name],B505)</f>
        <v>2</v>
      </c>
      <c r="E505">
        <f>COUNTIFS([3]!players[name],A505,[3]!players[hero_name],B505, [3]!players[win], 1)</f>
        <v>1</v>
      </c>
      <c r="F505" s="1">
        <f t="shared" si="7"/>
        <v>0.5</v>
      </c>
      <c r="G505" s="2">
        <f>AVERAGEIFS([3]!players[gold_per_min], [3]!players[name],A505,[3]!players[hero_name],B505)</f>
        <v>457</v>
      </c>
      <c r="H505" s="2">
        <f>AVERAGEIFS([3]!players[xp_per_min], [3]!players[name],A505,[3]!players[hero_name],B505)</f>
        <v>554</v>
      </c>
    </row>
    <row r="506" spans="1:8" x14ac:dyDescent="0.3">
      <c r="A506" t="str">
        <v>Davai Lama</v>
      </c>
      <c r="B506" t="str">
        <v>Batrider</v>
      </c>
      <c r="C506" t="str" cm="1">
        <f t="array" ref="C506">_xlfn.XLOOKUP(1,([3]!players[name]=A506)*([3]!players[hero_name]=B506),[3]!players[lane_name])</f>
        <v>Off Lane</v>
      </c>
      <c r="D506">
        <f>COUNTIFS([3]!players[name],A506,[3]!players[hero_name],B506)</f>
        <v>1</v>
      </c>
      <c r="E506">
        <f>COUNTIFS([3]!players[name],A506,[3]!players[hero_name],B506, [3]!players[win], 1)</f>
        <v>1</v>
      </c>
      <c r="F506" s="1">
        <f t="shared" si="7"/>
        <v>1</v>
      </c>
      <c r="G506" s="2">
        <f>AVERAGEIFS([3]!players[gold_per_min], [3]!players[name],A506,[3]!players[hero_name],B506)</f>
        <v>630</v>
      </c>
      <c r="H506" s="2">
        <f>AVERAGEIFS([3]!players[xp_per_min], [3]!players[name],A506,[3]!players[hero_name],B506)</f>
        <v>1091</v>
      </c>
    </row>
    <row r="507" spans="1:8" x14ac:dyDescent="0.3">
      <c r="A507" t="str">
        <v>Davai Lama</v>
      </c>
      <c r="B507" t="str">
        <v>Underlord</v>
      </c>
      <c r="C507" t="str" cm="1">
        <f t="array" ref="C507">_xlfn.XLOOKUP(1,([3]!players[name]=A507)*([3]!players[hero_name]=B507),[3]!players[lane_name])</f>
        <v>Off Lane</v>
      </c>
      <c r="D507">
        <f>COUNTIFS([3]!players[name],A507,[3]!players[hero_name],B507)</f>
        <v>7</v>
      </c>
      <c r="E507">
        <f>COUNTIFS([3]!players[name],A507,[3]!players[hero_name],B507, [3]!players[win], 1)</f>
        <v>6</v>
      </c>
      <c r="F507" s="1">
        <f t="shared" si="7"/>
        <v>0.8571428571428571</v>
      </c>
      <c r="G507" s="2">
        <f>AVERAGEIFS([3]!players[gold_per_min], [3]!players[name],A507,[3]!players[hero_name],B507)</f>
        <v>605.42857142857144</v>
      </c>
      <c r="H507" s="2">
        <f>AVERAGEIFS([3]!players[xp_per_min], [3]!players[name],A507,[3]!players[hero_name],B507)</f>
        <v>820.85714285714289</v>
      </c>
    </row>
    <row r="508" spans="1:8" x14ac:dyDescent="0.3">
      <c r="A508" t="str">
        <v>Davai Lama</v>
      </c>
      <c r="B508" t="str">
        <v>Legion Commander</v>
      </c>
      <c r="C508" t="str" cm="1">
        <f t="array" ref="C508">_xlfn.XLOOKUP(1,([3]!players[name]=A508)*([3]!players[hero_name]=B508),[3]!players[lane_name])</f>
        <v>Off Lane</v>
      </c>
      <c r="D508">
        <f>COUNTIFS([3]!players[name],A508,[3]!players[hero_name],B508)</f>
        <v>3</v>
      </c>
      <c r="E508">
        <f>COUNTIFS([3]!players[name],A508,[3]!players[hero_name],B508, [3]!players[win], 1)</f>
        <v>3</v>
      </c>
      <c r="F508" s="1">
        <f t="shared" si="7"/>
        <v>1</v>
      </c>
      <c r="G508" s="2">
        <f>AVERAGEIFS([3]!players[gold_per_min], [3]!players[name],A508,[3]!players[hero_name],B508)</f>
        <v>486</v>
      </c>
      <c r="H508" s="2">
        <f>AVERAGEIFS([3]!players[xp_per_min], [3]!players[name],A508,[3]!players[hero_name],B508)</f>
        <v>719.33333333333337</v>
      </c>
    </row>
    <row r="509" spans="1:8" x14ac:dyDescent="0.3">
      <c r="A509" t="str">
        <v>Davai Lama</v>
      </c>
      <c r="B509" t="str">
        <v>Centaur Warrunner</v>
      </c>
      <c r="C509" t="str" cm="1">
        <f t="array" ref="C509">_xlfn.XLOOKUP(1,([3]!players[name]=A509)*([3]!players[hero_name]=B509),[3]!players[lane_name])</f>
        <v>Off Lane</v>
      </c>
      <c r="D509">
        <f>COUNTIFS([3]!players[name],A509,[3]!players[hero_name],B509)</f>
        <v>3</v>
      </c>
      <c r="E509">
        <f>COUNTIFS([3]!players[name],A509,[3]!players[hero_name],B509, [3]!players[win], 1)</f>
        <v>1</v>
      </c>
      <c r="F509" s="1">
        <f t="shared" si="7"/>
        <v>0.33333333333333331</v>
      </c>
      <c r="G509" s="2">
        <f>AVERAGEIFS([3]!players[gold_per_min], [3]!players[name],A509,[3]!players[hero_name],B509)</f>
        <v>525.66666666666663</v>
      </c>
      <c r="H509" s="2">
        <f>AVERAGEIFS([3]!players[xp_per_min], [3]!players[name],A509,[3]!players[hero_name],B509)</f>
        <v>650</v>
      </c>
    </row>
    <row r="510" spans="1:8" x14ac:dyDescent="0.3">
      <c r="A510" t="str">
        <v>Davai Lama</v>
      </c>
      <c r="B510" t="str">
        <v>Brewmaster</v>
      </c>
      <c r="C510" t="str" cm="1">
        <f t="array" ref="C510">_xlfn.XLOOKUP(1,([3]!players[name]=A510)*([3]!players[hero_name]=B510),[3]!players[lane_name])</f>
        <v>Off Lane</v>
      </c>
      <c r="D510">
        <f>COUNTIFS([3]!players[name],A510,[3]!players[hero_name],B510)</f>
        <v>1</v>
      </c>
      <c r="E510">
        <f>COUNTIFS([3]!players[name],A510,[3]!players[hero_name],B510, [3]!players[win], 1)</f>
        <v>1</v>
      </c>
      <c r="F510" s="1">
        <f t="shared" si="7"/>
        <v>1</v>
      </c>
      <c r="G510" s="2">
        <f>AVERAGEIFS([3]!players[gold_per_min], [3]!players[name],A510,[3]!players[hero_name],B510)</f>
        <v>594</v>
      </c>
      <c r="H510" s="2">
        <f>AVERAGEIFS([3]!players[xp_per_min], [3]!players[name],A510,[3]!players[hero_name],B510)</f>
        <v>734</v>
      </c>
    </row>
    <row r="511" spans="1:8" x14ac:dyDescent="0.3">
      <c r="A511" t="str">
        <v>Davai Lama</v>
      </c>
      <c r="B511" t="str">
        <v>Beastmaster</v>
      </c>
      <c r="C511" t="str" cm="1">
        <f t="array" ref="C511">_xlfn.XLOOKUP(1,([3]!players[name]=A511)*([3]!players[hero_name]=B511),[3]!players[lane_name])</f>
        <v>Off Lane</v>
      </c>
      <c r="D511">
        <f>COUNTIFS([3]!players[name],A511,[3]!players[hero_name],B511)</f>
        <v>2</v>
      </c>
      <c r="E511">
        <f>COUNTIFS([3]!players[name],A511,[3]!players[hero_name],B511, [3]!players[win], 1)</f>
        <v>1</v>
      </c>
      <c r="F511" s="1">
        <f t="shared" si="7"/>
        <v>0.5</v>
      </c>
      <c r="G511" s="2">
        <f>AVERAGEIFS([3]!players[gold_per_min], [3]!players[name],A511,[3]!players[hero_name],B511)</f>
        <v>603.5</v>
      </c>
      <c r="H511" s="2">
        <f>AVERAGEIFS([3]!players[xp_per_min], [3]!players[name],A511,[3]!players[hero_name],B511)</f>
        <v>726</v>
      </c>
    </row>
    <row r="512" spans="1:8" x14ac:dyDescent="0.3">
      <c r="A512" t="str">
        <v>Davai Lama</v>
      </c>
      <c r="B512" t="str">
        <v>Pangolier</v>
      </c>
      <c r="C512" t="str" cm="1">
        <f t="array" ref="C512">_xlfn.XLOOKUP(1,([3]!players[name]=A512)*([3]!players[hero_name]=B512),[3]!players[lane_name])</f>
        <v>Off Lane</v>
      </c>
      <c r="D512">
        <f>COUNTIFS([3]!players[name],A512,[3]!players[hero_name],B512)</f>
        <v>5</v>
      </c>
      <c r="E512">
        <f>COUNTIFS([3]!players[name],A512,[3]!players[hero_name],B512, [3]!players[win], 1)</f>
        <v>4</v>
      </c>
      <c r="F512" s="1">
        <f t="shared" si="7"/>
        <v>0.8</v>
      </c>
      <c r="G512" s="2">
        <f>AVERAGEIFS([3]!players[gold_per_min], [3]!players[name],A512,[3]!players[hero_name],B512)</f>
        <v>552</v>
      </c>
      <c r="H512" s="2">
        <f>AVERAGEIFS([3]!players[xp_per_min], [3]!players[name],A512,[3]!players[hero_name],B512)</f>
        <v>662</v>
      </c>
    </row>
    <row r="513" spans="1:8" x14ac:dyDescent="0.3">
      <c r="A513" t="str">
        <v>Davai Lama</v>
      </c>
      <c r="B513" t="str">
        <v>Bristleback</v>
      </c>
      <c r="C513" t="str" cm="1">
        <f t="array" ref="C513">_xlfn.XLOOKUP(1,([3]!players[name]=A513)*([3]!players[hero_name]=B513),[3]!players[lane_name])</f>
        <v>Off Lane</v>
      </c>
      <c r="D513">
        <f>COUNTIFS([3]!players[name],A513,[3]!players[hero_name],B513)</f>
        <v>6</v>
      </c>
      <c r="E513">
        <f>COUNTIFS([3]!players[name],A513,[3]!players[hero_name],B513, [3]!players[win], 1)</f>
        <v>5</v>
      </c>
      <c r="F513" s="1">
        <f t="shared" si="7"/>
        <v>0.83333333333333337</v>
      </c>
      <c r="G513" s="2">
        <f>AVERAGEIFS([3]!players[gold_per_min], [3]!players[name],A513,[3]!players[hero_name],B513)</f>
        <v>623.83333333333337</v>
      </c>
      <c r="H513" s="2">
        <f>AVERAGEIFS([3]!players[xp_per_min], [3]!players[name],A513,[3]!players[hero_name],B513)</f>
        <v>812.16666666666663</v>
      </c>
    </row>
    <row r="514" spans="1:8" x14ac:dyDescent="0.3">
      <c r="A514" t="str">
        <v>Davai Lama</v>
      </c>
      <c r="B514" t="str">
        <v>Axe</v>
      </c>
      <c r="C514" t="str" cm="1">
        <f t="array" ref="C514">_xlfn.XLOOKUP(1,([3]!players[name]=A514)*([3]!players[hero_name]=B514),[3]!players[lane_name])</f>
        <v>Off Lane</v>
      </c>
      <c r="D514">
        <f>COUNTIFS([3]!players[name],A514,[3]!players[hero_name],B514)</f>
        <v>1</v>
      </c>
      <c r="E514">
        <f>COUNTIFS([3]!players[name],A514,[3]!players[hero_name],B514, [3]!players[win], 1)</f>
        <v>0</v>
      </c>
      <c r="F514" s="1">
        <f t="shared" si="7"/>
        <v>0</v>
      </c>
      <c r="G514" s="2">
        <f>AVERAGEIFS([3]!players[gold_per_min], [3]!players[name],A514,[3]!players[hero_name],B514)</f>
        <v>477</v>
      </c>
      <c r="H514" s="2">
        <f>AVERAGEIFS([3]!players[xp_per_min], [3]!players[name],A514,[3]!players[hero_name],B514)</f>
        <v>518</v>
      </c>
    </row>
    <row r="515" spans="1:8" x14ac:dyDescent="0.3">
      <c r="A515" t="str">
        <v>Davai Lama</v>
      </c>
      <c r="B515" t="str">
        <v>Lycan</v>
      </c>
      <c r="C515" t="str" cm="1">
        <f t="array" ref="C515">_xlfn.XLOOKUP(1,([3]!players[name]=A515)*([3]!players[hero_name]=B515),[3]!players[lane_name])</f>
        <v>Off Lane</v>
      </c>
      <c r="D515">
        <f>COUNTIFS([3]!players[name],A515,[3]!players[hero_name],B515)</f>
        <v>1</v>
      </c>
      <c r="E515">
        <f>COUNTIFS([3]!players[name],A515,[3]!players[hero_name],B515, [3]!players[win], 1)</f>
        <v>1</v>
      </c>
      <c r="F515" s="1">
        <f t="shared" ref="F515:F578" si="8">E515/D515</f>
        <v>1</v>
      </c>
      <c r="G515" s="2">
        <f>AVERAGEIFS([3]!players[gold_per_min], [3]!players[name],A515,[3]!players[hero_name],B515)</f>
        <v>699</v>
      </c>
      <c r="H515" s="2">
        <f>AVERAGEIFS([3]!players[xp_per_min], [3]!players[name],A515,[3]!players[hero_name],B515)</f>
        <v>773</v>
      </c>
    </row>
    <row r="516" spans="1:8" x14ac:dyDescent="0.3">
      <c r="A516" t="str">
        <v>Davai Lama</v>
      </c>
      <c r="B516" t="str">
        <v>Kunkka</v>
      </c>
      <c r="C516" t="str" cm="1">
        <f t="array" ref="C516">_xlfn.XLOOKUP(1,([3]!players[name]=A516)*([3]!players[hero_name]=B516),[3]!players[lane_name])</f>
        <v>Off Lane</v>
      </c>
      <c r="D516">
        <f>COUNTIFS([3]!players[name],A516,[3]!players[hero_name],B516)</f>
        <v>1</v>
      </c>
      <c r="E516">
        <f>COUNTIFS([3]!players[name],A516,[3]!players[hero_name],B516, [3]!players[win], 1)</f>
        <v>1</v>
      </c>
      <c r="F516" s="1">
        <f t="shared" si="8"/>
        <v>1</v>
      </c>
      <c r="G516" s="2">
        <f>AVERAGEIFS([3]!players[gold_per_min], [3]!players[name],A516,[3]!players[hero_name],B516)</f>
        <v>675</v>
      </c>
      <c r="H516" s="2">
        <f>AVERAGEIFS([3]!players[xp_per_min], [3]!players[name],A516,[3]!players[hero_name],B516)</f>
        <v>842</v>
      </c>
    </row>
    <row r="517" spans="1:8" x14ac:dyDescent="0.3">
      <c r="A517" t="str">
        <v>Davai Lama</v>
      </c>
      <c r="B517" t="str">
        <v>Largo</v>
      </c>
      <c r="C517" t="str" cm="1">
        <f t="array" ref="C517">_xlfn.XLOOKUP(1,([3]!players[name]=A517)*([3]!players[hero_name]=B517),[3]!players[lane_name])</f>
        <v>Off Lane</v>
      </c>
      <c r="D517">
        <f>COUNTIFS([3]!players[name],A517,[3]!players[hero_name],B517)</f>
        <v>1</v>
      </c>
      <c r="E517">
        <f>COUNTIFS([3]!players[name],A517,[3]!players[hero_name],B517, [3]!players[win], 1)</f>
        <v>1</v>
      </c>
      <c r="F517" s="1">
        <f t="shared" si="8"/>
        <v>1</v>
      </c>
      <c r="G517" s="2">
        <f>AVERAGEIFS([3]!players[gold_per_min], [3]!players[name],A517,[3]!players[hero_name],B517)</f>
        <v>624</v>
      </c>
      <c r="H517" s="2">
        <f>AVERAGEIFS([3]!players[xp_per_min], [3]!players[name],A517,[3]!players[hero_name],B517)</f>
        <v>746</v>
      </c>
    </row>
    <row r="518" spans="1:8" x14ac:dyDescent="0.3">
      <c r="A518" t="str">
        <v>daze</v>
      </c>
      <c r="B518" t="str">
        <v>Shadow Demon</v>
      </c>
      <c r="C518" t="str" cm="1">
        <f t="array" ref="C518">_xlfn.XLOOKUP(1,([3]!players[name]=A518)*([3]!players[hero_name]=B518),[3]!players[lane_name])</f>
        <v>Hard Support</v>
      </c>
      <c r="D518">
        <f>COUNTIFS([3]!players[name],A518,[3]!players[hero_name],B518)</f>
        <v>6</v>
      </c>
      <c r="E518">
        <f>COUNTIFS([3]!players[name],A518,[3]!players[hero_name],B518, [3]!players[win], 1)</f>
        <v>4</v>
      </c>
      <c r="F518" s="1">
        <f t="shared" si="8"/>
        <v>0.66666666666666663</v>
      </c>
      <c r="G518" s="2">
        <f>AVERAGEIFS([3]!players[gold_per_min], [3]!players[name],A518,[3]!players[hero_name],B518)</f>
        <v>300.16666666666669</v>
      </c>
      <c r="H518" s="2">
        <f>AVERAGEIFS([3]!players[xp_per_min], [3]!players[name],A518,[3]!players[hero_name],B518)</f>
        <v>410.16666666666669</v>
      </c>
    </row>
    <row r="519" spans="1:8" x14ac:dyDescent="0.3">
      <c r="A519" t="str">
        <v>daze</v>
      </c>
      <c r="B519" t="str">
        <v>Rubick</v>
      </c>
      <c r="C519" t="str" cm="1">
        <f t="array" ref="C519">_xlfn.XLOOKUP(1,([3]!players[name]=A519)*([3]!players[hero_name]=B519),[3]!players[lane_name])</f>
        <v>Soft Support</v>
      </c>
      <c r="D519">
        <f>COUNTIFS([3]!players[name],A519,[3]!players[hero_name],B519)</f>
        <v>5</v>
      </c>
      <c r="E519">
        <f>COUNTIFS([3]!players[name],A519,[3]!players[hero_name],B519, [3]!players[win], 1)</f>
        <v>2</v>
      </c>
      <c r="F519" s="1">
        <f t="shared" si="8"/>
        <v>0.4</v>
      </c>
      <c r="G519" s="2">
        <f>AVERAGEIFS([3]!players[gold_per_min], [3]!players[name],A519,[3]!players[hero_name],B519)</f>
        <v>327</v>
      </c>
      <c r="H519" s="2">
        <f>AVERAGEIFS([3]!players[xp_per_min], [3]!players[name],A519,[3]!players[hero_name],B519)</f>
        <v>424.2</v>
      </c>
    </row>
    <row r="520" spans="1:8" x14ac:dyDescent="0.3">
      <c r="A520" t="str">
        <v>daze</v>
      </c>
      <c r="B520" t="str">
        <v>Tusk</v>
      </c>
      <c r="C520" t="str" cm="1">
        <f t="array" ref="C520">_xlfn.XLOOKUP(1,([3]!players[name]=A520)*([3]!players[hero_name]=B520),[3]!players[lane_name])</f>
        <v>Hard Support</v>
      </c>
      <c r="D520">
        <f>COUNTIFS([3]!players[name],A520,[3]!players[hero_name],B520)</f>
        <v>4</v>
      </c>
      <c r="E520">
        <f>COUNTIFS([3]!players[name],A520,[3]!players[hero_name],B520, [3]!players[win], 1)</f>
        <v>3</v>
      </c>
      <c r="F520" s="1">
        <f t="shared" si="8"/>
        <v>0.75</v>
      </c>
      <c r="G520" s="2">
        <f>AVERAGEIFS([3]!players[gold_per_min], [3]!players[name],A520,[3]!players[hero_name],B520)</f>
        <v>276.75</v>
      </c>
      <c r="H520" s="2">
        <f>AVERAGEIFS([3]!players[xp_per_min], [3]!players[name],A520,[3]!players[hero_name],B520)</f>
        <v>459.75</v>
      </c>
    </row>
    <row r="521" spans="1:8" x14ac:dyDescent="0.3">
      <c r="A521" t="str">
        <v>daze</v>
      </c>
      <c r="B521" t="str">
        <v>Dark Willow</v>
      </c>
      <c r="C521" t="str" cm="1">
        <f t="array" ref="C521">_xlfn.XLOOKUP(1,([3]!players[name]=A521)*([3]!players[hero_name]=B521),[3]!players[lane_name])</f>
        <v>Hard Support</v>
      </c>
      <c r="D521">
        <f>COUNTIFS([3]!players[name],A521,[3]!players[hero_name],B521)</f>
        <v>1</v>
      </c>
      <c r="E521">
        <f>COUNTIFS([3]!players[name],A521,[3]!players[hero_name],B521, [3]!players[win], 1)</f>
        <v>0</v>
      </c>
      <c r="F521" s="1">
        <f t="shared" si="8"/>
        <v>0</v>
      </c>
      <c r="G521" s="2">
        <f>AVERAGEIFS([3]!players[gold_per_min], [3]!players[name],A521,[3]!players[hero_name],B521)</f>
        <v>213</v>
      </c>
      <c r="H521" s="2">
        <f>AVERAGEIFS([3]!players[xp_per_min], [3]!players[name],A521,[3]!players[hero_name],B521)</f>
        <v>246</v>
      </c>
    </row>
    <row r="522" spans="1:8" x14ac:dyDescent="0.3">
      <c r="A522" t="str">
        <v>daze</v>
      </c>
      <c r="B522" t="str">
        <v>Marci</v>
      </c>
      <c r="C522" t="str" cm="1">
        <f t="array" ref="C522">_xlfn.XLOOKUP(1,([3]!players[name]=A522)*([3]!players[hero_name]=B522),[3]!players[lane_name])</f>
        <v>Hard Support</v>
      </c>
      <c r="D522">
        <f>COUNTIFS([3]!players[name],A522,[3]!players[hero_name],B522)</f>
        <v>1</v>
      </c>
      <c r="E522">
        <f>COUNTIFS([3]!players[name],A522,[3]!players[hero_name],B522, [3]!players[win], 1)</f>
        <v>0</v>
      </c>
      <c r="F522" s="1">
        <f t="shared" si="8"/>
        <v>0</v>
      </c>
      <c r="G522" s="2">
        <f>AVERAGEIFS([3]!players[gold_per_min], [3]!players[name],A522,[3]!players[hero_name],B522)</f>
        <v>219</v>
      </c>
      <c r="H522" s="2">
        <f>AVERAGEIFS([3]!players[xp_per_min], [3]!players[name],A522,[3]!players[hero_name],B522)</f>
        <v>314</v>
      </c>
    </row>
    <row r="523" spans="1:8" x14ac:dyDescent="0.3">
      <c r="A523" t="str">
        <v>daze</v>
      </c>
      <c r="B523" t="str">
        <v>Hoodwink</v>
      </c>
      <c r="C523" t="str" cm="1">
        <f t="array" ref="C523">_xlfn.XLOOKUP(1,([3]!players[name]=A523)*([3]!players[hero_name]=B523),[3]!players[lane_name])</f>
        <v>Soft Support</v>
      </c>
      <c r="D523">
        <f>COUNTIFS([3]!players[name],A523,[3]!players[hero_name],B523)</f>
        <v>3</v>
      </c>
      <c r="E523">
        <f>COUNTIFS([3]!players[name],A523,[3]!players[hero_name],B523, [3]!players[win], 1)</f>
        <v>1</v>
      </c>
      <c r="F523" s="1">
        <f t="shared" si="8"/>
        <v>0.33333333333333331</v>
      </c>
      <c r="G523" s="2">
        <f>AVERAGEIFS([3]!players[gold_per_min], [3]!players[name],A523,[3]!players[hero_name],B523)</f>
        <v>324.66666666666669</v>
      </c>
      <c r="H523" s="2">
        <f>AVERAGEIFS([3]!players[xp_per_min], [3]!players[name],A523,[3]!players[hero_name],B523)</f>
        <v>376</v>
      </c>
    </row>
    <row r="524" spans="1:8" x14ac:dyDescent="0.3">
      <c r="A524" t="str">
        <v>daze</v>
      </c>
      <c r="B524" t="str">
        <v>Keeper of the Light</v>
      </c>
      <c r="C524" t="str" cm="1">
        <f t="array" ref="C524">_xlfn.XLOOKUP(1,([3]!players[name]=A524)*([3]!players[hero_name]=B524),[3]!players[lane_name])</f>
        <v>Roam</v>
      </c>
      <c r="D524">
        <f>COUNTIFS([3]!players[name],A524,[3]!players[hero_name],B524)</f>
        <v>1</v>
      </c>
      <c r="E524">
        <f>COUNTIFS([3]!players[name],A524,[3]!players[hero_name],B524, [3]!players[win], 1)</f>
        <v>0</v>
      </c>
      <c r="F524" s="1">
        <f t="shared" si="8"/>
        <v>0</v>
      </c>
      <c r="G524" s="2">
        <f>AVERAGEIFS([3]!players[gold_per_min], [3]!players[name],A524,[3]!players[hero_name],B524)</f>
        <v>335</v>
      </c>
      <c r="H524" s="2">
        <f>AVERAGEIFS([3]!players[xp_per_min], [3]!players[name],A524,[3]!players[hero_name],B524)</f>
        <v>431</v>
      </c>
    </row>
    <row r="525" spans="1:8" x14ac:dyDescent="0.3">
      <c r="A525" t="str">
        <v>DCMC</v>
      </c>
      <c r="B525" t="str">
        <v>Pudge</v>
      </c>
      <c r="C525" t="str" cm="1">
        <f t="array" ref="C525">_xlfn.XLOOKUP(1,([3]!players[name]=A525)*([3]!players[hero_name]=B525),[3]!players[lane_name])</f>
        <v>Carry</v>
      </c>
      <c r="D525">
        <f>COUNTIFS([3]!players[name],A525,[3]!players[hero_name],B525)</f>
        <v>2</v>
      </c>
      <c r="E525">
        <f>COUNTIFS([3]!players[name],A525,[3]!players[hero_name],B525, [3]!players[win], 1)</f>
        <v>2</v>
      </c>
      <c r="F525" s="1">
        <f t="shared" si="8"/>
        <v>1</v>
      </c>
      <c r="G525" s="2">
        <f>AVERAGEIFS([3]!players[gold_per_min], [3]!players[name],A525,[3]!players[hero_name],B525)</f>
        <v>562</v>
      </c>
      <c r="H525" s="2">
        <f>AVERAGEIFS([3]!players[xp_per_min], [3]!players[name],A525,[3]!players[hero_name],B525)</f>
        <v>645.5</v>
      </c>
    </row>
    <row r="526" spans="1:8" x14ac:dyDescent="0.3">
      <c r="A526" t="str">
        <v>DCMC</v>
      </c>
      <c r="B526" t="str">
        <v>Weaver</v>
      </c>
      <c r="C526" t="str" cm="1">
        <f t="array" ref="C526">_xlfn.XLOOKUP(1,([3]!players[name]=A526)*([3]!players[hero_name]=B526),[3]!players[lane_name])</f>
        <v>Carry</v>
      </c>
      <c r="D526">
        <f>COUNTIFS([3]!players[name],A526,[3]!players[hero_name],B526)</f>
        <v>1</v>
      </c>
      <c r="E526">
        <f>COUNTIFS([3]!players[name],A526,[3]!players[hero_name],B526, [3]!players[win], 1)</f>
        <v>1</v>
      </c>
      <c r="F526" s="1">
        <f t="shared" si="8"/>
        <v>1</v>
      </c>
      <c r="G526" s="2">
        <f>AVERAGEIFS([3]!players[gold_per_min], [3]!players[name],A526,[3]!players[hero_name],B526)</f>
        <v>805</v>
      </c>
      <c r="H526" s="2">
        <f>AVERAGEIFS([3]!players[xp_per_min], [3]!players[name],A526,[3]!players[hero_name],B526)</f>
        <v>1121</v>
      </c>
    </row>
    <row r="527" spans="1:8" x14ac:dyDescent="0.3">
      <c r="A527" t="str">
        <v>DCMC</v>
      </c>
      <c r="B527" t="str">
        <v>Luna</v>
      </c>
      <c r="C527" t="str" cm="1">
        <f t="array" ref="C527">_xlfn.XLOOKUP(1,([3]!players[name]=A527)*([3]!players[hero_name]=B527),[3]!players[lane_name])</f>
        <v>Carry</v>
      </c>
      <c r="D527">
        <f>COUNTIFS([3]!players[name],A527,[3]!players[hero_name],B527)</f>
        <v>2</v>
      </c>
      <c r="E527">
        <f>COUNTIFS([3]!players[name],A527,[3]!players[hero_name],B527, [3]!players[win], 1)</f>
        <v>1</v>
      </c>
      <c r="F527" s="1">
        <f t="shared" si="8"/>
        <v>0.5</v>
      </c>
      <c r="G527" s="2">
        <f>AVERAGEIFS([3]!players[gold_per_min], [3]!players[name],A527,[3]!players[hero_name],B527)</f>
        <v>745.5</v>
      </c>
      <c r="H527" s="2">
        <f>AVERAGEIFS([3]!players[xp_per_min], [3]!players[name],A527,[3]!players[hero_name],B527)</f>
        <v>846.5</v>
      </c>
    </row>
    <row r="528" spans="1:8" x14ac:dyDescent="0.3">
      <c r="A528" t="str">
        <v>DCMC</v>
      </c>
      <c r="B528" t="str">
        <v>Marci</v>
      </c>
      <c r="C528" t="str" cm="1">
        <f t="array" ref="C528">_xlfn.XLOOKUP(1,([3]!players[name]=A528)*([3]!players[hero_name]=B528),[3]!players[lane_name])</f>
        <v>Carry</v>
      </c>
      <c r="D528">
        <f>COUNTIFS([3]!players[name],A528,[3]!players[hero_name],B528)</f>
        <v>2</v>
      </c>
      <c r="E528">
        <f>COUNTIFS([3]!players[name],A528,[3]!players[hero_name],B528, [3]!players[win], 1)</f>
        <v>1</v>
      </c>
      <c r="F528" s="1">
        <f t="shared" si="8"/>
        <v>0.5</v>
      </c>
      <c r="G528" s="2">
        <f>AVERAGEIFS([3]!players[gold_per_min], [3]!players[name],A528,[3]!players[hero_name],B528)</f>
        <v>547.5</v>
      </c>
      <c r="H528" s="2">
        <f>AVERAGEIFS([3]!players[xp_per_min], [3]!players[name],A528,[3]!players[hero_name],B528)</f>
        <v>682.5</v>
      </c>
    </row>
    <row r="529" spans="1:8" x14ac:dyDescent="0.3">
      <c r="A529" t="str">
        <v>DCMC</v>
      </c>
      <c r="B529" t="str">
        <v>Terrorblade</v>
      </c>
      <c r="C529" t="str" cm="1">
        <f t="array" ref="C529">_xlfn.XLOOKUP(1,([3]!players[name]=A529)*([3]!players[hero_name]=B529),[3]!players[lane_name])</f>
        <v>Carry</v>
      </c>
      <c r="D529">
        <f>COUNTIFS([3]!players[name],A529,[3]!players[hero_name],B529)</f>
        <v>1</v>
      </c>
      <c r="E529">
        <f>COUNTIFS([3]!players[name],A529,[3]!players[hero_name],B529, [3]!players[win], 1)</f>
        <v>0</v>
      </c>
      <c r="F529" s="1">
        <f t="shared" si="8"/>
        <v>0</v>
      </c>
      <c r="G529" s="2">
        <f>AVERAGEIFS([3]!players[gold_per_min], [3]!players[name],A529,[3]!players[hero_name],B529)</f>
        <v>902</v>
      </c>
      <c r="H529" s="2">
        <f>AVERAGEIFS([3]!players[xp_per_min], [3]!players[name],A529,[3]!players[hero_name],B529)</f>
        <v>876</v>
      </c>
    </row>
    <row r="530" spans="1:8" x14ac:dyDescent="0.3">
      <c r="A530" t="str">
        <v>DCMC</v>
      </c>
      <c r="B530" t="str">
        <v>Muerta</v>
      </c>
      <c r="C530" t="str" cm="1">
        <f t="array" ref="C530">_xlfn.XLOOKUP(1,([3]!players[name]=A530)*([3]!players[hero_name]=B530),[3]!players[lane_name])</f>
        <v>Carry</v>
      </c>
      <c r="D530">
        <f>COUNTIFS([3]!players[name],A530,[3]!players[hero_name],B530)</f>
        <v>1</v>
      </c>
      <c r="E530">
        <f>COUNTIFS([3]!players[name],A530,[3]!players[hero_name],B530, [3]!players[win], 1)</f>
        <v>1</v>
      </c>
      <c r="F530" s="1">
        <f t="shared" si="8"/>
        <v>1</v>
      </c>
      <c r="G530" s="2">
        <f>AVERAGEIFS([3]!players[gold_per_min], [3]!players[name],A530,[3]!players[hero_name],B530)</f>
        <v>737</v>
      </c>
      <c r="H530" s="2">
        <f>AVERAGEIFS([3]!players[xp_per_min], [3]!players[name],A530,[3]!players[hero_name],B530)</f>
        <v>1159</v>
      </c>
    </row>
    <row r="531" spans="1:8" x14ac:dyDescent="0.3">
      <c r="A531" t="str">
        <v>DCMC</v>
      </c>
      <c r="B531" t="str">
        <v>Beastmaster</v>
      </c>
      <c r="C531" t="str" cm="1">
        <f t="array" ref="C531">_xlfn.XLOOKUP(1,([3]!players[name]=A531)*([3]!players[hero_name]=B531),[3]!players[lane_name])</f>
        <v>Carry</v>
      </c>
      <c r="D531">
        <f>COUNTIFS([3]!players[name],A531,[3]!players[hero_name],B531)</f>
        <v>1</v>
      </c>
      <c r="E531">
        <f>COUNTIFS([3]!players[name],A531,[3]!players[hero_name],B531, [3]!players[win], 1)</f>
        <v>1</v>
      </c>
      <c r="F531" s="1">
        <f t="shared" si="8"/>
        <v>1</v>
      </c>
      <c r="G531" s="2">
        <f>AVERAGEIFS([3]!players[gold_per_min], [3]!players[name],A531,[3]!players[hero_name],B531)</f>
        <v>780</v>
      </c>
      <c r="H531" s="2">
        <f>AVERAGEIFS([3]!players[xp_per_min], [3]!players[name],A531,[3]!players[hero_name],B531)</f>
        <v>937</v>
      </c>
    </row>
    <row r="532" spans="1:8" x14ac:dyDescent="0.3">
      <c r="A532" t="str">
        <v>DCMC</v>
      </c>
      <c r="B532" t="str">
        <v>Gyrocopter</v>
      </c>
      <c r="C532" t="str" cm="1">
        <f t="array" ref="C532">_xlfn.XLOOKUP(1,([3]!players[name]=A532)*([3]!players[hero_name]=B532),[3]!players[lane_name])</f>
        <v>Carry</v>
      </c>
      <c r="D532">
        <f>COUNTIFS([3]!players[name],A532,[3]!players[hero_name],B532)</f>
        <v>1</v>
      </c>
      <c r="E532">
        <f>COUNTIFS([3]!players[name],A532,[3]!players[hero_name],B532, [3]!players[win], 1)</f>
        <v>0</v>
      </c>
      <c r="F532" s="1">
        <f t="shared" si="8"/>
        <v>0</v>
      </c>
      <c r="G532" s="2">
        <f>AVERAGEIFS([3]!players[gold_per_min], [3]!players[name],A532,[3]!players[hero_name],B532)</f>
        <v>792</v>
      </c>
      <c r="H532" s="2">
        <f>AVERAGEIFS([3]!players[xp_per_min], [3]!players[name],A532,[3]!players[hero_name],B532)</f>
        <v>867</v>
      </c>
    </row>
    <row r="533" spans="1:8" x14ac:dyDescent="0.3">
      <c r="A533" t="str">
        <v>DCMC</v>
      </c>
      <c r="B533" t="str">
        <v>Dawnbreaker</v>
      </c>
      <c r="C533" t="str" cm="1">
        <f t="array" ref="C533">_xlfn.XLOOKUP(1,([3]!players[name]=A533)*([3]!players[hero_name]=B533),[3]!players[lane_name])</f>
        <v>Carry</v>
      </c>
      <c r="D533">
        <f>COUNTIFS([3]!players[name],A533,[3]!players[hero_name],B533)</f>
        <v>1</v>
      </c>
      <c r="E533">
        <f>COUNTIFS([3]!players[name],A533,[3]!players[hero_name],B533, [3]!players[win], 1)</f>
        <v>0</v>
      </c>
      <c r="F533" s="1">
        <f t="shared" si="8"/>
        <v>0</v>
      </c>
      <c r="G533" s="2">
        <f>AVERAGEIFS([3]!players[gold_per_min], [3]!players[name],A533,[3]!players[hero_name],B533)</f>
        <v>601</v>
      </c>
      <c r="H533" s="2">
        <f>AVERAGEIFS([3]!players[xp_per_min], [3]!players[name],A533,[3]!players[hero_name],B533)</f>
        <v>724</v>
      </c>
    </row>
    <row r="534" spans="1:8" x14ac:dyDescent="0.3">
      <c r="A534" t="str">
        <v>DCMC</v>
      </c>
      <c r="B534" t="str">
        <v>Lifestealer</v>
      </c>
      <c r="C534" t="str" cm="1">
        <f t="array" ref="C534">_xlfn.XLOOKUP(1,([3]!players[name]=A534)*([3]!players[hero_name]=B534),[3]!players[lane_name])</f>
        <v>Carry</v>
      </c>
      <c r="D534">
        <f>COUNTIFS([3]!players[name],A534,[3]!players[hero_name],B534)</f>
        <v>2</v>
      </c>
      <c r="E534">
        <f>COUNTIFS([3]!players[name],A534,[3]!players[hero_name],B534, [3]!players[win], 1)</f>
        <v>1</v>
      </c>
      <c r="F534" s="1">
        <f t="shared" si="8"/>
        <v>0.5</v>
      </c>
      <c r="G534" s="2">
        <f>AVERAGEIFS([3]!players[gold_per_min], [3]!players[name],A534,[3]!players[hero_name],B534)</f>
        <v>696.5</v>
      </c>
      <c r="H534" s="2">
        <f>AVERAGEIFS([3]!players[xp_per_min], [3]!players[name],A534,[3]!players[hero_name],B534)</f>
        <v>841.5</v>
      </c>
    </row>
    <row r="535" spans="1:8" x14ac:dyDescent="0.3">
      <c r="A535" t="str">
        <v>DCMC</v>
      </c>
      <c r="B535" t="str">
        <v>Ursa</v>
      </c>
      <c r="C535" t="str" cm="1">
        <f t="array" ref="C535">_xlfn.XLOOKUP(1,([3]!players[name]=A535)*([3]!players[hero_name]=B535),[3]!players[lane_name])</f>
        <v>Carry</v>
      </c>
      <c r="D535">
        <f>COUNTIFS([3]!players[name],A535,[3]!players[hero_name],B535)</f>
        <v>1</v>
      </c>
      <c r="E535">
        <f>COUNTIFS([3]!players[name],A535,[3]!players[hero_name],B535, [3]!players[win], 1)</f>
        <v>0</v>
      </c>
      <c r="F535" s="1">
        <f t="shared" si="8"/>
        <v>0</v>
      </c>
      <c r="G535" s="2">
        <f>AVERAGEIFS([3]!players[gold_per_min], [3]!players[name],A535,[3]!players[hero_name],B535)</f>
        <v>645</v>
      </c>
      <c r="H535" s="2">
        <f>AVERAGEIFS([3]!players[xp_per_min], [3]!players[name],A535,[3]!players[hero_name],B535)</f>
        <v>891</v>
      </c>
    </row>
    <row r="536" spans="1:8" x14ac:dyDescent="0.3">
      <c r="A536" t="str">
        <v>DJ</v>
      </c>
      <c r="B536" t="str">
        <v>Rubick</v>
      </c>
      <c r="C536" t="str" cm="1">
        <f t="array" ref="C536">_xlfn.XLOOKUP(1,([3]!players[name]=A536)*([3]!players[hero_name]=B536),[3]!players[lane_name])</f>
        <v>Soft Support</v>
      </c>
      <c r="D536">
        <f>COUNTIFS([3]!players[name],A536,[3]!players[hero_name],B536)</f>
        <v>3</v>
      </c>
      <c r="E536">
        <f>COUNTIFS([3]!players[name],A536,[3]!players[hero_name],B536, [3]!players[win], 1)</f>
        <v>2</v>
      </c>
      <c r="F536" s="1">
        <f t="shared" si="8"/>
        <v>0.66666666666666663</v>
      </c>
      <c r="G536" s="2">
        <f>AVERAGEIFS([3]!players[gold_per_min], [3]!players[name],A536,[3]!players[hero_name],B536)</f>
        <v>379</v>
      </c>
      <c r="H536" s="2">
        <f>AVERAGEIFS([3]!players[xp_per_min], [3]!players[name],A536,[3]!players[hero_name],B536)</f>
        <v>570</v>
      </c>
    </row>
    <row r="537" spans="1:8" x14ac:dyDescent="0.3">
      <c r="A537" t="str">
        <v>DJ</v>
      </c>
      <c r="B537" t="str">
        <v>Tusk</v>
      </c>
      <c r="C537" t="str" cm="1">
        <f t="array" ref="C537">_xlfn.XLOOKUP(1,([3]!players[name]=A537)*([3]!players[hero_name]=B537),[3]!players[lane_name])</f>
        <v>Roam</v>
      </c>
      <c r="D537">
        <f>COUNTIFS([3]!players[name],A537,[3]!players[hero_name],B537)</f>
        <v>3</v>
      </c>
      <c r="E537">
        <f>COUNTIFS([3]!players[name],A537,[3]!players[hero_name],B537, [3]!players[win], 1)</f>
        <v>1</v>
      </c>
      <c r="F537" s="1">
        <f t="shared" si="8"/>
        <v>0.33333333333333331</v>
      </c>
      <c r="G537" s="2">
        <f>AVERAGEIFS([3]!players[gold_per_min], [3]!players[name],A537,[3]!players[hero_name],B537)</f>
        <v>322.66666666666669</v>
      </c>
      <c r="H537" s="2">
        <f>AVERAGEIFS([3]!players[xp_per_min], [3]!players[name],A537,[3]!players[hero_name],B537)</f>
        <v>439.33333333333331</v>
      </c>
    </row>
    <row r="538" spans="1:8" x14ac:dyDescent="0.3">
      <c r="A538" t="str">
        <v>DJ</v>
      </c>
      <c r="B538" t="str">
        <v>Shadow Shaman</v>
      </c>
      <c r="C538" t="str" cm="1">
        <f t="array" ref="C538">_xlfn.XLOOKUP(1,([3]!players[name]=A538)*([3]!players[hero_name]=B538),[3]!players[lane_name])</f>
        <v>Roam</v>
      </c>
      <c r="D538">
        <f>COUNTIFS([3]!players[name],A538,[3]!players[hero_name],B538)</f>
        <v>2</v>
      </c>
      <c r="E538">
        <f>COUNTIFS([3]!players[name],A538,[3]!players[hero_name],B538, [3]!players[win], 1)</f>
        <v>2</v>
      </c>
      <c r="F538" s="1">
        <f t="shared" si="8"/>
        <v>1</v>
      </c>
      <c r="G538" s="2">
        <f>AVERAGEIFS([3]!players[gold_per_min], [3]!players[name],A538,[3]!players[hero_name],B538)</f>
        <v>393</v>
      </c>
      <c r="H538" s="2">
        <f>AVERAGEIFS([3]!players[xp_per_min], [3]!players[name],A538,[3]!players[hero_name],B538)</f>
        <v>518</v>
      </c>
    </row>
    <row r="539" spans="1:8" x14ac:dyDescent="0.3">
      <c r="A539" t="str">
        <v>DJ</v>
      </c>
      <c r="B539" t="str">
        <v>Hoodwink</v>
      </c>
      <c r="C539" t="str" cm="1">
        <f t="array" ref="C539">_xlfn.XLOOKUP(1,([3]!players[name]=A539)*([3]!players[hero_name]=B539),[3]!players[lane_name])</f>
        <v>Hard Support</v>
      </c>
      <c r="D539">
        <f>COUNTIFS([3]!players[name],A539,[3]!players[hero_name],B539)</f>
        <v>2</v>
      </c>
      <c r="E539">
        <f>COUNTIFS([3]!players[name],A539,[3]!players[hero_name],B539, [3]!players[win], 1)</f>
        <v>0</v>
      </c>
      <c r="F539" s="1">
        <f t="shared" si="8"/>
        <v>0</v>
      </c>
      <c r="G539" s="2">
        <f>AVERAGEIFS([3]!players[gold_per_min], [3]!players[name],A539,[3]!players[hero_name],B539)</f>
        <v>240</v>
      </c>
      <c r="H539" s="2">
        <f>AVERAGEIFS([3]!players[xp_per_min], [3]!players[name],A539,[3]!players[hero_name],B539)</f>
        <v>303.5</v>
      </c>
    </row>
    <row r="540" spans="1:8" x14ac:dyDescent="0.3">
      <c r="A540" t="str">
        <v>DJ</v>
      </c>
      <c r="B540" t="str">
        <v>Weaver</v>
      </c>
      <c r="C540" t="str" cm="1">
        <f t="array" ref="C540">_xlfn.XLOOKUP(1,([3]!players[name]=A540)*([3]!players[hero_name]=B540),[3]!players[lane_name])</f>
        <v>Soft Support</v>
      </c>
      <c r="D540">
        <f>COUNTIFS([3]!players[name],A540,[3]!players[hero_name],B540)</f>
        <v>1</v>
      </c>
      <c r="E540">
        <f>COUNTIFS([3]!players[name],A540,[3]!players[hero_name],B540, [3]!players[win], 1)</f>
        <v>0</v>
      </c>
      <c r="F540" s="1">
        <f t="shared" si="8"/>
        <v>0</v>
      </c>
      <c r="G540" s="2">
        <f>AVERAGEIFS([3]!players[gold_per_min], [3]!players[name],A540,[3]!players[hero_name],B540)</f>
        <v>296</v>
      </c>
      <c r="H540" s="2">
        <f>AVERAGEIFS([3]!players[xp_per_min], [3]!players[name],A540,[3]!players[hero_name],B540)</f>
        <v>459</v>
      </c>
    </row>
    <row r="541" spans="1:8" x14ac:dyDescent="0.3">
      <c r="A541" t="str">
        <v>Dukalis</v>
      </c>
      <c r="B541" t="str">
        <v>Grimstroke</v>
      </c>
      <c r="C541" t="str" cm="1">
        <f t="array" ref="C541">_xlfn.XLOOKUP(1,([3]!players[name]=A541)*([3]!players[hero_name]=B541),[3]!players[lane_name])</f>
        <v>Hard Support</v>
      </c>
      <c r="D541">
        <f>COUNTIFS([3]!players[name],A541,[3]!players[hero_name],B541)</f>
        <v>3</v>
      </c>
      <c r="E541">
        <f>COUNTIFS([3]!players[name],A541,[3]!players[hero_name],B541, [3]!players[win], 1)</f>
        <v>2</v>
      </c>
      <c r="F541" s="1">
        <f t="shared" si="8"/>
        <v>0.66666666666666663</v>
      </c>
      <c r="G541" s="2">
        <f>AVERAGEIFS([3]!players[gold_per_min], [3]!players[name],A541,[3]!players[hero_name],B541)</f>
        <v>334</v>
      </c>
      <c r="H541" s="2">
        <f>AVERAGEIFS([3]!players[xp_per_min], [3]!players[name],A541,[3]!players[hero_name],B541)</f>
        <v>456.33333333333331</v>
      </c>
    </row>
    <row r="542" spans="1:8" x14ac:dyDescent="0.3">
      <c r="A542" t="str">
        <v>Dukalis</v>
      </c>
      <c r="B542" t="str">
        <v>Ancient Apparition</v>
      </c>
      <c r="C542" t="str" cm="1">
        <f t="array" ref="C542">_xlfn.XLOOKUP(1,([3]!players[name]=A542)*([3]!players[hero_name]=B542),[3]!players[lane_name])</f>
        <v>Hard Support</v>
      </c>
      <c r="D542">
        <f>COUNTIFS([3]!players[name],A542,[3]!players[hero_name],B542)</f>
        <v>1</v>
      </c>
      <c r="E542">
        <f>COUNTIFS([3]!players[name],A542,[3]!players[hero_name],B542, [3]!players[win], 1)</f>
        <v>1</v>
      </c>
      <c r="F542" s="1">
        <f t="shared" si="8"/>
        <v>1</v>
      </c>
      <c r="G542" s="2">
        <f>AVERAGEIFS([3]!players[gold_per_min], [3]!players[name],A542,[3]!players[hero_name],B542)</f>
        <v>354</v>
      </c>
      <c r="H542" s="2">
        <f>AVERAGEIFS([3]!players[xp_per_min], [3]!players[name],A542,[3]!players[hero_name],B542)</f>
        <v>544</v>
      </c>
    </row>
    <row r="543" spans="1:8" x14ac:dyDescent="0.3">
      <c r="A543" t="str">
        <v>Dukalis</v>
      </c>
      <c r="B543" t="str">
        <v>Phoenix</v>
      </c>
      <c r="C543" t="str" cm="1">
        <f t="array" ref="C543">_xlfn.XLOOKUP(1,([3]!players[name]=A543)*([3]!players[hero_name]=B543),[3]!players[lane_name])</f>
        <v>Hard Support</v>
      </c>
      <c r="D543">
        <f>COUNTIFS([3]!players[name],A543,[3]!players[hero_name],B543)</f>
        <v>10</v>
      </c>
      <c r="E543">
        <f>COUNTIFS([3]!players[name],A543,[3]!players[hero_name],B543, [3]!players[win], 1)</f>
        <v>8</v>
      </c>
      <c r="F543" s="1">
        <f t="shared" si="8"/>
        <v>0.8</v>
      </c>
      <c r="G543" s="2">
        <f>AVERAGEIFS([3]!players[gold_per_min], [3]!players[name],A543,[3]!players[hero_name],B543)</f>
        <v>372.4</v>
      </c>
      <c r="H543" s="2">
        <f>AVERAGEIFS([3]!players[xp_per_min], [3]!players[name],A543,[3]!players[hero_name],B543)</f>
        <v>464.6</v>
      </c>
    </row>
    <row r="544" spans="1:8" x14ac:dyDescent="0.3">
      <c r="A544" t="str">
        <v>Dukalis</v>
      </c>
      <c r="B544" t="str">
        <v>Oracle</v>
      </c>
      <c r="C544" t="str" cm="1">
        <f t="array" ref="C544">_xlfn.XLOOKUP(1,([3]!players[name]=A544)*([3]!players[hero_name]=B544),[3]!players[lane_name])</f>
        <v>Hard Support</v>
      </c>
      <c r="D544">
        <f>COUNTIFS([3]!players[name],A544,[3]!players[hero_name],B544)</f>
        <v>2</v>
      </c>
      <c r="E544">
        <f>COUNTIFS([3]!players[name],A544,[3]!players[hero_name],B544, [3]!players[win], 1)</f>
        <v>2</v>
      </c>
      <c r="F544" s="1">
        <f t="shared" si="8"/>
        <v>1</v>
      </c>
      <c r="G544" s="2">
        <f>AVERAGEIFS([3]!players[gold_per_min], [3]!players[name],A544,[3]!players[hero_name],B544)</f>
        <v>350</v>
      </c>
      <c r="H544" s="2">
        <f>AVERAGEIFS([3]!players[xp_per_min], [3]!players[name],A544,[3]!players[hero_name],B544)</f>
        <v>523.5</v>
      </c>
    </row>
    <row r="545" spans="1:8" x14ac:dyDescent="0.3">
      <c r="A545" t="str">
        <v>Dukalis</v>
      </c>
      <c r="B545" t="str">
        <v>Enchantress</v>
      </c>
      <c r="C545" t="str" cm="1">
        <f t="array" ref="C545">_xlfn.XLOOKUP(1,([3]!players[name]=A545)*([3]!players[hero_name]=B545),[3]!players[lane_name])</f>
        <v>Hard Support</v>
      </c>
      <c r="D545">
        <f>COUNTIFS([3]!players[name],A545,[3]!players[hero_name],B545)</f>
        <v>3</v>
      </c>
      <c r="E545">
        <f>COUNTIFS([3]!players[name],A545,[3]!players[hero_name],B545, [3]!players[win], 1)</f>
        <v>2</v>
      </c>
      <c r="F545" s="1">
        <f t="shared" si="8"/>
        <v>0.66666666666666663</v>
      </c>
      <c r="G545" s="2">
        <f>AVERAGEIFS([3]!players[gold_per_min], [3]!players[name],A545,[3]!players[hero_name],B545)</f>
        <v>372.33333333333331</v>
      </c>
      <c r="H545" s="2">
        <f>AVERAGEIFS([3]!players[xp_per_min], [3]!players[name],A545,[3]!players[hero_name],B545)</f>
        <v>496.66666666666669</v>
      </c>
    </row>
    <row r="546" spans="1:8" x14ac:dyDescent="0.3">
      <c r="A546" t="str">
        <v>Dukalis</v>
      </c>
      <c r="B546" t="str">
        <v>Chen</v>
      </c>
      <c r="C546" t="str" cm="1">
        <f t="array" ref="C546">_xlfn.XLOOKUP(1,([3]!players[name]=A546)*([3]!players[hero_name]=B546),[3]!players[lane_name])</f>
        <v>Hard Support</v>
      </c>
      <c r="D546">
        <f>COUNTIFS([3]!players[name],A546,[3]!players[hero_name],B546)</f>
        <v>3</v>
      </c>
      <c r="E546">
        <f>COUNTIFS([3]!players[name],A546,[3]!players[hero_name],B546, [3]!players[win], 1)</f>
        <v>3</v>
      </c>
      <c r="F546" s="1">
        <f t="shared" si="8"/>
        <v>1</v>
      </c>
      <c r="G546" s="2">
        <f>AVERAGEIFS([3]!players[gold_per_min], [3]!players[name],A546,[3]!players[hero_name],B546)</f>
        <v>409.33333333333331</v>
      </c>
      <c r="H546" s="2">
        <f>AVERAGEIFS([3]!players[xp_per_min], [3]!players[name],A546,[3]!players[hero_name],B546)</f>
        <v>454.66666666666669</v>
      </c>
    </row>
    <row r="547" spans="1:8" x14ac:dyDescent="0.3">
      <c r="A547" t="str">
        <v>Dukalis</v>
      </c>
      <c r="B547" t="str">
        <v>Treant Protector</v>
      </c>
      <c r="C547" t="str" cm="1">
        <f t="array" ref="C547">_xlfn.XLOOKUP(1,([3]!players[name]=A547)*([3]!players[hero_name]=B547),[3]!players[lane_name])</f>
        <v>Hard Support</v>
      </c>
      <c r="D547">
        <f>COUNTIFS([3]!players[name],A547,[3]!players[hero_name],B547)</f>
        <v>1</v>
      </c>
      <c r="E547">
        <f>COUNTIFS([3]!players[name],A547,[3]!players[hero_name],B547, [3]!players[win], 1)</f>
        <v>1</v>
      </c>
      <c r="F547" s="1">
        <f t="shared" si="8"/>
        <v>1</v>
      </c>
      <c r="G547" s="2">
        <f>AVERAGEIFS([3]!players[gold_per_min], [3]!players[name],A547,[3]!players[hero_name],B547)</f>
        <v>352</v>
      </c>
      <c r="H547" s="2">
        <f>AVERAGEIFS([3]!players[xp_per_min], [3]!players[name],A547,[3]!players[hero_name],B547)</f>
        <v>536</v>
      </c>
    </row>
    <row r="548" spans="1:8" x14ac:dyDescent="0.3">
      <c r="A548" t="str">
        <v>Dukalis</v>
      </c>
      <c r="B548" t="str">
        <v>Venomancer</v>
      </c>
      <c r="C548" t="str" cm="1">
        <f t="array" ref="C548">_xlfn.XLOOKUP(1,([3]!players[name]=A548)*([3]!players[hero_name]=B548),[3]!players[lane_name])</f>
        <v>Hard Support</v>
      </c>
      <c r="D548">
        <f>COUNTIFS([3]!players[name],A548,[3]!players[hero_name],B548)</f>
        <v>1</v>
      </c>
      <c r="E548">
        <f>COUNTIFS([3]!players[name],A548,[3]!players[hero_name],B548, [3]!players[win], 1)</f>
        <v>1</v>
      </c>
      <c r="F548" s="1">
        <f t="shared" si="8"/>
        <v>1</v>
      </c>
      <c r="G548" s="2">
        <f>AVERAGEIFS([3]!players[gold_per_min], [3]!players[name],A548,[3]!players[hero_name],B548)</f>
        <v>396</v>
      </c>
      <c r="H548" s="2">
        <f>AVERAGEIFS([3]!players[xp_per_min], [3]!players[name],A548,[3]!players[hero_name],B548)</f>
        <v>431</v>
      </c>
    </row>
    <row r="549" spans="1:8" x14ac:dyDescent="0.3">
      <c r="A549" t="str">
        <v>Dukalis</v>
      </c>
      <c r="B549" t="str">
        <v>Mirana</v>
      </c>
      <c r="C549" t="str" cm="1">
        <f t="array" ref="C549">_xlfn.XLOOKUP(1,([3]!players[name]=A549)*([3]!players[hero_name]=B549),[3]!players[lane_name])</f>
        <v>Roam</v>
      </c>
      <c r="D549">
        <f>COUNTIFS([3]!players[name],A549,[3]!players[hero_name],B549)</f>
        <v>4</v>
      </c>
      <c r="E549">
        <f>COUNTIFS([3]!players[name],A549,[3]!players[hero_name],B549, [3]!players[win], 1)</f>
        <v>2</v>
      </c>
      <c r="F549" s="1">
        <f t="shared" si="8"/>
        <v>0.5</v>
      </c>
      <c r="G549" s="2">
        <f>AVERAGEIFS([3]!players[gold_per_min], [3]!players[name],A549,[3]!players[hero_name],B549)</f>
        <v>343</v>
      </c>
      <c r="H549" s="2">
        <f>AVERAGEIFS([3]!players[xp_per_min], [3]!players[name],A549,[3]!players[hero_name],B549)</f>
        <v>420.75</v>
      </c>
    </row>
    <row r="550" spans="1:8" x14ac:dyDescent="0.3">
      <c r="A550" t="str">
        <v>Dukalis</v>
      </c>
      <c r="B550" t="str">
        <v>Pugna</v>
      </c>
      <c r="C550" t="str" cm="1">
        <f t="array" ref="C550">_xlfn.XLOOKUP(1,([3]!players[name]=A550)*([3]!players[hero_name]=B550),[3]!players[lane_name])</f>
        <v>Roam</v>
      </c>
      <c r="D550">
        <f>COUNTIFS([3]!players[name],A550,[3]!players[hero_name],B550)</f>
        <v>1</v>
      </c>
      <c r="E550">
        <f>COUNTIFS([3]!players[name],A550,[3]!players[hero_name],B550, [3]!players[win], 1)</f>
        <v>0</v>
      </c>
      <c r="F550" s="1">
        <f t="shared" si="8"/>
        <v>0</v>
      </c>
      <c r="G550" s="2">
        <f>AVERAGEIFS([3]!players[gold_per_min], [3]!players[name],A550,[3]!players[hero_name],B550)</f>
        <v>323</v>
      </c>
      <c r="H550" s="2">
        <f>AVERAGEIFS([3]!players[xp_per_min], [3]!players[name],A550,[3]!players[hero_name],B550)</f>
        <v>384</v>
      </c>
    </row>
    <row r="551" spans="1:8" x14ac:dyDescent="0.3">
      <c r="A551" t="str">
        <v>Dukalis</v>
      </c>
      <c r="B551" t="str">
        <v>Jakiro</v>
      </c>
      <c r="C551" t="str" cm="1">
        <f t="array" ref="C551">_xlfn.XLOOKUP(1,([3]!players[name]=A551)*([3]!players[hero_name]=B551),[3]!players[lane_name])</f>
        <v>Roam</v>
      </c>
      <c r="D551">
        <f>COUNTIFS([3]!players[name],A551,[3]!players[hero_name],B551)</f>
        <v>1</v>
      </c>
      <c r="E551">
        <f>COUNTIFS([3]!players[name],A551,[3]!players[hero_name],B551, [3]!players[win], 1)</f>
        <v>1</v>
      </c>
      <c r="F551" s="1">
        <f t="shared" si="8"/>
        <v>1</v>
      </c>
      <c r="G551" s="2">
        <f>AVERAGEIFS([3]!players[gold_per_min], [3]!players[name],A551,[3]!players[hero_name],B551)</f>
        <v>330</v>
      </c>
      <c r="H551" s="2">
        <f>AVERAGEIFS([3]!players[xp_per_min], [3]!players[name],A551,[3]!players[hero_name],B551)</f>
        <v>389</v>
      </c>
    </row>
    <row r="552" spans="1:8" x14ac:dyDescent="0.3">
      <c r="A552" t="str">
        <v>Dukalis</v>
      </c>
      <c r="B552" t="str">
        <v>Clockwerk</v>
      </c>
      <c r="C552" t="str" cm="1">
        <f t="array" ref="C552">_xlfn.XLOOKUP(1,([3]!players[name]=A552)*([3]!players[hero_name]=B552),[3]!players[lane_name])</f>
        <v>Hard Support</v>
      </c>
      <c r="D552">
        <f>COUNTIFS([3]!players[name],A552,[3]!players[hero_name],B552)</f>
        <v>1</v>
      </c>
      <c r="E552">
        <f>COUNTIFS([3]!players[name],A552,[3]!players[hero_name],B552, [3]!players[win], 1)</f>
        <v>0</v>
      </c>
      <c r="F552" s="1">
        <f t="shared" si="8"/>
        <v>0</v>
      </c>
      <c r="G552" s="2">
        <f>AVERAGEIFS([3]!players[gold_per_min], [3]!players[name],A552,[3]!players[hero_name],B552)</f>
        <v>255</v>
      </c>
      <c r="H552" s="2">
        <f>AVERAGEIFS([3]!players[xp_per_min], [3]!players[name],A552,[3]!players[hero_name],B552)</f>
        <v>263</v>
      </c>
    </row>
    <row r="553" spans="1:8" x14ac:dyDescent="0.3">
      <c r="A553" t="str">
        <v>é¡¹ç¾½</v>
      </c>
      <c r="B553" t="str">
        <v>Dawnbreaker</v>
      </c>
      <c r="C553" t="str" cm="1">
        <f t="array" ref="C553">_xlfn.XLOOKUP(1,([3]!players[name]=A553)*([3]!players[hero_name]=B553),[3]!players[lane_name])</f>
        <v>Off Lane</v>
      </c>
      <c r="D553">
        <f>COUNTIFS([3]!players[name],A553,[3]!players[hero_name],B553)</f>
        <v>6</v>
      </c>
      <c r="E553">
        <f>COUNTIFS([3]!players[name],A553,[3]!players[hero_name],B553, [3]!players[win], 1)</f>
        <v>1</v>
      </c>
      <c r="F553" s="1">
        <f t="shared" si="8"/>
        <v>0.16666666666666666</v>
      </c>
      <c r="G553" s="2">
        <f>AVERAGEIFS([3]!players[gold_per_min], [3]!players[name],A553,[3]!players[hero_name],B553)</f>
        <v>557.83333333333337</v>
      </c>
      <c r="H553" s="2">
        <f>AVERAGEIFS([3]!players[xp_per_min], [3]!players[name],A553,[3]!players[hero_name],B553)</f>
        <v>751.33333333333337</v>
      </c>
    </row>
    <row r="554" spans="1:8" x14ac:dyDescent="0.3">
      <c r="A554" t="str">
        <v>é¡¹ç¾½</v>
      </c>
      <c r="B554" t="str">
        <v>Bristleback</v>
      </c>
      <c r="C554" t="str" cm="1">
        <f t="array" ref="C554">_xlfn.XLOOKUP(1,([3]!players[name]=A554)*([3]!players[hero_name]=B554),[3]!players[lane_name])</f>
        <v>Off Lane</v>
      </c>
      <c r="D554">
        <f>COUNTIFS([3]!players[name],A554,[3]!players[hero_name],B554)</f>
        <v>1</v>
      </c>
      <c r="E554">
        <f>COUNTIFS([3]!players[name],A554,[3]!players[hero_name],B554, [3]!players[win], 1)</f>
        <v>0</v>
      </c>
      <c r="F554" s="1">
        <f t="shared" si="8"/>
        <v>0</v>
      </c>
      <c r="G554" s="2">
        <f>AVERAGEIFS([3]!players[gold_per_min], [3]!players[name],A554,[3]!players[hero_name],B554)</f>
        <v>580</v>
      </c>
      <c r="H554" s="2">
        <f>AVERAGEIFS([3]!players[xp_per_min], [3]!players[name],A554,[3]!players[hero_name],B554)</f>
        <v>701</v>
      </c>
    </row>
    <row r="555" spans="1:8" x14ac:dyDescent="0.3">
      <c r="A555" t="str">
        <v>é¡¹ç¾½</v>
      </c>
      <c r="B555" t="str">
        <v>Pudge</v>
      </c>
      <c r="C555" t="str" cm="1">
        <f t="array" ref="C555">_xlfn.XLOOKUP(1,([3]!players[name]=A555)*([3]!players[hero_name]=B555),[3]!players[lane_name])</f>
        <v>Carry</v>
      </c>
      <c r="D555">
        <f>COUNTIFS([3]!players[name],A555,[3]!players[hero_name],B555)</f>
        <v>1</v>
      </c>
      <c r="E555">
        <f>COUNTIFS([3]!players[name],A555,[3]!players[hero_name],B555, [3]!players[win], 1)</f>
        <v>1</v>
      </c>
      <c r="F555" s="1">
        <f t="shared" si="8"/>
        <v>1</v>
      </c>
      <c r="G555" s="2">
        <f>AVERAGEIFS([3]!players[gold_per_min], [3]!players[name],A555,[3]!players[hero_name],B555)</f>
        <v>647</v>
      </c>
      <c r="H555" s="2">
        <f>AVERAGEIFS([3]!players[xp_per_min], [3]!players[name],A555,[3]!players[hero_name],B555)</f>
        <v>949</v>
      </c>
    </row>
    <row r="556" spans="1:8" x14ac:dyDescent="0.3">
      <c r="A556" t="str">
        <v>é¡¹ç¾½</v>
      </c>
      <c r="B556" t="str">
        <v>Slardar</v>
      </c>
      <c r="C556" t="str" cm="1">
        <f t="array" ref="C556">_xlfn.XLOOKUP(1,([3]!players[name]=A556)*([3]!players[hero_name]=B556),[3]!players[lane_name])</f>
        <v>Off Lane</v>
      </c>
      <c r="D556">
        <f>COUNTIFS([3]!players[name],A556,[3]!players[hero_name],B556)</f>
        <v>1</v>
      </c>
      <c r="E556">
        <f>COUNTIFS([3]!players[name],A556,[3]!players[hero_name],B556, [3]!players[win], 1)</f>
        <v>0</v>
      </c>
      <c r="F556" s="1">
        <f t="shared" si="8"/>
        <v>0</v>
      </c>
      <c r="G556" s="2">
        <f>AVERAGEIFS([3]!players[gold_per_min], [3]!players[name],A556,[3]!players[hero_name],B556)</f>
        <v>417</v>
      </c>
      <c r="H556" s="2">
        <f>AVERAGEIFS([3]!players[xp_per_min], [3]!players[name],A556,[3]!players[hero_name],B556)</f>
        <v>530</v>
      </c>
    </row>
    <row r="557" spans="1:8" x14ac:dyDescent="0.3">
      <c r="A557" t="str">
        <v>é¡¹ç¾½</v>
      </c>
      <c r="B557" t="str">
        <v>Death Prophet</v>
      </c>
      <c r="C557" t="str" cm="1">
        <f t="array" ref="C557">_xlfn.XLOOKUP(1,([3]!players[name]=A557)*([3]!players[hero_name]=B557),[3]!players[lane_name])</f>
        <v>Off Lane</v>
      </c>
      <c r="D557">
        <f>COUNTIFS([3]!players[name],A557,[3]!players[hero_name],B557)</f>
        <v>1</v>
      </c>
      <c r="E557">
        <f>COUNTIFS([3]!players[name],A557,[3]!players[hero_name],B557, [3]!players[win], 1)</f>
        <v>0</v>
      </c>
      <c r="F557" s="1">
        <f t="shared" si="8"/>
        <v>0</v>
      </c>
      <c r="G557" s="2">
        <f>AVERAGEIFS([3]!players[gold_per_min], [3]!players[name],A557,[3]!players[hero_name],B557)</f>
        <v>545</v>
      </c>
      <c r="H557" s="2">
        <f>AVERAGEIFS([3]!players[xp_per_min], [3]!players[name],A557,[3]!players[hero_name],B557)</f>
        <v>563</v>
      </c>
    </row>
    <row r="558" spans="1:8" x14ac:dyDescent="0.3">
      <c r="A558" t="str">
        <v>é¡¹ç¾½</v>
      </c>
      <c r="B558" t="str">
        <v>Brewmaster</v>
      </c>
      <c r="C558" t="str" cm="1">
        <f t="array" ref="C558">_xlfn.XLOOKUP(1,([3]!players[name]=A558)*([3]!players[hero_name]=B558),[3]!players[lane_name])</f>
        <v>Off Lane</v>
      </c>
      <c r="D558">
        <f>COUNTIFS([3]!players[name],A558,[3]!players[hero_name],B558)</f>
        <v>3</v>
      </c>
      <c r="E558">
        <f>COUNTIFS([3]!players[name],A558,[3]!players[hero_name],B558, [3]!players[win], 1)</f>
        <v>2</v>
      </c>
      <c r="F558" s="1">
        <f t="shared" si="8"/>
        <v>0.66666666666666663</v>
      </c>
      <c r="G558" s="2">
        <f>AVERAGEIFS([3]!players[gold_per_min], [3]!players[name],A558,[3]!players[hero_name],B558)</f>
        <v>588.33333333333337</v>
      </c>
      <c r="H558" s="2">
        <f>AVERAGEIFS([3]!players[xp_per_min], [3]!players[name],A558,[3]!players[hero_name],B558)</f>
        <v>735</v>
      </c>
    </row>
    <row r="559" spans="1:8" x14ac:dyDescent="0.3">
      <c r="A559" t="str">
        <v>é¡¹ç¾½</v>
      </c>
      <c r="B559" t="str">
        <v>Pangolier</v>
      </c>
      <c r="C559" t="str" cm="1">
        <f t="array" ref="C559">_xlfn.XLOOKUP(1,([3]!players[name]=A559)*([3]!players[hero_name]=B559),[3]!players[lane_name])</f>
        <v>Off Lane</v>
      </c>
      <c r="D559">
        <f>COUNTIFS([3]!players[name],A559,[3]!players[hero_name],B559)</f>
        <v>4</v>
      </c>
      <c r="E559">
        <f>COUNTIFS([3]!players[name],A559,[3]!players[hero_name],B559, [3]!players[win], 1)</f>
        <v>3</v>
      </c>
      <c r="F559" s="1">
        <f t="shared" si="8"/>
        <v>0.75</v>
      </c>
      <c r="G559" s="2">
        <f>AVERAGEIFS([3]!players[gold_per_min], [3]!players[name],A559,[3]!players[hero_name],B559)</f>
        <v>662.75</v>
      </c>
      <c r="H559" s="2">
        <f>AVERAGEIFS([3]!players[xp_per_min], [3]!players[name],A559,[3]!players[hero_name],B559)</f>
        <v>933.75</v>
      </c>
    </row>
    <row r="560" spans="1:8" x14ac:dyDescent="0.3">
      <c r="A560" t="str">
        <v>é¡¹ç¾½</v>
      </c>
      <c r="B560" t="str">
        <v>Viper</v>
      </c>
      <c r="C560" t="str" cm="1">
        <f t="array" ref="C560">_xlfn.XLOOKUP(1,([3]!players[name]=A560)*([3]!players[hero_name]=B560),[3]!players[lane_name])</f>
        <v>Off Lane</v>
      </c>
      <c r="D560">
        <f>COUNTIFS([3]!players[name],A560,[3]!players[hero_name],B560)</f>
        <v>1</v>
      </c>
      <c r="E560">
        <f>COUNTIFS([3]!players[name],A560,[3]!players[hero_name],B560, [3]!players[win], 1)</f>
        <v>0</v>
      </c>
      <c r="F560" s="1">
        <f t="shared" si="8"/>
        <v>0</v>
      </c>
      <c r="G560" s="2">
        <f>AVERAGEIFS([3]!players[gold_per_min], [3]!players[name],A560,[3]!players[hero_name],B560)</f>
        <v>701</v>
      </c>
      <c r="H560" s="2">
        <f>AVERAGEIFS([3]!players[xp_per_min], [3]!players[name],A560,[3]!players[hero_name],B560)</f>
        <v>705</v>
      </c>
    </row>
    <row r="561" spans="1:8" x14ac:dyDescent="0.3">
      <c r="A561" t="str">
        <v>é¡¹ç¾½</v>
      </c>
      <c r="B561" t="str">
        <v>Largo</v>
      </c>
      <c r="C561" t="str" cm="1">
        <f t="array" ref="C561">_xlfn.XLOOKUP(1,([3]!players[name]=A561)*([3]!players[hero_name]=B561),[3]!players[lane_name])</f>
        <v>Off Lane</v>
      </c>
      <c r="D561">
        <f>COUNTIFS([3]!players[name],A561,[3]!players[hero_name],B561)</f>
        <v>1</v>
      </c>
      <c r="E561">
        <f>COUNTIFS([3]!players[name],A561,[3]!players[hero_name],B561, [3]!players[win], 1)</f>
        <v>0</v>
      </c>
      <c r="F561" s="1">
        <f t="shared" si="8"/>
        <v>0</v>
      </c>
      <c r="G561" s="2">
        <f>AVERAGEIFS([3]!players[gold_per_min], [3]!players[name],A561,[3]!players[hero_name],B561)</f>
        <v>419</v>
      </c>
      <c r="H561" s="2">
        <f>AVERAGEIFS([3]!players[xp_per_min], [3]!players[name],A561,[3]!players[hero_name],B561)</f>
        <v>493</v>
      </c>
    </row>
    <row r="562" spans="1:8" x14ac:dyDescent="0.3">
      <c r="A562" t="str">
        <v>é¡¹ç¾½</v>
      </c>
      <c r="B562" t="str">
        <v>Sand King</v>
      </c>
      <c r="C562" t="str" cm="1">
        <f t="array" ref="C562">_xlfn.XLOOKUP(1,([3]!players[name]=A562)*([3]!players[hero_name]=B562),[3]!players[lane_name])</f>
        <v>Off Lane</v>
      </c>
      <c r="D562">
        <f>COUNTIFS([3]!players[name],A562,[3]!players[hero_name],B562)</f>
        <v>1</v>
      </c>
      <c r="E562">
        <f>COUNTIFS([3]!players[name],A562,[3]!players[hero_name],B562, [3]!players[win], 1)</f>
        <v>0</v>
      </c>
      <c r="F562" s="1">
        <f t="shared" si="8"/>
        <v>0</v>
      </c>
      <c r="G562" s="2">
        <f>AVERAGEIFS([3]!players[gold_per_min], [3]!players[name],A562,[3]!players[hero_name],B562)</f>
        <v>380</v>
      </c>
      <c r="H562" s="2">
        <f>AVERAGEIFS([3]!players[xp_per_min], [3]!players[name],A562,[3]!players[hero_name],B562)</f>
        <v>414</v>
      </c>
    </row>
    <row r="563" spans="1:8" x14ac:dyDescent="0.3">
      <c r="A563" t="str">
        <v>é¡¹ç¾½</v>
      </c>
      <c r="B563" t="str">
        <v>Tidehunter</v>
      </c>
      <c r="C563" t="str" cm="1">
        <f t="array" ref="C563">_xlfn.XLOOKUP(1,([3]!players[name]=A563)*([3]!players[hero_name]=B563),[3]!players[lane_name])</f>
        <v>Off Lane</v>
      </c>
      <c r="D563">
        <f>COUNTIFS([3]!players[name],A563,[3]!players[hero_name],B563)</f>
        <v>1</v>
      </c>
      <c r="E563">
        <f>COUNTIFS([3]!players[name],A563,[3]!players[hero_name],B563, [3]!players[win], 1)</f>
        <v>0</v>
      </c>
      <c r="F563" s="1">
        <f t="shared" si="8"/>
        <v>0</v>
      </c>
      <c r="G563" s="2">
        <f>AVERAGEIFS([3]!players[gold_per_min], [3]!players[name],A563,[3]!players[hero_name],B563)</f>
        <v>540</v>
      </c>
      <c r="H563" s="2">
        <f>AVERAGEIFS([3]!players[xp_per_min], [3]!players[name],A563,[3]!players[hero_name],B563)</f>
        <v>681</v>
      </c>
    </row>
    <row r="564" spans="1:8" x14ac:dyDescent="0.3">
      <c r="A564" t="str">
        <v>é¡¹ç¾½</v>
      </c>
      <c r="B564" t="str">
        <v>Batrider</v>
      </c>
      <c r="C564" t="str" cm="1">
        <f t="array" ref="C564">_xlfn.XLOOKUP(1,([3]!players[name]=A564)*([3]!players[hero_name]=B564),[3]!players[lane_name])</f>
        <v>Off Lane</v>
      </c>
      <c r="D564">
        <f>COUNTIFS([3]!players[name],A564,[3]!players[hero_name],B564)</f>
        <v>1</v>
      </c>
      <c r="E564">
        <f>COUNTIFS([3]!players[name],A564,[3]!players[hero_name],B564, [3]!players[win], 1)</f>
        <v>1</v>
      </c>
      <c r="F564" s="1">
        <f t="shared" si="8"/>
        <v>1</v>
      </c>
      <c r="G564" s="2">
        <f>AVERAGEIFS([3]!players[gold_per_min], [3]!players[name],A564,[3]!players[hero_name],B564)</f>
        <v>540</v>
      </c>
      <c r="H564" s="2">
        <f>AVERAGEIFS([3]!players[xp_per_min], [3]!players[name],A564,[3]!players[hero_name],B564)</f>
        <v>702</v>
      </c>
    </row>
    <row r="565" spans="1:8" x14ac:dyDescent="0.3">
      <c r="A565" t="str">
        <v>é¡¹ç¾½</v>
      </c>
      <c r="B565" t="str">
        <v>Mars</v>
      </c>
      <c r="C565" t="str" cm="1">
        <f t="array" ref="C565">_xlfn.XLOOKUP(1,([3]!players[name]=A565)*([3]!players[hero_name]=B565),[3]!players[lane_name])</f>
        <v>Off Lane</v>
      </c>
      <c r="D565">
        <f>COUNTIFS([3]!players[name],A565,[3]!players[hero_name],B565)</f>
        <v>2</v>
      </c>
      <c r="E565">
        <f>COUNTIFS([3]!players[name],A565,[3]!players[hero_name],B565, [3]!players[win], 1)</f>
        <v>1</v>
      </c>
      <c r="F565" s="1">
        <f t="shared" si="8"/>
        <v>0.5</v>
      </c>
      <c r="G565" s="2">
        <f>AVERAGEIFS([3]!players[gold_per_min], [3]!players[name],A565,[3]!players[hero_name],B565)</f>
        <v>587.5</v>
      </c>
      <c r="H565" s="2">
        <f>AVERAGEIFS([3]!players[xp_per_min], [3]!players[name],A565,[3]!players[hero_name],B565)</f>
        <v>825.5</v>
      </c>
    </row>
    <row r="566" spans="1:8" x14ac:dyDescent="0.3">
      <c r="A566" t="str">
        <v>EchozZ</v>
      </c>
      <c r="B566" t="str">
        <v>Sand King</v>
      </c>
      <c r="C566" t="str" cm="1">
        <f t="array" ref="C566">_xlfn.XLOOKUP(1,([3]!players[name]=A566)*([3]!players[hero_name]=B566),[3]!players[lane_name])</f>
        <v>Mid</v>
      </c>
      <c r="D566">
        <f>COUNTIFS([3]!players[name],A566,[3]!players[hero_name],B566)</f>
        <v>6</v>
      </c>
      <c r="E566">
        <f>COUNTIFS([3]!players[name],A566,[3]!players[hero_name],B566, [3]!players[win], 1)</f>
        <v>5</v>
      </c>
      <c r="F566" s="1">
        <f t="shared" si="8"/>
        <v>0.83333333333333337</v>
      </c>
      <c r="G566" s="2">
        <f>AVERAGEIFS([3]!players[gold_per_min], [3]!players[name],A566,[3]!players[hero_name],B566)</f>
        <v>585.83333333333337</v>
      </c>
      <c r="H566" s="2">
        <f>AVERAGEIFS([3]!players[xp_per_min], [3]!players[name],A566,[3]!players[hero_name],B566)</f>
        <v>785.83333333333337</v>
      </c>
    </row>
    <row r="567" spans="1:8" x14ac:dyDescent="0.3">
      <c r="A567" t="str">
        <v>EchozZ</v>
      </c>
      <c r="B567" t="str">
        <v>Void Spirit</v>
      </c>
      <c r="C567" t="str" cm="1">
        <f t="array" ref="C567">_xlfn.XLOOKUP(1,([3]!players[name]=A567)*([3]!players[hero_name]=B567),[3]!players[lane_name])</f>
        <v>Mid</v>
      </c>
      <c r="D567">
        <f>COUNTIFS([3]!players[name],A567,[3]!players[hero_name],B567)</f>
        <v>3</v>
      </c>
      <c r="E567">
        <f>COUNTIFS([3]!players[name],A567,[3]!players[hero_name],B567, [3]!players[win], 1)</f>
        <v>2</v>
      </c>
      <c r="F567" s="1">
        <f t="shared" si="8"/>
        <v>0.66666666666666663</v>
      </c>
      <c r="G567" s="2">
        <f>AVERAGEIFS([3]!players[gold_per_min], [3]!players[name],A567,[3]!players[hero_name],B567)</f>
        <v>552</v>
      </c>
      <c r="H567" s="2">
        <f>AVERAGEIFS([3]!players[xp_per_min], [3]!players[name],A567,[3]!players[hero_name],B567)</f>
        <v>664</v>
      </c>
    </row>
    <row r="568" spans="1:8" x14ac:dyDescent="0.3">
      <c r="A568" t="str">
        <v>EchozZ</v>
      </c>
      <c r="B568" t="str">
        <v>Invoker</v>
      </c>
      <c r="C568" t="str" cm="1">
        <f t="array" ref="C568">_xlfn.XLOOKUP(1,([3]!players[name]=A568)*([3]!players[hero_name]=B568),[3]!players[lane_name])</f>
        <v>Mid</v>
      </c>
      <c r="D568">
        <f>COUNTIFS([3]!players[name],A568,[3]!players[hero_name],B568)</f>
        <v>1</v>
      </c>
      <c r="E568">
        <f>COUNTIFS([3]!players[name],A568,[3]!players[hero_name],B568, [3]!players[win], 1)</f>
        <v>0</v>
      </c>
      <c r="F568" s="1">
        <f t="shared" si="8"/>
        <v>0</v>
      </c>
      <c r="G568" s="2">
        <f>AVERAGEIFS([3]!players[gold_per_min], [3]!players[name],A568,[3]!players[hero_name],B568)</f>
        <v>494</v>
      </c>
      <c r="H568" s="2">
        <f>AVERAGEIFS([3]!players[xp_per_min], [3]!players[name],A568,[3]!players[hero_name],B568)</f>
        <v>459</v>
      </c>
    </row>
    <row r="569" spans="1:8" x14ac:dyDescent="0.3">
      <c r="A569" t="str">
        <v>EchozZ</v>
      </c>
      <c r="B569" t="str">
        <v>Beastmaster</v>
      </c>
      <c r="C569" t="str" cm="1">
        <f t="array" ref="C569">_xlfn.XLOOKUP(1,([3]!players[name]=A569)*([3]!players[hero_name]=B569),[3]!players[lane_name])</f>
        <v>Mid</v>
      </c>
      <c r="D569">
        <f>COUNTIFS([3]!players[name],A569,[3]!players[hero_name],B569)</f>
        <v>1</v>
      </c>
      <c r="E569">
        <f>COUNTIFS([3]!players[name],A569,[3]!players[hero_name],B569, [3]!players[win], 1)</f>
        <v>0</v>
      </c>
      <c r="F569" s="1">
        <f t="shared" si="8"/>
        <v>0</v>
      </c>
      <c r="G569" s="2">
        <f>AVERAGEIFS([3]!players[gold_per_min], [3]!players[name],A569,[3]!players[hero_name],B569)</f>
        <v>541</v>
      </c>
      <c r="H569" s="2">
        <f>AVERAGEIFS([3]!players[xp_per_min], [3]!players[name],A569,[3]!players[hero_name],B569)</f>
        <v>627</v>
      </c>
    </row>
    <row r="570" spans="1:8" x14ac:dyDescent="0.3">
      <c r="A570" t="str">
        <v>EchozZ</v>
      </c>
      <c r="B570" t="str">
        <v>Razor</v>
      </c>
      <c r="C570" t="str" cm="1">
        <f t="array" ref="C570">_xlfn.XLOOKUP(1,([3]!players[name]=A570)*([3]!players[hero_name]=B570),[3]!players[lane_name])</f>
        <v>Mid</v>
      </c>
      <c r="D570">
        <f>COUNTIFS([3]!players[name],A570,[3]!players[hero_name],B570)</f>
        <v>1</v>
      </c>
      <c r="E570">
        <f>COUNTIFS([3]!players[name],A570,[3]!players[hero_name],B570, [3]!players[win], 1)</f>
        <v>0</v>
      </c>
      <c r="F570" s="1">
        <f t="shared" si="8"/>
        <v>0</v>
      </c>
      <c r="G570" s="2">
        <f>AVERAGEIFS([3]!players[gold_per_min], [3]!players[name],A570,[3]!players[hero_name],B570)</f>
        <v>488</v>
      </c>
      <c r="H570" s="2">
        <f>AVERAGEIFS([3]!players[xp_per_min], [3]!players[name],A570,[3]!players[hero_name],B570)</f>
        <v>611</v>
      </c>
    </row>
    <row r="571" spans="1:8" x14ac:dyDescent="0.3">
      <c r="A571" t="str">
        <v>EchozZ</v>
      </c>
      <c r="B571" t="str">
        <v>Slardar</v>
      </c>
      <c r="C571" t="str" cm="1">
        <f t="array" ref="C571">_xlfn.XLOOKUP(1,([3]!players[name]=A571)*([3]!players[hero_name]=B571),[3]!players[lane_name])</f>
        <v>Mid</v>
      </c>
      <c r="D571">
        <f>COUNTIFS([3]!players[name],A571,[3]!players[hero_name],B571)</f>
        <v>1</v>
      </c>
      <c r="E571">
        <f>COUNTIFS([3]!players[name],A571,[3]!players[hero_name],B571, [3]!players[win], 1)</f>
        <v>1</v>
      </c>
      <c r="F571" s="1">
        <f t="shared" si="8"/>
        <v>1</v>
      </c>
      <c r="G571" s="2">
        <f>AVERAGEIFS([3]!players[gold_per_min], [3]!players[name],A571,[3]!players[hero_name],B571)</f>
        <v>484</v>
      </c>
      <c r="H571" s="2">
        <f>AVERAGEIFS([3]!players[xp_per_min], [3]!players[name],A571,[3]!players[hero_name],B571)</f>
        <v>684</v>
      </c>
    </row>
    <row r="572" spans="1:8" x14ac:dyDescent="0.3">
      <c r="A572" t="str">
        <v>EchozZ</v>
      </c>
      <c r="B572" t="str">
        <v>Ember Spirit</v>
      </c>
      <c r="C572" t="str" cm="1">
        <f t="array" ref="C572">_xlfn.XLOOKUP(1,([3]!players[name]=A572)*([3]!players[hero_name]=B572),[3]!players[lane_name])</f>
        <v>Mid</v>
      </c>
      <c r="D572">
        <f>COUNTIFS([3]!players[name],A572,[3]!players[hero_name],B572)</f>
        <v>2</v>
      </c>
      <c r="E572">
        <f>COUNTIFS([3]!players[name],A572,[3]!players[hero_name],B572, [3]!players[win], 1)</f>
        <v>2</v>
      </c>
      <c r="F572" s="1">
        <f t="shared" si="8"/>
        <v>1</v>
      </c>
      <c r="G572" s="2">
        <f>AVERAGEIFS([3]!players[gold_per_min], [3]!players[name],A572,[3]!players[hero_name],B572)</f>
        <v>531</v>
      </c>
      <c r="H572" s="2">
        <f>AVERAGEIFS([3]!players[xp_per_min], [3]!players[name],A572,[3]!players[hero_name],B572)</f>
        <v>655.5</v>
      </c>
    </row>
    <row r="573" spans="1:8" x14ac:dyDescent="0.3">
      <c r="A573" t="str">
        <v>Ekki</v>
      </c>
      <c r="B573" t="str">
        <v>Shadow Demon</v>
      </c>
      <c r="C573" t="str" cm="1">
        <f t="array" ref="C573">_xlfn.XLOOKUP(1,([3]!players[name]=A573)*([3]!players[hero_name]=B573),[3]!players[lane_name])</f>
        <v>Roam</v>
      </c>
      <c r="D573">
        <f>COUNTIFS([3]!players[name],A573,[3]!players[hero_name],B573)</f>
        <v>4</v>
      </c>
      <c r="E573">
        <f>COUNTIFS([3]!players[name],A573,[3]!players[hero_name],B573, [3]!players[win], 1)</f>
        <v>1</v>
      </c>
      <c r="F573" s="1">
        <f t="shared" si="8"/>
        <v>0.25</v>
      </c>
      <c r="G573" s="2">
        <f>AVERAGEIFS([3]!players[gold_per_min], [3]!players[name],A573,[3]!players[hero_name],B573)</f>
        <v>332</v>
      </c>
      <c r="H573" s="2">
        <f>AVERAGEIFS([3]!players[xp_per_min], [3]!players[name],A573,[3]!players[hero_name],B573)</f>
        <v>439.5</v>
      </c>
    </row>
    <row r="574" spans="1:8" x14ac:dyDescent="0.3">
      <c r="A574" t="str">
        <v>Ekki</v>
      </c>
      <c r="B574" t="str">
        <v>Io</v>
      </c>
      <c r="C574" t="str" cm="1">
        <f t="array" ref="C574">_xlfn.XLOOKUP(1,([3]!players[name]=A574)*([3]!players[hero_name]=B574),[3]!players[lane_name])</f>
        <v>Soft Support</v>
      </c>
      <c r="D574">
        <f>COUNTIFS([3]!players[name],A574,[3]!players[hero_name],B574)</f>
        <v>7</v>
      </c>
      <c r="E574">
        <f>COUNTIFS([3]!players[name],A574,[3]!players[hero_name],B574, [3]!players[win], 1)</f>
        <v>4</v>
      </c>
      <c r="F574" s="1">
        <f t="shared" si="8"/>
        <v>0.5714285714285714</v>
      </c>
      <c r="G574" s="2">
        <f>AVERAGEIFS([3]!players[gold_per_min], [3]!players[name],A574,[3]!players[hero_name],B574)</f>
        <v>374.57142857142856</v>
      </c>
      <c r="H574" s="2">
        <f>AVERAGEIFS([3]!players[xp_per_min], [3]!players[name],A574,[3]!players[hero_name],B574)</f>
        <v>573.85714285714289</v>
      </c>
    </row>
    <row r="575" spans="1:8" x14ac:dyDescent="0.3">
      <c r="A575" t="str">
        <v>Ekki</v>
      </c>
      <c r="B575" t="str">
        <v>Hoodwink</v>
      </c>
      <c r="C575" t="str" cm="1">
        <f t="array" ref="C575">_xlfn.XLOOKUP(1,([3]!players[name]=A575)*([3]!players[hero_name]=B575),[3]!players[lane_name])</f>
        <v>Soft Support</v>
      </c>
      <c r="D575">
        <f>COUNTIFS([3]!players[name],A575,[3]!players[hero_name],B575)</f>
        <v>10</v>
      </c>
      <c r="E575">
        <f>COUNTIFS([3]!players[name],A575,[3]!players[hero_name],B575, [3]!players[win], 1)</f>
        <v>7</v>
      </c>
      <c r="F575" s="1">
        <f t="shared" si="8"/>
        <v>0.7</v>
      </c>
      <c r="G575" s="2">
        <f>AVERAGEIFS([3]!players[gold_per_min], [3]!players[name],A575,[3]!players[hero_name],B575)</f>
        <v>407</v>
      </c>
      <c r="H575" s="2">
        <f>AVERAGEIFS([3]!players[xp_per_min], [3]!players[name],A575,[3]!players[hero_name],B575)</f>
        <v>610.70000000000005</v>
      </c>
    </row>
    <row r="576" spans="1:8" x14ac:dyDescent="0.3">
      <c r="A576" t="str">
        <v>Ekki</v>
      </c>
      <c r="B576" t="str">
        <v>Lion</v>
      </c>
      <c r="C576" t="str" cm="1">
        <f t="array" ref="C576">_xlfn.XLOOKUP(1,([3]!players[name]=A576)*([3]!players[hero_name]=B576),[3]!players[lane_name])</f>
        <v>Hard Support</v>
      </c>
      <c r="D576">
        <f>COUNTIFS([3]!players[name],A576,[3]!players[hero_name],B576)</f>
        <v>6</v>
      </c>
      <c r="E576">
        <f>COUNTIFS([3]!players[name],A576,[3]!players[hero_name],B576, [3]!players[win], 1)</f>
        <v>3</v>
      </c>
      <c r="F576" s="1">
        <f t="shared" si="8"/>
        <v>0.5</v>
      </c>
      <c r="G576" s="2">
        <f>AVERAGEIFS([3]!players[gold_per_min], [3]!players[name],A576,[3]!players[hero_name],B576)</f>
        <v>304.5</v>
      </c>
      <c r="H576" s="2">
        <f>AVERAGEIFS([3]!players[xp_per_min], [3]!players[name],A576,[3]!players[hero_name],B576)</f>
        <v>514.16666666666663</v>
      </c>
    </row>
    <row r="577" spans="1:8" x14ac:dyDescent="0.3">
      <c r="A577" t="str">
        <v>Ekki</v>
      </c>
      <c r="B577" t="str">
        <v>Tusk</v>
      </c>
      <c r="C577" t="str" cm="1">
        <f t="array" ref="C577">_xlfn.XLOOKUP(1,([3]!players[name]=A577)*([3]!players[hero_name]=B577),[3]!players[lane_name])</f>
        <v>Roam</v>
      </c>
      <c r="D577">
        <f>COUNTIFS([3]!players[name],A577,[3]!players[hero_name],B577)</f>
        <v>3</v>
      </c>
      <c r="E577">
        <f>COUNTIFS([3]!players[name],A577,[3]!players[hero_name],B577, [3]!players[win], 1)</f>
        <v>2</v>
      </c>
      <c r="F577" s="1">
        <f t="shared" si="8"/>
        <v>0.66666666666666663</v>
      </c>
      <c r="G577" s="2">
        <f>AVERAGEIFS([3]!players[gold_per_min], [3]!players[name],A577,[3]!players[hero_name],B577)</f>
        <v>316.33333333333331</v>
      </c>
      <c r="H577" s="2">
        <f>AVERAGEIFS([3]!players[xp_per_min], [3]!players[name],A577,[3]!players[hero_name],B577)</f>
        <v>576.66666666666663</v>
      </c>
    </row>
    <row r="578" spans="1:8" x14ac:dyDescent="0.3">
      <c r="A578" t="str">
        <v>Ekki</v>
      </c>
      <c r="B578" t="str">
        <v>Spirit Breaker</v>
      </c>
      <c r="C578" t="str" cm="1">
        <f t="array" ref="C578">_xlfn.XLOOKUP(1,([3]!players[name]=A578)*([3]!players[hero_name]=B578),[3]!players[lane_name])</f>
        <v>Roam</v>
      </c>
      <c r="D578">
        <f>COUNTIFS([3]!players[name],A578,[3]!players[hero_name],B578)</f>
        <v>1</v>
      </c>
      <c r="E578">
        <f>COUNTIFS([3]!players[name],A578,[3]!players[hero_name],B578, [3]!players[win], 1)</f>
        <v>1</v>
      </c>
      <c r="F578" s="1">
        <f t="shared" si="8"/>
        <v>1</v>
      </c>
      <c r="G578" s="2">
        <f>AVERAGEIFS([3]!players[gold_per_min], [3]!players[name],A578,[3]!players[hero_name],B578)</f>
        <v>366</v>
      </c>
      <c r="H578" s="2">
        <f>AVERAGEIFS([3]!players[xp_per_min], [3]!players[name],A578,[3]!players[hero_name],B578)</f>
        <v>582</v>
      </c>
    </row>
    <row r="579" spans="1:8" x14ac:dyDescent="0.3">
      <c r="A579" t="str">
        <v>Ekki</v>
      </c>
      <c r="B579" t="str">
        <v>Rubick</v>
      </c>
      <c r="C579" t="str" cm="1">
        <f t="array" ref="C579">_xlfn.XLOOKUP(1,([3]!players[name]=A579)*([3]!players[hero_name]=B579),[3]!players[lane_name])</f>
        <v>Soft Support</v>
      </c>
      <c r="D579">
        <f>COUNTIFS([3]!players[name],A579,[3]!players[hero_name],B579)</f>
        <v>4</v>
      </c>
      <c r="E579">
        <f>COUNTIFS([3]!players[name],A579,[3]!players[hero_name],B579, [3]!players[win], 1)</f>
        <v>3</v>
      </c>
      <c r="F579" s="1">
        <f t="shared" ref="F579:F642" si="9">E579/D579</f>
        <v>0.75</v>
      </c>
      <c r="G579" s="2">
        <f>AVERAGEIFS([3]!players[gold_per_min], [3]!players[name],A579,[3]!players[hero_name],B579)</f>
        <v>435.5</v>
      </c>
      <c r="H579" s="2">
        <f>AVERAGEIFS([3]!players[xp_per_min], [3]!players[name],A579,[3]!players[hero_name],B579)</f>
        <v>580</v>
      </c>
    </row>
    <row r="580" spans="1:8" x14ac:dyDescent="0.3">
      <c r="A580" t="str">
        <v>Ekki</v>
      </c>
      <c r="B580" t="str">
        <v>Keeper of the Light</v>
      </c>
      <c r="C580" t="str" cm="1">
        <f t="array" ref="C580">_xlfn.XLOOKUP(1,([3]!players[name]=A580)*([3]!players[hero_name]=B580),[3]!players[lane_name])</f>
        <v>Soft Support</v>
      </c>
      <c r="D580">
        <f>COUNTIFS([3]!players[name],A580,[3]!players[hero_name],B580)</f>
        <v>2</v>
      </c>
      <c r="E580">
        <f>COUNTIFS([3]!players[name],A580,[3]!players[hero_name],B580, [3]!players[win], 1)</f>
        <v>1</v>
      </c>
      <c r="F580" s="1">
        <f t="shared" si="9"/>
        <v>0.5</v>
      </c>
      <c r="G580" s="2">
        <f>AVERAGEIFS([3]!players[gold_per_min], [3]!players[name],A580,[3]!players[hero_name],B580)</f>
        <v>384.5</v>
      </c>
      <c r="H580" s="2">
        <f>AVERAGEIFS([3]!players[xp_per_min], [3]!players[name],A580,[3]!players[hero_name],B580)</f>
        <v>449.5</v>
      </c>
    </row>
    <row r="581" spans="1:8" x14ac:dyDescent="0.3">
      <c r="A581" t="str">
        <v>Elmisho</v>
      </c>
      <c r="B581" t="str">
        <v>Venomancer</v>
      </c>
      <c r="C581" t="str" cm="1">
        <f t="array" ref="C581">_xlfn.XLOOKUP(1,([3]!players[name]=A581)*([3]!players[hero_name]=B581),[3]!players[lane_name])</f>
        <v>Roam</v>
      </c>
      <c r="D581">
        <f>COUNTIFS([3]!players[name],A581,[3]!players[hero_name],B581)</f>
        <v>6</v>
      </c>
      <c r="E581">
        <f>COUNTIFS([3]!players[name],A581,[3]!players[hero_name],B581, [3]!players[win], 1)</f>
        <v>5</v>
      </c>
      <c r="F581" s="1">
        <f t="shared" si="9"/>
        <v>0.83333333333333337</v>
      </c>
      <c r="G581" s="2">
        <f>AVERAGEIFS([3]!players[gold_per_min], [3]!players[name],A581,[3]!players[hero_name],B581)</f>
        <v>410</v>
      </c>
      <c r="H581" s="2">
        <f>AVERAGEIFS([3]!players[xp_per_min], [3]!players[name],A581,[3]!players[hero_name],B581)</f>
        <v>452</v>
      </c>
    </row>
    <row r="582" spans="1:8" x14ac:dyDescent="0.3">
      <c r="A582" t="str">
        <v>Elmisho</v>
      </c>
      <c r="B582" t="str">
        <v>Enchantress</v>
      </c>
      <c r="C582" t="str" cm="1">
        <f t="array" ref="C582">_xlfn.XLOOKUP(1,([3]!players[name]=A582)*([3]!players[hero_name]=B582),[3]!players[lane_name])</f>
        <v>Soft Support</v>
      </c>
      <c r="D582">
        <f>COUNTIFS([3]!players[name],A582,[3]!players[hero_name],B582)</f>
        <v>17</v>
      </c>
      <c r="E582">
        <f>COUNTIFS([3]!players[name],A582,[3]!players[hero_name],B582, [3]!players[win], 1)</f>
        <v>10</v>
      </c>
      <c r="F582" s="1">
        <f t="shared" si="9"/>
        <v>0.58823529411764708</v>
      </c>
      <c r="G582" s="2">
        <f>AVERAGEIFS([3]!players[gold_per_min], [3]!players[name],A582,[3]!players[hero_name],B582)</f>
        <v>363.41176470588238</v>
      </c>
      <c r="H582" s="2">
        <f>AVERAGEIFS([3]!players[xp_per_min], [3]!players[name],A582,[3]!players[hero_name],B582)</f>
        <v>482.52941176470586</v>
      </c>
    </row>
    <row r="583" spans="1:8" x14ac:dyDescent="0.3">
      <c r="A583" t="str">
        <v>Elmisho</v>
      </c>
      <c r="B583" t="str">
        <v>Jakiro</v>
      </c>
      <c r="C583" t="str" cm="1">
        <f t="array" ref="C583">_xlfn.XLOOKUP(1,([3]!players[name]=A583)*([3]!players[hero_name]=B583),[3]!players[lane_name])</f>
        <v>Roam</v>
      </c>
      <c r="D583">
        <f>COUNTIFS([3]!players[name],A583,[3]!players[hero_name],B583)</f>
        <v>3</v>
      </c>
      <c r="E583">
        <f>COUNTIFS([3]!players[name],A583,[3]!players[hero_name],B583, [3]!players[win], 1)</f>
        <v>1</v>
      </c>
      <c r="F583" s="1">
        <f t="shared" si="9"/>
        <v>0.33333333333333331</v>
      </c>
      <c r="G583" s="2">
        <f>AVERAGEIFS([3]!players[gold_per_min], [3]!players[name],A583,[3]!players[hero_name],B583)</f>
        <v>331</v>
      </c>
      <c r="H583" s="2">
        <f>AVERAGEIFS([3]!players[xp_per_min], [3]!players[name],A583,[3]!players[hero_name],B583)</f>
        <v>447.66666666666669</v>
      </c>
    </row>
    <row r="584" spans="1:8" x14ac:dyDescent="0.3">
      <c r="A584" t="str">
        <v>Elmisho</v>
      </c>
      <c r="B584" t="str">
        <v>Batrider</v>
      </c>
      <c r="C584" t="str" cm="1">
        <f t="array" ref="C584">_xlfn.XLOOKUP(1,([3]!players[name]=A584)*([3]!players[hero_name]=B584),[3]!players[lane_name])</f>
        <v>Soft Support</v>
      </c>
      <c r="D584">
        <f>COUNTIFS([3]!players[name],A584,[3]!players[hero_name],B584)</f>
        <v>4</v>
      </c>
      <c r="E584">
        <f>COUNTIFS([3]!players[name],A584,[3]!players[hero_name],B584, [3]!players[win], 1)</f>
        <v>3</v>
      </c>
      <c r="F584" s="1">
        <f t="shared" si="9"/>
        <v>0.75</v>
      </c>
      <c r="G584" s="2">
        <f>AVERAGEIFS([3]!players[gold_per_min], [3]!players[name],A584,[3]!players[hero_name],B584)</f>
        <v>391</v>
      </c>
      <c r="H584" s="2">
        <f>AVERAGEIFS([3]!players[xp_per_min], [3]!players[name],A584,[3]!players[hero_name],B584)</f>
        <v>469.75</v>
      </c>
    </row>
    <row r="585" spans="1:8" x14ac:dyDescent="0.3">
      <c r="A585" t="str">
        <v>Elmisho</v>
      </c>
      <c r="B585" t="str">
        <v>Phoenix</v>
      </c>
      <c r="C585" t="str" cm="1">
        <f t="array" ref="C585">_xlfn.XLOOKUP(1,([3]!players[name]=A585)*([3]!players[hero_name]=B585),[3]!players[lane_name])</f>
        <v>Roam</v>
      </c>
      <c r="D585">
        <f>COUNTIFS([3]!players[name],A585,[3]!players[hero_name],B585)</f>
        <v>10</v>
      </c>
      <c r="E585">
        <f>COUNTIFS([3]!players[name],A585,[3]!players[hero_name],B585, [3]!players[win], 1)</f>
        <v>6</v>
      </c>
      <c r="F585" s="1">
        <f t="shared" si="9"/>
        <v>0.6</v>
      </c>
      <c r="G585" s="2">
        <f>AVERAGEIFS([3]!players[gold_per_min], [3]!players[name],A585,[3]!players[hero_name],B585)</f>
        <v>417</v>
      </c>
      <c r="H585" s="2">
        <f>AVERAGEIFS([3]!players[xp_per_min], [3]!players[name],A585,[3]!players[hero_name],B585)</f>
        <v>573.6</v>
      </c>
    </row>
    <row r="586" spans="1:8" x14ac:dyDescent="0.3">
      <c r="A586" t="str">
        <v>Elmisho</v>
      </c>
      <c r="B586" t="str">
        <v>Rubick</v>
      </c>
      <c r="C586" t="str" cm="1">
        <f t="array" ref="C586">_xlfn.XLOOKUP(1,([3]!players[name]=A586)*([3]!players[hero_name]=B586),[3]!players[lane_name])</f>
        <v>Roam</v>
      </c>
      <c r="D586">
        <f>COUNTIFS([3]!players[name],A586,[3]!players[hero_name],B586)</f>
        <v>2</v>
      </c>
      <c r="E586">
        <f>COUNTIFS([3]!players[name],A586,[3]!players[hero_name],B586, [3]!players[win], 1)</f>
        <v>2</v>
      </c>
      <c r="F586" s="1">
        <f t="shared" si="9"/>
        <v>1</v>
      </c>
      <c r="G586" s="2">
        <f>AVERAGEIFS([3]!players[gold_per_min], [3]!players[name],A586,[3]!players[hero_name],B586)</f>
        <v>388</v>
      </c>
      <c r="H586" s="2">
        <f>AVERAGEIFS([3]!players[xp_per_min], [3]!players[name],A586,[3]!players[hero_name],B586)</f>
        <v>506.5</v>
      </c>
    </row>
    <row r="587" spans="1:8" x14ac:dyDescent="0.3">
      <c r="A587" t="str">
        <v>Elmisho</v>
      </c>
      <c r="B587" t="str">
        <v>Ringmaster</v>
      </c>
      <c r="C587" t="str" cm="1">
        <f t="array" ref="C587">_xlfn.XLOOKUP(1,([3]!players[name]=A587)*([3]!players[hero_name]=B587),[3]!players[lane_name])</f>
        <v>Soft Support</v>
      </c>
      <c r="D587">
        <f>COUNTIFS([3]!players[name],A587,[3]!players[hero_name],B587)</f>
        <v>4</v>
      </c>
      <c r="E587">
        <f>COUNTIFS([3]!players[name],A587,[3]!players[hero_name],B587, [3]!players[win], 1)</f>
        <v>2</v>
      </c>
      <c r="F587" s="1">
        <f t="shared" si="9"/>
        <v>0.5</v>
      </c>
      <c r="G587" s="2">
        <f>AVERAGEIFS([3]!players[gold_per_min], [3]!players[name],A587,[3]!players[hero_name],B587)</f>
        <v>323.75</v>
      </c>
      <c r="H587" s="2">
        <f>AVERAGEIFS([3]!players[xp_per_min], [3]!players[name],A587,[3]!players[hero_name],B587)</f>
        <v>453.25</v>
      </c>
    </row>
    <row r="588" spans="1:8" x14ac:dyDescent="0.3">
      <c r="A588" t="str">
        <v>Elmisho</v>
      </c>
      <c r="B588" t="str">
        <v>Crystal Maiden</v>
      </c>
      <c r="C588" t="str" cm="1">
        <f t="array" ref="C588">_xlfn.XLOOKUP(1,([3]!players[name]=A588)*([3]!players[hero_name]=B588),[3]!players[lane_name])</f>
        <v>Roam</v>
      </c>
      <c r="D588">
        <f>COUNTIFS([3]!players[name],A588,[3]!players[hero_name],B588)</f>
        <v>4</v>
      </c>
      <c r="E588">
        <f>COUNTIFS([3]!players[name],A588,[3]!players[hero_name],B588, [3]!players[win], 1)</f>
        <v>2</v>
      </c>
      <c r="F588" s="1">
        <f t="shared" si="9"/>
        <v>0.5</v>
      </c>
      <c r="G588" s="2">
        <f>AVERAGEIFS([3]!players[gold_per_min], [3]!players[name],A588,[3]!players[hero_name],B588)</f>
        <v>372.75</v>
      </c>
      <c r="H588" s="2">
        <f>AVERAGEIFS([3]!players[xp_per_min], [3]!players[name],A588,[3]!players[hero_name],B588)</f>
        <v>549.75</v>
      </c>
    </row>
    <row r="589" spans="1:8" x14ac:dyDescent="0.3">
      <c r="A589" t="str">
        <v>Elmisho</v>
      </c>
      <c r="B589" t="str">
        <v>Hoodwink</v>
      </c>
      <c r="C589" t="str" cm="1">
        <f t="array" ref="C589">_xlfn.XLOOKUP(1,([3]!players[name]=A589)*([3]!players[hero_name]=B589),[3]!players[lane_name])</f>
        <v>Roam</v>
      </c>
      <c r="D589">
        <f>COUNTIFS([3]!players[name],A589,[3]!players[hero_name],B589)</f>
        <v>3</v>
      </c>
      <c r="E589">
        <f>COUNTIFS([3]!players[name],A589,[3]!players[hero_name],B589, [3]!players[win], 1)</f>
        <v>1</v>
      </c>
      <c r="F589" s="1">
        <f t="shared" si="9"/>
        <v>0.33333333333333331</v>
      </c>
      <c r="G589" s="2">
        <f>AVERAGEIFS([3]!players[gold_per_min], [3]!players[name],A589,[3]!players[hero_name],B589)</f>
        <v>317</v>
      </c>
      <c r="H589" s="2">
        <f>AVERAGEIFS([3]!players[xp_per_min], [3]!players[name],A589,[3]!players[hero_name],B589)</f>
        <v>451</v>
      </c>
    </row>
    <row r="590" spans="1:8" x14ac:dyDescent="0.3">
      <c r="A590" t="str">
        <v>Elmisho</v>
      </c>
      <c r="B590" t="str">
        <v>Shadow Demon</v>
      </c>
      <c r="C590" t="str" cm="1">
        <f t="array" ref="C590">_xlfn.XLOOKUP(1,([3]!players[name]=A590)*([3]!players[hero_name]=B590),[3]!players[lane_name])</f>
        <v>Soft Support</v>
      </c>
      <c r="D590">
        <f>COUNTIFS([3]!players[name],A590,[3]!players[hero_name],B590)</f>
        <v>5</v>
      </c>
      <c r="E590">
        <f>COUNTIFS([3]!players[name],A590,[3]!players[hero_name],B590, [3]!players[win], 1)</f>
        <v>4</v>
      </c>
      <c r="F590" s="1">
        <f t="shared" si="9"/>
        <v>0.8</v>
      </c>
      <c r="G590" s="2">
        <f>AVERAGEIFS([3]!players[gold_per_min], [3]!players[name],A590,[3]!players[hero_name],B590)</f>
        <v>323.2</v>
      </c>
      <c r="H590" s="2">
        <f>AVERAGEIFS([3]!players[xp_per_min], [3]!players[name],A590,[3]!players[hero_name],B590)</f>
        <v>460.2</v>
      </c>
    </row>
    <row r="591" spans="1:8" x14ac:dyDescent="0.3">
      <c r="A591" t="str">
        <v>Elmisho</v>
      </c>
      <c r="B591" t="str">
        <v>Clockwerk</v>
      </c>
      <c r="C591" t="str" cm="1">
        <f t="array" ref="C591">_xlfn.XLOOKUP(1,([3]!players[name]=A591)*([3]!players[hero_name]=B591),[3]!players[lane_name])</f>
        <v>Roam</v>
      </c>
      <c r="D591">
        <f>COUNTIFS([3]!players[name],A591,[3]!players[hero_name],B591)</f>
        <v>2</v>
      </c>
      <c r="E591">
        <f>COUNTIFS([3]!players[name],A591,[3]!players[hero_name],B591, [3]!players[win], 1)</f>
        <v>1</v>
      </c>
      <c r="F591" s="1">
        <f t="shared" si="9"/>
        <v>0.5</v>
      </c>
      <c r="G591" s="2">
        <f>AVERAGEIFS([3]!players[gold_per_min], [3]!players[name],A591,[3]!players[hero_name],B591)</f>
        <v>338.5</v>
      </c>
      <c r="H591" s="2">
        <f>AVERAGEIFS([3]!players[xp_per_min], [3]!players[name],A591,[3]!players[hero_name],B591)</f>
        <v>508</v>
      </c>
    </row>
    <row r="592" spans="1:8" x14ac:dyDescent="0.3">
      <c r="A592" t="str">
        <v>Elmisho</v>
      </c>
      <c r="B592" t="str">
        <v>Ancient Apparition</v>
      </c>
      <c r="C592" t="str" cm="1">
        <f t="array" ref="C592">_xlfn.XLOOKUP(1,([3]!players[name]=A592)*([3]!players[hero_name]=B592),[3]!players[lane_name])</f>
        <v>Roam</v>
      </c>
      <c r="D592">
        <f>COUNTIFS([3]!players[name],A592,[3]!players[hero_name],B592)</f>
        <v>1</v>
      </c>
      <c r="E592">
        <f>COUNTIFS([3]!players[name],A592,[3]!players[hero_name],B592, [3]!players[win], 1)</f>
        <v>0</v>
      </c>
      <c r="F592" s="1">
        <f t="shared" si="9"/>
        <v>0</v>
      </c>
      <c r="G592" s="2">
        <f>AVERAGEIFS([3]!players[gold_per_min], [3]!players[name],A592,[3]!players[hero_name],B592)</f>
        <v>296</v>
      </c>
      <c r="H592" s="2">
        <f>AVERAGEIFS([3]!players[xp_per_min], [3]!players[name],A592,[3]!players[hero_name],B592)</f>
        <v>369</v>
      </c>
    </row>
    <row r="593" spans="1:8" x14ac:dyDescent="0.3">
      <c r="A593" t="str">
        <v>Elmisho</v>
      </c>
      <c r="B593" t="str">
        <v>Tusk</v>
      </c>
      <c r="C593" t="str" cm="1">
        <f t="array" ref="C593">_xlfn.XLOOKUP(1,([3]!players[name]=A593)*([3]!players[hero_name]=B593),[3]!players[lane_name])</f>
        <v>Roam</v>
      </c>
      <c r="D593">
        <f>COUNTIFS([3]!players[name],A593,[3]!players[hero_name],B593)</f>
        <v>1</v>
      </c>
      <c r="E593">
        <f>COUNTIFS([3]!players[name],A593,[3]!players[hero_name],B593, [3]!players[win], 1)</f>
        <v>0</v>
      </c>
      <c r="F593" s="1">
        <f t="shared" si="9"/>
        <v>0</v>
      </c>
      <c r="G593" s="2">
        <f>AVERAGEIFS([3]!players[gold_per_min], [3]!players[name],A593,[3]!players[hero_name],B593)</f>
        <v>397</v>
      </c>
      <c r="H593" s="2">
        <f>AVERAGEIFS([3]!players[xp_per_min], [3]!players[name],A593,[3]!players[hero_name],B593)</f>
        <v>699</v>
      </c>
    </row>
    <row r="594" spans="1:8" x14ac:dyDescent="0.3">
      <c r="A594" t="str">
        <v>Elmisho</v>
      </c>
      <c r="B594" t="str">
        <v>Treant Protector</v>
      </c>
      <c r="C594" t="str" cm="1">
        <f t="array" ref="C594">_xlfn.XLOOKUP(1,([3]!players[name]=A594)*([3]!players[hero_name]=B594),[3]!players[lane_name])</f>
        <v>Soft Support</v>
      </c>
      <c r="D594">
        <f>COUNTIFS([3]!players[name],A594,[3]!players[hero_name],B594)</f>
        <v>5</v>
      </c>
      <c r="E594">
        <f>COUNTIFS([3]!players[name],A594,[3]!players[hero_name],B594, [3]!players[win], 1)</f>
        <v>5</v>
      </c>
      <c r="F594" s="1">
        <f t="shared" si="9"/>
        <v>1</v>
      </c>
      <c r="G594" s="2">
        <f>AVERAGEIFS([3]!players[gold_per_min], [3]!players[name],A594,[3]!players[hero_name],B594)</f>
        <v>363.2</v>
      </c>
      <c r="H594" s="2">
        <f>AVERAGEIFS([3]!players[xp_per_min], [3]!players[name],A594,[3]!players[hero_name],B594)</f>
        <v>581.79999999999995</v>
      </c>
    </row>
    <row r="595" spans="1:8" x14ac:dyDescent="0.3">
      <c r="A595" t="str">
        <v>Elmisho</v>
      </c>
      <c r="B595" t="str">
        <v>Oracle</v>
      </c>
      <c r="C595" t="str" cm="1">
        <f t="array" ref="C595">_xlfn.XLOOKUP(1,([3]!players[name]=A595)*([3]!players[hero_name]=B595),[3]!players[lane_name])</f>
        <v>Hard Support</v>
      </c>
      <c r="D595">
        <f>COUNTIFS([3]!players[name],A595,[3]!players[hero_name],B595)</f>
        <v>1</v>
      </c>
      <c r="E595">
        <f>COUNTIFS([3]!players[name],A595,[3]!players[hero_name],B595, [3]!players[win], 1)</f>
        <v>1</v>
      </c>
      <c r="F595" s="1">
        <f t="shared" si="9"/>
        <v>1</v>
      </c>
      <c r="G595" s="2">
        <f>AVERAGEIFS([3]!players[gold_per_min], [3]!players[name],A595,[3]!players[hero_name],B595)</f>
        <v>279</v>
      </c>
      <c r="H595" s="2">
        <f>AVERAGEIFS([3]!players[xp_per_min], [3]!players[name],A595,[3]!players[hero_name],B595)</f>
        <v>369</v>
      </c>
    </row>
    <row r="596" spans="1:8" x14ac:dyDescent="0.3">
      <c r="A596" t="str">
        <v>Emo</v>
      </c>
      <c r="B596" t="str">
        <v>Beastmaster</v>
      </c>
      <c r="C596" t="str" cm="1">
        <f t="array" ref="C596">_xlfn.XLOOKUP(1,([3]!players[name]=A596)*([3]!players[hero_name]=B596),[3]!players[lane_name])</f>
        <v>Mid</v>
      </c>
      <c r="D596">
        <f>COUNTIFS([3]!players[name],A596,[3]!players[hero_name],B596)</f>
        <v>2</v>
      </c>
      <c r="E596">
        <f>COUNTIFS([3]!players[name],A596,[3]!players[hero_name],B596, [3]!players[win], 1)</f>
        <v>1</v>
      </c>
      <c r="F596" s="1">
        <f t="shared" si="9"/>
        <v>0.5</v>
      </c>
      <c r="G596" s="2">
        <f>AVERAGEIFS([3]!players[gold_per_min], [3]!players[name],A596,[3]!players[hero_name],B596)</f>
        <v>555.5</v>
      </c>
      <c r="H596" s="2">
        <f>AVERAGEIFS([3]!players[xp_per_min], [3]!players[name],A596,[3]!players[hero_name],B596)</f>
        <v>669.5</v>
      </c>
    </row>
    <row r="597" spans="1:8" x14ac:dyDescent="0.3">
      <c r="A597" t="str">
        <v>Emo</v>
      </c>
      <c r="B597" t="str">
        <v>Ember Spirit</v>
      </c>
      <c r="C597" t="str" cm="1">
        <f t="array" ref="C597">_xlfn.XLOOKUP(1,([3]!players[name]=A597)*([3]!players[hero_name]=B597),[3]!players[lane_name])</f>
        <v>Mid</v>
      </c>
      <c r="D597">
        <f>COUNTIFS([3]!players[name],A597,[3]!players[hero_name],B597)</f>
        <v>6</v>
      </c>
      <c r="E597">
        <f>COUNTIFS([3]!players[name],A597,[3]!players[hero_name],B597, [3]!players[win], 1)</f>
        <v>4</v>
      </c>
      <c r="F597" s="1">
        <f t="shared" si="9"/>
        <v>0.66666666666666663</v>
      </c>
      <c r="G597" s="2">
        <f>AVERAGEIFS([3]!players[gold_per_min], [3]!players[name],A597,[3]!players[hero_name],B597)</f>
        <v>572.33333333333337</v>
      </c>
      <c r="H597" s="2">
        <f>AVERAGEIFS([3]!players[xp_per_min], [3]!players[name],A597,[3]!players[hero_name],B597)</f>
        <v>776</v>
      </c>
    </row>
    <row r="598" spans="1:8" x14ac:dyDescent="0.3">
      <c r="A598" t="str">
        <v>Emo</v>
      </c>
      <c r="B598" t="str">
        <v>Storm Spirit</v>
      </c>
      <c r="C598" t="str" cm="1">
        <f t="array" ref="C598">_xlfn.XLOOKUP(1,([3]!players[name]=A598)*([3]!players[hero_name]=B598),[3]!players[lane_name])</f>
        <v>Mid</v>
      </c>
      <c r="D598">
        <f>COUNTIFS([3]!players[name],A598,[3]!players[hero_name],B598)</f>
        <v>9</v>
      </c>
      <c r="E598">
        <f>COUNTIFS([3]!players[name],A598,[3]!players[hero_name],B598, [3]!players[win], 1)</f>
        <v>8</v>
      </c>
      <c r="F598" s="1">
        <f t="shared" si="9"/>
        <v>0.88888888888888884</v>
      </c>
      <c r="G598" s="2">
        <f>AVERAGEIFS([3]!players[gold_per_min], [3]!players[name],A598,[3]!players[hero_name],B598)</f>
        <v>607.66666666666663</v>
      </c>
      <c r="H598" s="2">
        <f>AVERAGEIFS([3]!players[xp_per_min], [3]!players[name],A598,[3]!players[hero_name],B598)</f>
        <v>808.33333333333337</v>
      </c>
    </row>
    <row r="599" spans="1:8" x14ac:dyDescent="0.3">
      <c r="A599" t="str">
        <v>Emo</v>
      </c>
      <c r="B599" t="str">
        <v>Void Spirit</v>
      </c>
      <c r="C599" t="str" cm="1">
        <f t="array" ref="C599">_xlfn.XLOOKUP(1,([3]!players[name]=A599)*([3]!players[hero_name]=B599),[3]!players[lane_name])</f>
        <v>Mid</v>
      </c>
      <c r="D599">
        <f>COUNTIFS([3]!players[name],A599,[3]!players[hero_name],B599)</f>
        <v>4</v>
      </c>
      <c r="E599">
        <f>COUNTIFS([3]!players[name],A599,[3]!players[hero_name],B599, [3]!players[win], 1)</f>
        <v>1</v>
      </c>
      <c r="F599" s="1">
        <f t="shared" si="9"/>
        <v>0.25</v>
      </c>
      <c r="G599" s="2">
        <f>AVERAGEIFS([3]!players[gold_per_min], [3]!players[name],A599,[3]!players[hero_name],B599)</f>
        <v>600.75</v>
      </c>
      <c r="H599" s="2">
        <f>AVERAGEIFS([3]!players[xp_per_min], [3]!players[name],A599,[3]!players[hero_name],B599)</f>
        <v>718.75</v>
      </c>
    </row>
    <row r="600" spans="1:8" x14ac:dyDescent="0.3">
      <c r="A600" t="str">
        <v>Emo</v>
      </c>
      <c r="B600" t="str">
        <v>Lone Druid</v>
      </c>
      <c r="C600" t="str" cm="1">
        <f t="array" ref="C600">_xlfn.XLOOKUP(1,([3]!players[name]=A600)*([3]!players[hero_name]=B600),[3]!players[lane_name])</f>
        <v>Mid</v>
      </c>
      <c r="D600">
        <f>COUNTIFS([3]!players[name],A600,[3]!players[hero_name],B600)</f>
        <v>3</v>
      </c>
      <c r="E600">
        <f>COUNTIFS([3]!players[name],A600,[3]!players[hero_name],B600, [3]!players[win], 1)</f>
        <v>3</v>
      </c>
      <c r="F600" s="1">
        <f t="shared" si="9"/>
        <v>1</v>
      </c>
      <c r="G600" s="2">
        <f>AVERAGEIFS([3]!players[gold_per_min], [3]!players[name],A600,[3]!players[hero_name],B600)</f>
        <v>730</v>
      </c>
      <c r="H600" s="2">
        <f>AVERAGEIFS([3]!players[xp_per_min], [3]!players[name],A600,[3]!players[hero_name],B600)</f>
        <v>652.66666666666663</v>
      </c>
    </row>
    <row r="601" spans="1:8" x14ac:dyDescent="0.3">
      <c r="A601" t="str">
        <v>Emo</v>
      </c>
      <c r="B601" t="str">
        <v>Invoker</v>
      </c>
      <c r="C601" t="str" cm="1">
        <f t="array" ref="C601">_xlfn.XLOOKUP(1,([3]!players[name]=A601)*([3]!players[hero_name]=B601),[3]!players[lane_name])</f>
        <v>Mid</v>
      </c>
      <c r="D601">
        <f>COUNTIFS([3]!players[name],A601,[3]!players[hero_name],B601)</f>
        <v>1</v>
      </c>
      <c r="E601">
        <f>COUNTIFS([3]!players[name],A601,[3]!players[hero_name],B601, [3]!players[win], 1)</f>
        <v>0</v>
      </c>
      <c r="F601" s="1">
        <f t="shared" si="9"/>
        <v>0</v>
      </c>
      <c r="G601" s="2">
        <f>AVERAGEIFS([3]!players[gold_per_min], [3]!players[name],A601,[3]!players[hero_name],B601)</f>
        <v>663</v>
      </c>
      <c r="H601" s="2">
        <f>AVERAGEIFS([3]!players[xp_per_min], [3]!players[name],A601,[3]!players[hero_name],B601)</f>
        <v>769</v>
      </c>
    </row>
    <row r="602" spans="1:8" x14ac:dyDescent="0.3">
      <c r="A602" t="str">
        <v>Emo</v>
      </c>
      <c r="B602" t="str">
        <v>Queen of Pain</v>
      </c>
      <c r="C602" t="str" cm="1">
        <f t="array" ref="C602">_xlfn.XLOOKUP(1,([3]!players[name]=A602)*([3]!players[hero_name]=B602),[3]!players[lane_name])</f>
        <v>Mid</v>
      </c>
      <c r="D602">
        <f>COUNTIFS([3]!players[name],A602,[3]!players[hero_name],B602)</f>
        <v>1</v>
      </c>
      <c r="E602">
        <f>COUNTIFS([3]!players[name],A602,[3]!players[hero_name],B602, [3]!players[win], 1)</f>
        <v>0</v>
      </c>
      <c r="F602" s="1">
        <f t="shared" si="9"/>
        <v>0</v>
      </c>
      <c r="G602" s="2">
        <f>AVERAGEIFS([3]!players[gold_per_min], [3]!players[name],A602,[3]!players[hero_name],B602)</f>
        <v>518</v>
      </c>
      <c r="H602" s="2">
        <f>AVERAGEIFS([3]!players[xp_per_min], [3]!players[name],A602,[3]!players[hero_name],B602)</f>
        <v>558</v>
      </c>
    </row>
    <row r="603" spans="1:8" x14ac:dyDescent="0.3">
      <c r="A603" t="str">
        <v>Erice</v>
      </c>
      <c r="B603" t="str">
        <v>Grimstroke</v>
      </c>
      <c r="C603" t="str" cm="1">
        <f t="array" ref="C603">_xlfn.XLOOKUP(1,([3]!players[name]=A603)*([3]!players[hero_name]=B603),[3]!players[lane_name])</f>
        <v>Hard Support</v>
      </c>
      <c r="D603">
        <f>COUNTIFS([3]!players[name],A603,[3]!players[hero_name],B603)</f>
        <v>2</v>
      </c>
      <c r="E603">
        <f>COUNTIFS([3]!players[name],A603,[3]!players[hero_name],B603, [3]!players[win], 1)</f>
        <v>2</v>
      </c>
      <c r="F603" s="1">
        <f t="shared" si="9"/>
        <v>1</v>
      </c>
      <c r="G603" s="2">
        <f>AVERAGEIFS([3]!players[gold_per_min], [3]!players[name],A603,[3]!players[hero_name],B603)</f>
        <v>306</v>
      </c>
      <c r="H603" s="2">
        <f>AVERAGEIFS([3]!players[xp_per_min], [3]!players[name],A603,[3]!players[hero_name],B603)</f>
        <v>339</v>
      </c>
    </row>
    <row r="604" spans="1:8" x14ac:dyDescent="0.3">
      <c r="A604" t="str">
        <v>Erice</v>
      </c>
      <c r="B604" t="str">
        <v>Phoenix</v>
      </c>
      <c r="C604" t="str" cm="1">
        <f t="array" ref="C604">_xlfn.XLOOKUP(1,([3]!players[name]=A604)*([3]!players[hero_name]=B604),[3]!players[lane_name])</f>
        <v>Roam</v>
      </c>
      <c r="D604">
        <f>COUNTIFS([3]!players[name],A604,[3]!players[hero_name],B604)</f>
        <v>2</v>
      </c>
      <c r="E604">
        <f>COUNTIFS([3]!players[name],A604,[3]!players[hero_name],B604, [3]!players[win], 1)</f>
        <v>2</v>
      </c>
      <c r="F604" s="1">
        <f t="shared" si="9"/>
        <v>1</v>
      </c>
      <c r="G604" s="2">
        <f>AVERAGEIFS([3]!players[gold_per_min], [3]!players[name],A604,[3]!players[hero_name],B604)</f>
        <v>321</v>
      </c>
      <c r="H604" s="2">
        <f>AVERAGEIFS([3]!players[xp_per_min], [3]!players[name],A604,[3]!players[hero_name],B604)</f>
        <v>487.5</v>
      </c>
    </row>
    <row r="605" spans="1:8" x14ac:dyDescent="0.3">
      <c r="A605" t="str">
        <v>Erice</v>
      </c>
      <c r="B605" t="str">
        <v>Bane</v>
      </c>
      <c r="C605" t="str" cm="1">
        <f t="array" ref="C605">_xlfn.XLOOKUP(1,([3]!players[name]=A605)*([3]!players[hero_name]=B605),[3]!players[lane_name])</f>
        <v>Hard Support</v>
      </c>
      <c r="D605">
        <f>COUNTIFS([3]!players[name],A605,[3]!players[hero_name],B605)</f>
        <v>1</v>
      </c>
      <c r="E605">
        <f>COUNTIFS([3]!players[name],A605,[3]!players[hero_name],B605, [3]!players[win], 1)</f>
        <v>1</v>
      </c>
      <c r="F605" s="1">
        <f t="shared" si="9"/>
        <v>1</v>
      </c>
      <c r="G605" s="2">
        <f>AVERAGEIFS([3]!players[gold_per_min], [3]!players[name],A605,[3]!players[hero_name],B605)</f>
        <v>316</v>
      </c>
      <c r="H605" s="2">
        <f>AVERAGEIFS([3]!players[xp_per_min], [3]!players[name],A605,[3]!players[hero_name],B605)</f>
        <v>432</v>
      </c>
    </row>
    <row r="606" spans="1:8" x14ac:dyDescent="0.3">
      <c r="A606" t="str">
        <v>Erice</v>
      </c>
      <c r="B606" t="str">
        <v>Venomancer</v>
      </c>
      <c r="C606" t="str" cm="1">
        <f t="array" ref="C606">_xlfn.XLOOKUP(1,([3]!players[name]=A606)*([3]!players[hero_name]=B606),[3]!players[lane_name])</f>
        <v>Hard Support</v>
      </c>
      <c r="D606">
        <f>COUNTIFS([3]!players[name],A606,[3]!players[hero_name],B606)</f>
        <v>1</v>
      </c>
      <c r="E606">
        <f>COUNTIFS([3]!players[name],A606,[3]!players[hero_name],B606, [3]!players[win], 1)</f>
        <v>0</v>
      </c>
      <c r="F606" s="1">
        <f t="shared" si="9"/>
        <v>0</v>
      </c>
      <c r="G606" s="2">
        <f>AVERAGEIFS([3]!players[gold_per_min], [3]!players[name],A606,[3]!players[hero_name],B606)</f>
        <v>315</v>
      </c>
      <c r="H606" s="2">
        <f>AVERAGEIFS([3]!players[xp_per_min], [3]!players[name],A606,[3]!players[hero_name],B606)</f>
        <v>404</v>
      </c>
    </row>
    <row r="607" spans="1:8" x14ac:dyDescent="0.3">
      <c r="A607" t="str">
        <v>Erice</v>
      </c>
      <c r="B607" t="str">
        <v>Mirana</v>
      </c>
      <c r="C607" t="str" cm="1">
        <f t="array" ref="C607">_xlfn.XLOOKUP(1,([3]!players[name]=A607)*([3]!players[hero_name]=B607),[3]!players[lane_name])</f>
        <v>Hard Support</v>
      </c>
      <c r="D607">
        <f>COUNTIFS([3]!players[name],A607,[3]!players[hero_name],B607)</f>
        <v>2</v>
      </c>
      <c r="E607">
        <f>COUNTIFS([3]!players[name],A607,[3]!players[hero_name],B607, [3]!players[win], 1)</f>
        <v>2</v>
      </c>
      <c r="F607" s="1">
        <f t="shared" si="9"/>
        <v>1</v>
      </c>
      <c r="G607" s="2">
        <f>AVERAGEIFS([3]!players[gold_per_min], [3]!players[name],A607,[3]!players[hero_name],B607)</f>
        <v>342.5</v>
      </c>
      <c r="H607" s="2">
        <f>AVERAGEIFS([3]!players[xp_per_min], [3]!players[name],A607,[3]!players[hero_name],B607)</f>
        <v>596.5</v>
      </c>
    </row>
    <row r="608" spans="1:8" x14ac:dyDescent="0.3">
      <c r="A608" t="str">
        <v>Erice</v>
      </c>
      <c r="B608" t="str">
        <v>Disruptor</v>
      </c>
      <c r="C608" t="str" cm="1">
        <f t="array" ref="C608">_xlfn.XLOOKUP(1,([3]!players[name]=A608)*([3]!players[hero_name]=B608),[3]!players[lane_name])</f>
        <v>Roam</v>
      </c>
      <c r="D608">
        <f>COUNTIFS([3]!players[name],A608,[3]!players[hero_name],B608)</f>
        <v>1</v>
      </c>
      <c r="E608">
        <f>COUNTIFS([3]!players[name],A608,[3]!players[hero_name],B608, [3]!players[win], 1)</f>
        <v>0</v>
      </c>
      <c r="F608" s="1">
        <f t="shared" si="9"/>
        <v>0</v>
      </c>
      <c r="G608" s="2">
        <f>AVERAGEIFS([3]!players[gold_per_min], [3]!players[name],A608,[3]!players[hero_name],B608)</f>
        <v>208</v>
      </c>
      <c r="H608" s="2">
        <f>AVERAGEIFS([3]!players[xp_per_min], [3]!players[name],A608,[3]!players[hero_name],B608)</f>
        <v>217</v>
      </c>
    </row>
    <row r="609" spans="1:8" x14ac:dyDescent="0.3">
      <c r="A609" t="str">
        <v>Erice</v>
      </c>
      <c r="B609" t="str">
        <v>Rubick</v>
      </c>
      <c r="C609" t="str" cm="1">
        <f t="array" ref="C609">_xlfn.XLOOKUP(1,([3]!players[name]=A609)*([3]!players[hero_name]=B609),[3]!players[lane_name])</f>
        <v>Hard Support</v>
      </c>
      <c r="D609">
        <f>COUNTIFS([3]!players[name],A609,[3]!players[hero_name],B609)</f>
        <v>5</v>
      </c>
      <c r="E609">
        <f>COUNTIFS([3]!players[name],A609,[3]!players[hero_name],B609, [3]!players[win], 1)</f>
        <v>4</v>
      </c>
      <c r="F609" s="1">
        <f t="shared" si="9"/>
        <v>0.8</v>
      </c>
      <c r="G609" s="2">
        <f>AVERAGEIFS([3]!players[gold_per_min], [3]!players[name],A609,[3]!players[hero_name],B609)</f>
        <v>348.4</v>
      </c>
      <c r="H609" s="2">
        <f>AVERAGEIFS([3]!players[xp_per_min], [3]!players[name],A609,[3]!players[hero_name],B609)</f>
        <v>524.79999999999995</v>
      </c>
    </row>
    <row r="610" spans="1:8" x14ac:dyDescent="0.3">
      <c r="A610" t="str">
        <v>Erice</v>
      </c>
      <c r="B610" t="str">
        <v>Hoodwink</v>
      </c>
      <c r="C610" t="str" cm="1">
        <f t="array" ref="C610">_xlfn.XLOOKUP(1,([3]!players[name]=A610)*([3]!players[hero_name]=B610),[3]!players[lane_name])</f>
        <v>Hard Support</v>
      </c>
      <c r="D610">
        <f>COUNTIFS([3]!players[name],A610,[3]!players[hero_name],B610)</f>
        <v>5</v>
      </c>
      <c r="E610">
        <f>COUNTIFS([3]!players[name],A610,[3]!players[hero_name],B610, [3]!players[win], 1)</f>
        <v>2</v>
      </c>
      <c r="F610" s="1">
        <f t="shared" si="9"/>
        <v>0.4</v>
      </c>
      <c r="G610" s="2">
        <f>AVERAGEIFS([3]!players[gold_per_min], [3]!players[name],A610,[3]!players[hero_name],B610)</f>
        <v>300.8</v>
      </c>
      <c r="H610" s="2">
        <f>AVERAGEIFS([3]!players[xp_per_min], [3]!players[name],A610,[3]!players[hero_name],B610)</f>
        <v>467.6</v>
      </c>
    </row>
    <row r="611" spans="1:8" x14ac:dyDescent="0.3">
      <c r="A611" t="str">
        <v>Erice</v>
      </c>
      <c r="B611" t="str">
        <v>Skywrath Mage</v>
      </c>
      <c r="C611" t="str" cm="1">
        <f t="array" ref="C611">_xlfn.XLOOKUP(1,([3]!players[name]=A611)*([3]!players[hero_name]=B611),[3]!players[lane_name])</f>
        <v>Hard Support</v>
      </c>
      <c r="D611">
        <f>COUNTIFS([3]!players[name],A611,[3]!players[hero_name],B611)</f>
        <v>1</v>
      </c>
      <c r="E611">
        <f>COUNTIFS([3]!players[name],A611,[3]!players[hero_name],B611, [3]!players[win], 1)</f>
        <v>1</v>
      </c>
      <c r="F611" s="1">
        <f t="shared" si="9"/>
        <v>1</v>
      </c>
      <c r="G611" s="2">
        <f>AVERAGEIFS([3]!players[gold_per_min], [3]!players[name],A611,[3]!players[hero_name],B611)</f>
        <v>317</v>
      </c>
      <c r="H611" s="2">
        <f>AVERAGEIFS([3]!players[xp_per_min], [3]!players[name],A611,[3]!players[hero_name],B611)</f>
        <v>385</v>
      </c>
    </row>
    <row r="612" spans="1:8" x14ac:dyDescent="0.3">
      <c r="A612" t="str">
        <v>Erice</v>
      </c>
      <c r="B612" t="str">
        <v>Lion</v>
      </c>
      <c r="C612" t="str" cm="1">
        <f t="array" ref="C612">_xlfn.XLOOKUP(1,([3]!players[name]=A612)*([3]!players[hero_name]=B612),[3]!players[lane_name])</f>
        <v>Hard Support</v>
      </c>
      <c r="D612">
        <f>COUNTIFS([3]!players[name],A612,[3]!players[hero_name],B612)</f>
        <v>1</v>
      </c>
      <c r="E612">
        <f>COUNTIFS([3]!players[name],A612,[3]!players[hero_name],B612, [3]!players[win], 1)</f>
        <v>0</v>
      </c>
      <c r="F612" s="1">
        <f t="shared" si="9"/>
        <v>0</v>
      </c>
      <c r="G612" s="2">
        <f>AVERAGEIFS([3]!players[gold_per_min], [3]!players[name],A612,[3]!players[hero_name],B612)</f>
        <v>231</v>
      </c>
      <c r="H612" s="2">
        <f>AVERAGEIFS([3]!players[xp_per_min], [3]!players[name],A612,[3]!players[hero_name],B612)</f>
        <v>274</v>
      </c>
    </row>
    <row r="613" spans="1:8" x14ac:dyDescent="0.3">
      <c r="A613" t="str">
        <v>Ethereal</v>
      </c>
      <c r="B613" t="str">
        <v>Void Spirit</v>
      </c>
      <c r="C613" t="str" cm="1">
        <f t="array" ref="C613">_xlfn.XLOOKUP(1,([3]!players[name]=A613)*([3]!players[hero_name]=B613),[3]!players[lane_name])</f>
        <v>Mid</v>
      </c>
      <c r="D613">
        <f>COUNTIFS([3]!players[name],A613,[3]!players[hero_name],B613)</f>
        <v>8</v>
      </c>
      <c r="E613">
        <f>COUNTIFS([3]!players[name],A613,[3]!players[hero_name],B613, [3]!players[win], 1)</f>
        <v>3</v>
      </c>
      <c r="F613" s="1">
        <f t="shared" si="9"/>
        <v>0.375</v>
      </c>
      <c r="G613" s="2">
        <f>AVERAGEIFS([3]!players[gold_per_min], [3]!players[name],A613,[3]!players[hero_name],B613)</f>
        <v>566</v>
      </c>
      <c r="H613" s="2">
        <f>AVERAGEIFS([3]!players[xp_per_min], [3]!players[name],A613,[3]!players[hero_name],B613)</f>
        <v>678.125</v>
      </c>
    </row>
    <row r="614" spans="1:8" x14ac:dyDescent="0.3">
      <c r="A614" t="str">
        <v>Ethereal</v>
      </c>
      <c r="B614" t="str">
        <v>Puck</v>
      </c>
      <c r="C614" t="str" cm="1">
        <f t="array" ref="C614">_xlfn.XLOOKUP(1,([3]!players[name]=A614)*([3]!players[hero_name]=B614),[3]!players[lane_name])</f>
        <v>Mid</v>
      </c>
      <c r="D614">
        <f>COUNTIFS([3]!players[name],A614,[3]!players[hero_name],B614)</f>
        <v>9</v>
      </c>
      <c r="E614">
        <f>COUNTIFS([3]!players[name],A614,[3]!players[hero_name],B614, [3]!players[win], 1)</f>
        <v>6</v>
      </c>
      <c r="F614" s="1">
        <f t="shared" si="9"/>
        <v>0.66666666666666663</v>
      </c>
      <c r="G614" s="2">
        <f>AVERAGEIFS([3]!players[gold_per_min], [3]!players[name],A614,[3]!players[hero_name],B614)</f>
        <v>664.55555555555554</v>
      </c>
      <c r="H614" s="2">
        <f>AVERAGEIFS([3]!players[xp_per_min], [3]!players[name],A614,[3]!players[hero_name],B614)</f>
        <v>890.55555555555554</v>
      </c>
    </row>
    <row r="615" spans="1:8" x14ac:dyDescent="0.3">
      <c r="A615" t="str">
        <v>Ethereal</v>
      </c>
      <c r="B615" t="str">
        <v>Death Prophet</v>
      </c>
      <c r="C615" t="str" cm="1">
        <f t="array" ref="C615">_xlfn.XLOOKUP(1,([3]!players[name]=A615)*([3]!players[hero_name]=B615),[3]!players[lane_name])</f>
        <v>Mid</v>
      </c>
      <c r="D615">
        <f>COUNTIFS([3]!players[name],A615,[3]!players[hero_name],B615)</f>
        <v>3</v>
      </c>
      <c r="E615">
        <f>COUNTIFS([3]!players[name],A615,[3]!players[hero_name],B615, [3]!players[win], 1)</f>
        <v>1</v>
      </c>
      <c r="F615" s="1">
        <f t="shared" si="9"/>
        <v>0.33333333333333331</v>
      </c>
      <c r="G615" s="2">
        <f>AVERAGEIFS([3]!players[gold_per_min], [3]!players[name],A615,[3]!players[hero_name],B615)</f>
        <v>557.66666666666663</v>
      </c>
      <c r="H615" s="2">
        <f>AVERAGEIFS([3]!players[xp_per_min], [3]!players[name],A615,[3]!players[hero_name],B615)</f>
        <v>641.66666666666663</v>
      </c>
    </row>
    <row r="616" spans="1:8" x14ac:dyDescent="0.3">
      <c r="A616" t="str">
        <v>Ethereal</v>
      </c>
      <c r="B616" t="str">
        <v>Nature's Prophet</v>
      </c>
      <c r="C616" t="str" cm="1">
        <f t="array" ref="C616">_xlfn.XLOOKUP(1,([3]!players[name]=A616)*([3]!players[hero_name]=B616),[3]!players[lane_name])</f>
        <v>Mid</v>
      </c>
      <c r="D616">
        <f>COUNTIFS([3]!players[name],A616,[3]!players[hero_name],B616)</f>
        <v>1</v>
      </c>
      <c r="E616">
        <f>COUNTIFS([3]!players[name],A616,[3]!players[hero_name],B616, [3]!players[win], 1)</f>
        <v>0</v>
      </c>
      <c r="F616" s="1">
        <f t="shared" si="9"/>
        <v>0</v>
      </c>
      <c r="G616" s="2">
        <f>AVERAGEIFS([3]!players[gold_per_min], [3]!players[name],A616,[3]!players[hero_name],B616)</f>
        <v>522</v>
      </c>
      <c r="H616" s="2">
        <f>AVERAGEIFS([3]!players[xp_per_min], [3]!players[name],A616,[3]!players[hero_name],B616)</f>
        <v>536</v>
      </c>
    </row>
    <row r="617" spans="1:8" x14ac:dyDescent="0.3">
      <c r="A617" t="str">
        <v>Ethereal</v>
      </c>
      <c r="B617" t="str">
        <v>Queen of Pain</v>
      </c>
      <c r="C617" t="str" cm="1">
        <f t="array" ref="C617">_xlfn.XLOOKUP(1,([3]!players[name]=A617)*([3]!players[hero_name]=B617),[3]!players[lane_name])</f>
        <v>Mid</v>
      </c>
      <c r="D617">
        <f>COUNTIFS([3]!players[name],A617,[3]!players[hero_name],B617)</f>
        <v>9</v>
      </c>
      <c r="E617">
        <f>COUNTIFS([3]!players[name],A617,[3]!players[hero_name],B617, [3]!players[win], 1)</f>
        <v>6</v>
      </c>
      <c r="F617" s="1">
        <f t="shared" si="9"/>
        <v>0.66666666666666663</v>
      </c>
      <c r="G617" s="2">
        <f>AVERAGEIFS([3]!players[gold_per_min], [3]!players[name],A617,[3]!players[hero_name],B617)</f>
        <v>620.44444444444446</v>
      </c>
      <c r="H617" s="2">
        <f>AVERAGEIFS([3]!players[xp_per_min], [3]!players[name],A617,[3]!players[hero_name],B617)</f>
        <v>762.55555555555554</v>
      </c>
    </row>
    <row r="618" spans="1:8" x14ac:dyDescent="0.3">
      <c r="A618" t="str">
        <v>Ethereal</v>
      </c>
      <c r="B618" t="str">
        <v>Viper</v>
      </c>
      <c r="C618" t="str" cm="1">
        <f t="array" ref="C618">_xlfn.XLOOKUP(1,([3]!players[name]=A618)*([3]!players[hero_name]=B618),[3]!players[lane_name])</f>
        <v>Mid</v>
      </c>
      <c r="D618">
        <f>COUNTIFS([3]!players[name],A618,[3]!players[hero_name],B618)</f>
        <v>4</v>
      </c>
      <c r="E618">
        <f>COUNTIFS([3]!players[name],A618,[3]!players[hero_name],B618, [3]!players[win], 1)</f>
        <v>1</v>
      </c>
      <c r="F618" s="1">
        <f t="shared" si="9"/>
        <v>0.25</v>
      </c>
      <c r="G618" s="2">
        <f>AVERAGEIFS([3]!players[gold_per_min], [3]!players[name],A618,[3]!players[hero_name],B618)</f>
        <v>518.5</v>
      </c>
      <c r="H618" s="2">
        <f>AVERAGEIFS([3]!players[xp_per_min], [3]!players[name],A618,[3]!players[hero_name],B618)</f>
        <v>646.25</v>
      </c>
    </row>
    <row r="619" spans="1:8" x14ac:dyDescent="0.3">
      <c r="A619" t="str">
        <v>Ethereal</v>
      </c>
      <c r="B619" t="str">
        <v>Huskar</v>
      </c>
      <c r="C619" t="str" cm="1">
        <f t="array" ref="C619">_xlfn.XLOOKUP(1,([3]!players[name]=A619)*([3]!players[hero_name]=B619),[3]!players[lane_name])</f>
        <v>Mid</v>
      </c>
      <c r="D619">
        <f>COUNTIFS([3]!players[name],A619,[3]!players[hero_name],B619)</f>
        <v>2</v>
      </c>
      <c r="E619">
        <f>COUNTIFS([3]!players[name],A619,[3]!players[hero_name],B619, [3]!players[win], 1)</f>
        <v>1</v>
      </c>
      <c r="F619" s="1">
        <f t="shared" si="9"/>
        <v>0.5</v>
      </c>
      <c r="G619" s="2">
        <f>AVERAGEIFS([3]!players[gold_per_min], [3]!players[name],A619,[3]!players[hero_name],B619)</f>
        <v>548.5</v>
      </c>
      <c r="H619" s="2">
        <f>AVERAGEIFS([3]!players[xp_per_min], [3]!players[name],A619,[3]!players[hero_name],B619)</f>
        <v>685.5</v>
      </c>
    </row>
    <row r="620" spans="1:8" x14ac:dyDescent="0.3">
      <c r="A620" t="str">
        <v>Ethereal</v>
      </c>
      <c r="B620" t="str">
        <v>Keeper of the Light</v>
      </c>
      <c r="C620" t="str" cm="1">
        <f t="array" ref="C620">_xlfn.XLOOKUP(1,([3]!players[name]=A620)*([3]!players[hero_name]=B620),[3]!players[lane_name])</f>
        <v>Mid</v>
      </c>
      <c r="D620">
        <f>COUNTIFS([3]!players[name],A620,[3]!players[hero_name],B620)</f>
        <v>4</v>
      </c>
      <c r="E620">
        <f>COUNTIFS([3]!players[name],A620,[3]!players[hero_name],B620, [3]!players[win], 1)</f>
        <v>2</v>
      </c>
      <c r="F620" s="1">
        <f t="shared" si="9"/>
        <v>0.5</v>
      </c>
      <c r="G620" s="2">
        <f>AVERAGEIFS([3]!players[gold_per_min], [3]!players[name],A620,[3]!players[hero_name],B620)</f>
        <v>592.75</v>
      </c>
      <c r="H620" s="2">
        <f>AVERAGEIFS([3]!players[xp_per_min], [3]!players[name],A620,[3]!players[hero_name],B620)</f>
        <v>721.5</v>
      </c>
    </row>
    <row r="621" spans="1:8" x14ac:dyDescent="0.3">
      <c r="A621" t="str">
        <v>Ethereal</v>
      </c>
      <c r="B621" t="str">
        <v>Ember Spirit</v>
      </c>
      <c r="C621" t="str" cm="1">
        <f t="array" ref="C621">_xlfn.XLOOKUP(1,([3]!players[name]=A621)*([3]!players[hero_name]=B621),[3]!players[lane_name])</f>
        <v>Mid</v>
      </c>
      <c r="D621">
        <f>COUNTIFS([3]!players[name],A621,[3]!players[hero_name],B621)</f>
        <v>4</v>
      </c>
      <c r="E621">
        <f>COUNTIFS([3]!players[name],A621,[3]!players[hero_name],B621, [3]!players[win], 1)</f>
        <v>2</v>
      </c>
      <c r="F621" s="1">
        <f t="shared" si="9"/>
        <v>0.5</v>
      </c>
      <c r="G621" s="2">
        <f>AVERAGEIFS([3]!players[gold_per_min], [3]!players[name],A621,[3]!players[hero_name],B621)</f>
        <v>511.75</v>
      </c>
      <c r="H621" s="2">
        <f>AVERAGEIFS([3]!players[xp_per_min], [3]!players[name],A621,[3]!players[hero_name],B621)</f>
        <v>619.75</v>
      </c>
    </row>
    <row r="622" spans="1:8" x14ac:dyDescent="0.3">
      <c r="A622" t="str">
        <v>Ethereal</v>
      </c>
      <c r="B622" t="str">
        <v>Pangolier</v>
      </c>
      <c r="C622" t="str" cm="1">
        <f t="array" ref="C622">_xlfn.XLOOKUP(1,([3]!players[name]=A622)*([3]!players[hero_name]=B622),[3]!players[lane_name])</f>
        <v>Mid</v>
      </c>
      <c r="D622">
        <f>COUNTIFS([3]!players[name],A622,[3]!players[hero_name],B622)</f>
        <v>2</v>
      </c>
      <c r="E622">
        <f>COUNTIFS([3]!players[name],A622,[3]!players[hero_name],B622, [3]!players[win], 1)</f>
        <v>1</v>
      </c>
      <c r="F622" s="1">
        <f t="shared" si="9"/>
        <v>0.5</v>
      </c>
      <c r="G622" s="2">
        <f>AVERAGEIFS([3]!players[gold_per_min], [3]!players[name],A622,[3]!players[hero_name],B622)</f>
        <v>680</v>
      </c>
      <c r="H622" s="2">
        <f>AVERAGEIFS([3]!players[xp_per_min], [3]!players[name],A622,[3]!players[hero_name],B622)</f>
        <v>1016.5</v>
      </c>
    </row>
    <row r="623" spans="1:8" x14ac:dyDescent="0.3">
      <c r="A623" t="str">
        <v>Ethereal</v>
      </c>
      <c r="B623" t="str">
        <v>Slardar</v>
      </c>
      <c r="C623" t="str" cm="1">
        <f t="array" ref="C623">_xlfn.XLOOKUP(1,([3]!players[name]=A623)*([3]!players[hero_name]=B623),[3]!players[lane_name])</f>
        <v>Mid</v>
      </c>
      <c r="D623">
        <f>COUNTIFS([3]!players[name],A623,[3]!players[hero_name],B623)</f>
        <v>3</v>
      </c>
      <c r="E623">
        <f>COUNTIFS([3]!players[name],A623,[3]!players[hero_name],B623, [3]!players[win], 1)</f>
        <v>2</v>
      </c>
      <c r="F623" s="1">
        <f t="shared" si="9"/>
        <v>0.66666666666666663</v>
      </c>
      <c r="G623" s="2">
        <f>AVERAGEIFS([3]!players[gold_per_min], [3]!players[name],A623,[3]!players[hero_name],B623)</f>
        <v>552.66666666666663</v>
      </c>
      <c r="H623" s="2">
        <f>AVERAGEIFS([3]!players[xp_per_min], [3]!players[name],A623,[3]!players[hero_name],B623)</f>
        <v>774</v>
      </c>
    </row>
    <row r="624" spans="1:8" x14ac:dyDescent="0.3">
      <c r="A624" t="str">
        <v>Faker</v>
      </c>
      <c r="B624" t="str">
        <v>Monkey King</v>
      </c>
      <c r="C624" t="str" cm="1">
        <f t="array" ref="C624">_xlfn.XLOOKUP(1,([3]!players[name]=A624)*([3]!players[hero_name]=B624),[3]!players[lane_name])</f>
        <v>Mid</v>
      </c>
      <c r="D624">
        <f>COUNTIFS([3]!players[name],A624,[3]!players[hero_name],B624)</f>
        <v>1</v>
      </c>
      <c r="E624">
        <f>COUNTIFS([3]!players[name],A624,[3]!players[hero_name],B624, [3]!players[win], 1)</f>
        <v>1</v>
      </c>
      <c r="F624" s="1">
        <f t="shared" si="9"/>
        <v>1</v>
      </c>
      <c r="G624" s="2">
        <f>AVERAGEIFS([3]!players[gold_per_min], [3]!players[name],A624,[3]!players[hero_name],B624)</f>
        <v>533</v>
      </c>
      <c r="H624" s="2">
        <f>AVERAGEIFS([3]!players[xp_per_min], [3]!players[name],A624,[3]!players[hero_name],B624)</f>
        <v>567</v>
      </c>
    </row>
    <row r="625" spans="1:8" x14ac:dyDescent="0.3">
      <c r="A625" t="str">
        <v>Faker</v>
      </c>
      <c r="B625" t="str">
        <v>Pangolier</v>
      </c>
      <c r="C625" t="str" cm="1">
        <f t="array" ref="C625">_xlfn.XLOOKUP(1,([3]!players[name]=A625)*([3]!players[hero_name]=B625),[3]!players[lane_name])</f>
        <v>Mid</v>
      </c>
      <c r="D625">
        <f>COUNTIFS([3]!players[name],A625,[3]!players[hero_name],B625)</f>
        <v>3</v>
      </c>
      <c r="E625">
        <f>COUNTIFS([3]!players[name],A625,[3]!players[hero_name],B625, [3]!players[win], 1)</f>
        <v>0</v>
      </c>
      <c r="F625" s="1">
        <f t="shared" si="9"/>
        <v>0</v>
      </c>
      <c r="G625" s="2">
        <f>AVERAGEIFS([3]!players[gold_per_min], [3]!players[name],A625,[3]!players[hero_name],B625)</f>
        <v>457.33333333333331</v>
      </c>
      <c r="H625" s="2">
        <f>AVERAGEIFS([3]!players[xp_per_min], [3]!players[name],A625,[3]!players[hero_name],B625)</f>
        <v>546.66666666666663</v>
      </c>
    </row>
    <row r="626" spans="1:8" x14ac:dyDescent="0.3">
      <c r="A626" t="str">
        <v>Faker</v>
      </c>
      <c r="B626" t="str">
        <v>Dragon Knight</v>
      </c>
      <c r="C626" t="str" cm="1">
        <f t="array" ref="C626">_xlfn.XLOOKUP(1,([3]!players[name]=A626)*([3]!players[hero_name]=B626),[3]!players[lane_name])</f>
        <v>Mid</v>
      </c>
      <c r="D626">
        <f>COUNTIFS([3]!players[name],A626,[3]!players[hero_name],B626)</f>
        <v>1</v>
      </c>
      <c r="E626">
        <f>COUNTIFS([3]!players[name],A626,[3]!players[hero_name],B626, [3]!players[win], 1)</f>
        <v>1</v>
      </c>
      <c r="F626" s="1">
        <f t="shared" si="9"/>
        <v>1</v>
      </c>
      <c r="G626" s="2">
        <f>AVERAGEIFS([3]!players[gold_per_min], [3]!players[name],A626,[3]!players[hero_name],B626)</f>
        <v>624</v>
      </c>
      <c r="H626" s="2">
        <f>AVERAGEIFS([3]!players[xp_per_min], [3]!players[name],A626,[3]!players[hero_name],B626)</f>
        <v>668</v>
      </c>
    </row>
    <row r="627" spans="1:8" x14ac:dyDescent="0.3">
      <c r="A627" t="str">
        <v>Faker</v>
      </c>
      <c r="B627" t="str">
        <v>Sand King</v>
      </c>
      <c r="C627" t="str" cm="1">
        <f t="array" ref="C627">_xlfn.XLOOKUP(1,([3]!players[name]=A627)*([3]!players[hero_name]=B627),[3]!players[lane_name])</f>
        <v>Mid</v>
      </c>
      <c r="D627">
        <f>COUNTIFS([3]!players[name],A627,[3]!players[hero_name],B627)</f>
        <v>1</v>
      </c>
      <c r="E627">
        <f>COUNTIFS([3]!players[name],A627,[3]!players[hero_name],B627, [3]!players[win], 1)</f>
        <v>0</v>
      </c>
      <c r="F627" s="1">
        <f t="shared" si="9"/>
        <v>0</v>
      </c>
      <c r="G627" s="2">
        <f>AVERAGEIFS([3]!players[gold_per_min], [3]!players[name],A627,[3]!players[hero_name],B627)</f>
        <v>493</v>
      </c>
      <c r="H627" s="2">
        <f>AVERAGEIFS([3]!players[xp_per_min], [3]!players[name],A627,[3]!players[hero_name],B627)</f>
        <v>591</v>
      </c>
    </row>
    <row r="628" spans="1:8" x14ac:dyDescent="0.3">
      <c r="A628" t="str">
        <v>Faker</v>
      </c>
      <c r="B628" t="str">
        <v>Puck</v>
      </c>
      <c r="C628" t="str" cm="1">
        <f t="array" ref="C628">_xlfn.XLOOKUP(1,([3]!players[name]=A628)*([3]!players[hero_name]=B628),[3]!players[lane_name])</f>
        <v>Mid</v>
      </c>
      <c r="D628">
        <f>COUNTIFS([3]!players[name],A628,[3]!players[hero_name],B628)</f>
        <v>2</v>
      </c>
      <c r="E628">
        <f>COUNTIFS([3]!players[name],A628,[3]!players[hero_name],B628, [3]!players[win], 1)</f>
        <v>1</v>
      </c>
      <c r="F628" s="1">
        <f t="shared" si="9"/>
        <v>0.5</v>
      </c>
      <c r="G628" s="2">
        <f>AVERAGEIFS([3]!players[gold_per_min], [3]!players[name],A628,[3]!players[hero_name],B628)</f>
        <v>477.5</v>
      </c>
      <c r="H628" s="2">
        <f>AVERAGEIFS([3]!players[xp_per_min], [3]!players[name],A628,[3]!players[hero_name],B628)</f>
        <v>572</v>
      </c>
    </row>
    <row r="629" spans="1:8" x14ac:dyDescent="0.3">
      <c r="A629" t="str">
        <v>Faker</v>
      </c>
      <c r="B629" t="str">
        <v>Timbersaw</v>
      </c>
      <c r="C629" t="str" cm="1">
        <f t="array" ref="C629">_xlfn.XLOOKUP(1,([3]!players[name]=A629)*([3]!players[hero_name]=B629),[3]!players[lane_name])</f>
        <v>Mid</v>
      </c>
      <c r="D629">
        <f>COUNTIFS([3]!players[name],A629,[3]!players[hero_name],B629)</f>
        <v>1</v>
      </c>
      <c r="E629">
        <f>COUNTIFS([3]!players[name],A629,[3]!players[hero_name],B629, [3]!players[win], 1)</f>
        <v>1</v>
      </c>
      <c r="F629" s="1">
        <f t="shared" si="9"/>
        <v>1</v>
      </c>
      <c r="G629" s="2">
        <f>AVERAGEIFS([3]!players[gold_per_min], [3]!players[name],A629,[3]!players[hero_name],B629)</f>
        <v>566</v>
      </c>
      <c r="H629" s="2">
        <f>AVERAGEIFS([3]!players[xp_per_min], [3]!players[name],A629,[3]!players[hero_name],B629)</f>
        <v>682</v>
      </c>
    </row>
    <row r="630" spans="1:8" x14ac:dyDescent="0.3">
      <c r="A630" t="str">
        <v>Faker</v>
      </c>
      <c r="B630" t="str">
        <v>Ember Spirit</v>
      </c>
      <c r="C630" t="str" cm="1">
        <f t="array" ref="C630">_xlfn.XLOOKUP(1,([3]!players[name]=A630)*([3]!players[hero_name]=B630),[3]!players[lane_name])</f>
        <v>Mid</v>
      </c>
      <c r="D630">
        <f>COUNTIFS([3]!players[name],A630,[3]!players[hero_name],B630)</f>
        <v>2</v>
      </c>
      <c r="E630">
        <f>COUNTIFS([3]!players[name],A630,[3]!players[hero_name],B630, [3]!players[win], 1)</f>
        <v>1</v>
      </c>
      <c r="F630" s="1">
        <f t="shared" si="9"/>
        <v>0.5</v>
      </c>
      <c r="G630" s="2">
        <f>AVERAGEIFS([3]!players[gold_per_min], [3]!players[name],A630,[3]!players[hero_name],B630)</f>
        <v>574.5</v>
      </c>
      <c r="H630" s="2">
        <f>AVERAGEIFS([3]!players[xp_per_min], [3]!players[name],A630,[3]!players[hero_name],B630)</f>
        <v>821.5</v>
      </c>
    </row>
    <row r="631" spans="1:8" x14ac:dyDescent="0.3">
      <c r="A631" t="str">
        <v>Faker</v>
      </c>
      <c r="B631" t="str">
        <v>Void Spirit</v>
      </c>
      <c r="C631" t="str" cm="1">
        <f t="array" ref="C631">_xlfn.XLOOKUP(1,([3]!players[name]=A631)*([3]!players[hero_name]=B631),[3]!players[lane_name])</f>
        <v>Mid</v>
      </c>
      <c r="D631">
        <f>COUNTIFS([3]!players[name],A631,[3]!players[hero_name],B631)</f>
        <v>1</v>
      </c>
      <c r="E631">
        <f>COUNTIFS([3]!players[name],A631,[3]!players[hero_name],B631, [3]!players[win], 1)</f>
        <v>0</v>
      </c>
      <c r="F631" s="1">
        <f t="shared" si="9"/>
        <v>0</v>
      </c>
      <c r="G631" s="2">
        <f>AVERAGEIFS([3]!players[gold_per_min], [3]!players[name],A631,[3]!players[hero_name],B631)</f>
        <v>393</v>
      </c>
      <c r="H631" s="2">
        <f>AVERAGEIFS([3]!players[xp_per_min], [3]!players[name],A631,[3]!players[hero_name],B631)</f>
        <v>452</v>
      </c>
    </row>
    <row r="632" spans="1:8" x14ac:dyDescent="0.3">
      <c r="A632" t="str">
        <v>Fantassy19-</v>
      </c>
      <c r="B632" t="str">
        <v>Pangolier</v>
      </c>
      <c r="C632" t="str" cm="1">
        <f t="array" ref="C632">_xlfn.XLOOKUP(1,([3]!players[name]=A632)*([3]!players[hero_name]=B632),[3]!players[lane_name])</f>
        <v>Off Lane</v>
      </c>
      <c r="D632">
        <f>COUNTIFS([3]!players[name],A632,[3]!players[hero_name],B632)</f>
        <v>2</v>
      </c>
      <c r="E632">
        <f>COUNTIFS([3]!players[name],A632,[3]!players[hero_name],B632, [3]!players[win], 1)</f>
        <v>2</v>
      </c>
      <c r="F632" s="1">
        <f t="shared" si="9"/>
        <v>1</v>
      </c>
      <c r="G632" s="2">
        <f>AVERAGEIFS([3]!players[gold_per_min], [3]!players[name],A632,[3]!players[hero_name],B632)</f>
        <v>491.5</v>
      </c>
      <c r="H632" s="2">
        <f>AVERAGEIFS([3]!players[xp_per_min], [3]!players[name],A632,[3]!players[hero_name],B632)</f>
        <v>532</v>
      </c>
    </row>
    <row r="633" spans="1:8" x14ac:dyDescent="0.3">
      <c r="A633" t="str">
        <v>Fantassy19-</v>
      </c>
      <c r="B633" t="str">
        <v>Beastmaster</v>
      </c>
      <c r="C633" t="str" cm="1">
        <f t="array" ref="C633">_xlfn.XLOOKUP(1,([3]!players[name]=A633)*([3]!players[hero_name]=B633),[3]!players[lane_name])</f>
        <v>Off Lane</v>
      </c>
      <c r="D633">
        <f>COUNTIFS([3]!players[name],A633,[3]!players[hero_name],B633)</f>
        <v>2</v>
      </c>
      <c r="E633">
        <f>COUNTIFS([3]!players[name],A633,[3]!players[hero_name],B633, [3]!players[win], 1)</f>
        <v>1</v>
      </c>
      <c r="F633" s="1">
        <f t="shared" si="9"/>
        <v>0.5</v>
      </c>
      <c r="G633" s="2">
        <f>AVERAGEIFS([3]!players[gold_per_min], [3]!players[name],A633,[3]!players[hero_name],B633)</f>
        <v>640.5</v>
      </c>
      <c r="H633" s="2">
        <f>AVERAGEIFS([3]!players[xp_per_min], [3]!players[name],A633,[3]!players[hero_name],B633)</f>
        <v>813</v>
      </c>
    </row>
    <row r="634" spans="1:8" x14ac:dyDescent="0.3">
      <c r="A634" t="str">
        <v>Fantassy19-</v>
      </c>
      <c r="B634" t="str">
        <v>Lycan</v>
      </c>
      <c r="C634" t="str" cm="1">
        <f t="array" ref="C634">_xlfn.XLOOKUP(1,([3]!players[name]=A634)*([3]!players[hero_name]=B634),[3]!players[lane_name])</f>
        <v>Off Lane</v>
      </c>
      <c r="D634">
        <f>COUNTIFS([3]!players[name],A634,[3]!players[hero_name],B634)</f>
        <v>1</v>
      </c>
      <c r="E634">
        <f>COUNTIFS([3]!players[name],A634,[3]!players[hero_name],B634, [3]!players[win], 1)</f>
        <v>1</v>
      </c>
      <c r="F634" s="1">
        <f t="shared" si="9"/>
        <v>1</v>
      </c>
      <c r="G634" s="2">
        <f>AVERAGEIFS([3]!players[gold_per_min], [3]!players[name],A634,[3]!players[hero_name],B634)</f>
        <v>654</v>
      </c>
      <c r="H634" s="2">
        <f>AVERAGEIFS([3]!players[xp_per_min], [3]!players[name],A634,[3]!players[hero_name],B634)</f>
        <v>775</v>
      </c>
    </row>
    <row r="635" spans="1:8" x14ac:dyDescent="0.3">
      <c r="A635" t="str">
        <v>Fayde</v>
      </c>
      <c r="B635" t="str">
        <v>Largo</v>
      </c>
      <c r="C635" t="str" cm="1">
        <f t="array" ref="C635">_xlfn.XLOOKUP(1,([3]!players[name]=A635)*([3]!players[hero_name]=B635),[3]!players[lane_name])</f>
        <v>Off Lane</v>
      </c>
      <c r="D635">
        <f>COUNTIFS([3]!players[name],A635,[3]!players[hero_name],B635)</f>
        <v>2</v>
      </c>
      <c r="E635">
        <f>COUNTIFS([3]!players[name],A635,[3]!players[hero_name],B635, [3]!players[win], 1)</f>
        <v>2</v>
      </c>
      <c r="F635" s="1">
        <f t="shared" si="9"/>
        <v>1</v>
      </c>
      <c r="G635" s="2">
        <f>AVERAGEIFS([3]!players[gold_per_min], [3]!players[name],A635,[3]!players[hero_name],B635)</f>
        <v>641.5</v>
      </c>
      <c r="H635" s="2">
        <f>AVERAGEIFS([3]!players[xp_per_min], [3]!players[name],A635,[3]!players[hero_name],B635)</f>
        <v>947</v>
      </c>
    </row>
    <row r="636" spans="1:8" x14ac:dyDescent="0.3">
      <c r="A636" t="str">
        <v>Fayde</v>
      </c>
      <c r="B636" t="str">
        <v>Bristleback</v>
      </c>
      <c r="C636" t="str" cm="1">
        <f t="array" ref="C636">_xlfn.XLOOKUP(1,([3]!players[name]=A636)*([3]!players[hero_name]=B636),[3]!players[lane_name])</f>
        <v>Off Lane</v>
      </c>
      <c r="D636">
        <f>COUNTIFS([3]!players[name],A636,[3]!players[hero_name],B636)</f>
        <v>2</v>
      </c>
      <c r="E636">
        <f>COUNTIFS([3]!players[name],A636,[3]!players[hero_name],B636, [3]!players[win], 1)</f>
        <v>1</v>
      </c>
      <c r="F636" s="1">
        <f t="shared" si="9"/>
        <v>0.5</v>
      </c>
      <c r="G636" s="2">
        <f>AVERAGEIFS([3]!players[gold_per_min], [3]!players[name],A636,[3]!players[hero_name],B636)</f>
        <v>537.5</v>
      </c>
      <c r="H636" s="2">
        <f>AVERAGEIFS([3]!players[xp_per_min], [3]!players[name],A636,[3]!players[hero_name],B636)</f>
        <v>685</v>
      </c>
    </row>
    <row r="637" spans="1:8" x14ac:dyDescent="0.3">
      <c r="A637" t="str">
        <v>Fayde</v>
      </c>
      <c r="B637" t="str">
        <v>Pangolier</v>
      </c>
      <c r="C637" t="str" cm="1">
        <f t="array" ref="C637">_xlfn.XLOOKUP(1,([3]!players[name]=A637)*([3]!players[hero_name]=B637),[3]!players[lane_name])</f>
        <v>Off Lane</v>
      </c>
      <c r="D637">
        <f>COUNTIFS([3]!players[name],A637,[3]!players[hero_name],B637)</f>
        <v>2</v>
      </c>
      <c r="E637">
        <f>COUNTIFS([3]!players[name],A637,[3]!players[hero_name],B637, [3]!players[win], 1)</f>
        <v>1</v>
      </c>
      <c r="F637" s="1">
        <f t="shared" si="9"/>
        <v>0.5</v>
      </c>
      <c r="G637" s="2">
        <f>AVERAGEIFS([3]!players[gold_per_min], [3]!players[name],A637,[3]!players[hero_name],B637)</f>
        <v>659.5</v>
      </c>
      <c r="H637" s="2">
        <f>AVERAGEIFS([3]!players[xp_per_min], [3]!players[name],A637,[3]!players[hero_name],B637)</f>
        <v>941.5</v>
      </c>
    </row>
    <row r="638" spans="1:8" x14ac:dyDescent="0.3">
      <c r="A638" t="str">
        <v>Fayde</v>
      </c>
      <c r="B638" t="str">
        <v>Axe</v>
      </c>
      <c r="C638" t="str" cm="1">
        <f t="array" ref="C638">_xlfn.XLOOKUP(1,([3]!players[name]=A638)*([3]!players[hero_name]=B638),[3]!players[lane_name])</f>
        <v>Off Lane</v>
      </c>
      <c r="D638">
        <f>COUNTIFS([3]!players[name],A638,[3]!players[hero_name],B638)</f>
        <v>3</v>
      </c>
      <c r="E638">
        <f>COUNTIFS([3]!players[name],A638,[3]!players[hero_name],B638, [3]!players[win], 1)</f>
        <v>1</v>
      </c>
      <c r="F638" s="1">
        <f t="shared" si="9"/>
        <v>0.33333333333333331</v>
      </c>
      <c r="G638" s="2">
        <f>AVERAGEIFS([3]!players[gold_per_min], [3]!players[name],A638,[3]!players[hero_name],B638)</f>
        <v>436</v>
      </c>
      <c r="H638" s="2">
        <f>AVERAGEIFS([3]!players[xp_per_min], [3]!players[name],A638,[3]!players[hero_name],B638)</f>
        <v>455</v>
      </c>
    </row>
    <row r="639" spans="1:8" x14ac:dyDescent="0.3">
      <c r="A639" t="str">
        <v>Fayde</v>
      </c>
      <c r="B639" t="str">
        <v>Slardar</v>
      </c>
      <c r="C639" t="str" cm="1">
        <f t="array" ref="C639">_xlfn.XLOOKUP(1,([3]!players[name]=A639)*([3]!players[hero_name]=B639),[3]!players[lane_name])</f>
        <v>Off Lane</v>
      </c>
      <c r="D639">
        <f>COUNTIFS([3]!players[name],A639,[3]!players[hero_name],B639)</f>
        <v>6</v>
      </c>
      <c r="E639">
        <f>COUNTIFS([3]!players[name],A639,[3]!players[hero_name],B639, [3]!players[win], 1)</f>
        <v>5</v>
      </c>
      <c r="F639" s="1">
        <f t="shared" si="9"/>
        <v>0.83333333333333337</v>
      </c>
      <c r="G639" s="2">
        <f>AVERAGEIFS([3]!players[gold_per_min], [3]!players[name],A639,[3]!players[hero_name],B639)</f>
        <v>601.83333333333337</v>
      </c>
      <c r="H639" s="2">
        <f>AVERAGEIFS([3]!players[xp_per_min], [3]!players[name],A639,[3]!players[hero_name],B639)</f>
        <v>906</v>
      </c>
    </row>
    <row r="640" spans="1:8" x14ac:dyDescent="0.3">
      <c r="A640" t="str">
        <v>Fayde</v>
      </c>
      <c r="B640" t="str">
        <v>Centaur Warrunner</v>
      </c>
      <c r="C640" t="str" cm="1">
        <f t="array" ref="C640">_xlfn.XLOOKUP(1,([3]!players[name]=A640)*([3]!players[hero_name]=B640),[3]!players[lane_name])</f>
        <v>Carry</v>
      </c>
      <c r="D640">
        <f>COUNTIFS([3]!players[name],A640,[3]!players[hero_name],B640)</f>
        <v>2</v>
      </c>
      <c r="E640">
        <f>COUNTIFS([3]!players[name],A640,[3]!players[hero_name],B640, [3]!players[win], 1)</f>
        <v>1</v>
      </c>
      <c r="F640" s="1">
        <f t="shared" si="9"/>
        <v>0.5</v>
      </c>
      <c r="G640" s="2">
        <f>AVERAGEIFS([3]!players[gold_per_min], [3]!players[name],A640,[3]!players[hero_name],B640)</f>
        <v>489.5</v>
      </c>
      <c r="H640" s="2">
        <f>AVERAGEIFS([3]!players[xp_per_min], [3]!players[name],A640,[3]!players[hero_name],B640)</f>
        <v>576.5</v>
      </c>
    </row>
    <row r="641" spans="1:8" x14ac:dyDescent="0.3">
      <c r="A641" t="str">
        <v>Fayde</v>
      </c>
      <c r="B641" t="str">
        <v>Night Stalker</v>
      </c>
      <c r="C641" t="str" cm="1">
        <f t="array" ref="C641">_xlfn.XLOOKUP(1,([3]!players[name]=A641)*([3]!players[hero_name]=B641),[3]!players[lane_name])</f>
        <v>Off Lane</v>
      </c>
      <c r="D641">
        <f>COUNTIFS([3]!players[name],A641,[3]!players[hero_name],B641)</f>
        <v>4</v>
      </c>
      <c r="E641">
        <f>COUNTIFS([3]!players[name],A641,[3]!players[hero_name],B641, [3]!players[win], 1)</f>
        <v>2</v>
      </c>
      <c r="F641" s="1">
        <f t="shared" si="9"/>
        <v>0.5</v>
      </c>
      <c r="G641" s="2">
        <f>AVERAGEIFS([3]!players[gold_per_min], [3]!players[name],A641,[3]!players[hero_name],B641)</f>
        <v>536.75</v>
      </c>
      <c r="H641" s="2">
        <f>AVERAGEIFS([3]!players[xp_per_min], [3]!players[name],A641,[3]!players[hero_name],B641)</f>
        <v>739.75</v>
      </c>
    </row>
    <row r="642" spans="1:8" x14ac:dyDescent="0.3">
      <c r="A642" t="str">
        <v>Fayde</v>
      </c>
      <c r="B642" t="str">
        <v>Underlord</v>
      </c>
      <c r="C642" t="str" cm="1">
        <f t="array" ref="C642">_xlfn.XLOOKUP(1,([3]!players[name]=A642)*([3]!players[hero_name]=B642),[3]!players[lane_name])</f>
        <v>Off Lane</v>
      </c>
      <c r="D642">
        <f>COUNTIFS([3]!players[name],A642,[3]!players[hero_name],B642)</f>
        <v>4</v>
      </c>
      <c r="E642">
        <f>COUNTIFS([3]!players[name],A642,[3]!players[hero_name],B642, [3]!players[win], 1)</f>
        <v>3</v>
      </c>
      <c r="F642" s="1">
        <f t="shared" si="9"/>
        <v>0.75</v>
      </c>
      <c r="G642" s="2">
        <f>AVERAGEIFS([3]!players[gold_per_min], [3]!players[name],A642,[3]!players[hero_name],B642)</f>
        <v>550.75</v>
      </c>
      <c r="H642" s="2">
        <f>AVERAGEIFS([3]!players[xp_per_min], [3]!players[name],A642,[3]!players[hero_name],B642)</f>
        <v>787.5</v>
      </c>
    </row>
    <row r="643" spans="1:8" x14ac:dyDescent="0.3">
      <c r="A643" t="str">
        <v>Fayde</v>
      </c>
      <c r="B643" t="str">
        <v>Enigma</v>
      </c>
      <c r="C643" t="str" cm="1">
        <f t="array" ref="C643">_xlfn.XLOOKUP(1,([3]!players[name]=A643)*([3]!players[hero_name]=B643),[3]!players[lane_name])</f>
        <v>Off Lane</v>
      </c>
      <c r="D643">
        <f>COUNTIFS([3]!players[name],A643,[3]!players[hero_name],B643)</f>
        <v>2</v>
      </c>
      <c r="E643">
        <f>COUNTIFS([3]!players[name],A643,[3]!players[hero_name],B643, [3]!players[win], 1)</f>
        <v>1</v>
      </c>
      <c r="F643" s="1">
        <f t="shared" ref="F643:F706" si="10">E643/D643</f>
        <v>0.5</v>
      </c>
      <c r="G643" s="2">
        <f>AVERAGEIFS([3]!players[gold_per_min], [3]!players[name],A643,[3]!players[hero_name],B643)</f>
        <v>603</v>
      </c>
      <c r="H643" s="2">
        <f>AVERAGEIFS([3]!players[xp_per_min], [3]!players[name],A643,[3]!players[hero_name],B643)</f>
        <v>695</v>
      </c>
    </row>
    <row r="644" spans="1:8" x14ac:dyDescent="0.3">
      <c r="A644" t="str">
        <v>Fayde</v>
      </c>
      <c r="B644" t="str">
        <v>Doom</v>
      </c>
      <c r="C644" t="str" cm="1">
        <f t="array" ref="C644">_xlfn.XLOOKUP(1,([3]!players[name]=A644)*([3]!players[hero_name]=B644),[3]!players[lane_name])</f>
        <v>Off Lane</v>
      </c>
      <c r="D644">
        <f>COUNTIFS([3]!players[name],A644,[3]!players[hero_name],B644)</f>
        <v>4</v>
      </c>
      <c r="E644">
        <f>COUNTIFS([3]!players[name],A644,[3]!players[hero_name],B644, [3]!players[win], 1)</f>
        <v>3</v>
      </c>
      <c r="F644" s="1">
        <f t="shared" si="10"/>
        <v>0.75</v>
      </c>
      <c r="G644" s="2">
        <f>AVERAGEIFS([3]!players[gold_per_min], [3]!players[name],A644,[3]!players[hero_name],B644)</f>
        <v>674</v>
      </c>
      <c r="H644" s="2">
        <f>AVERAGEIFS([3]!players[xp_per_min], [3]!players[name],A644,[3]!players[hero_name],B644)</f>
        <v>780.25</v>
      </c>
    </row>
    <row r="645" spans="1:8" x14ac:dyDescent="0.3">
      <c r="A645" t="str">
        <v>Fayde</v>
      </c>
      <c r="B645" t="str">
        <v>Dawnbreaker</v>
      </c>
      <c r="C645" t="str" cm="1">
        <f t="array" ref="C645">_xlfn.XLOOKUP(1,([3]!players[name]=A645)*([3]!players[hero_name]=B645),[3]!players[lane_name])</f>
        <v>Off Lane</v>
      </c>
      <c r="D645">
        <f>COUNTIFS([3]!players[name],A645,[3]!players[hero_name],B645)</f>
        <v>1</v>
      </c>
      <c r="E645">
        <f>COUNTIFS([3]!players[name],A645,[3]!players[hero_name],B645, [3]!players[win], 1)</f>
        <v>1</v>
      </c>
      <c r="F645" s="1">
        <f t="shared" si="10"/>
        <v>1</v>
      </c>
      <c r="G645" s="2">
        <f>AVERAGEIFS([3]!players[gold_per_min], [3]!players[name],A645,[3]!players[hero_name],B645)</f>
        <v>672</v>
      </c>
      <c r="H645" s="2">
        <f>AVERAGEIFS([3]!players[xp_per_min], [3]!players[name],A645,[3]!players[hero_name],B645)</f>
        <v>966</v>
      </c>
    </row>
    <row r="646" spans="1:8" x14ac:dyDescent="0.3">
      <c r="A646" t="str">
        <v>Fayde</v>
      </c>
      <c r="B646" t="str">
        <v>Tidehunter</v>
      </c>
      <c r="C646" t="str" cm="1">
        <f t="array" ref="C646">_xlfn.XLOOKUP(1,([3]!players[name]=A646)*([3]!players[hero_name]=B646),[3]!players[lane_name])</f>
        <v>Off Lane</v>
      </c>
      <c r="D646">
        <f>COUNTIFS([3]!players[name],A646,[3]!players[hero_name],B646)</f>
        <v>1</v>
      </c>
      <c r="E646">
        <f>COUNTIFS([3]!players[name],A646,[3]!players[hero_name],B646, [3]!players[win], 1)</f>
        <v>0</v>
      </c>
      <c r="F646" s="1">
        <f t="shared" si="10"/>
        <v>0</v>
      </c>
      <c r="G646" s="2">
        <f>AVERAGEIFS([3]!players[gold_per_min], [3]!players[name],A646,[3]!players[hero_name],B646)</f>
        <v>490</v>
      </c>
      <c r="H646" s="2">
        <f>AVERAGEIFS([3]!players[xp_per_min], [3]!players[name],A646,[3]!players[hero_name],B646)</f>
        <v>744</v>
      </c>
    </row>
    <row r="647" spans="1:8" x14ac:dyDescent="0.3">
      <c r="A647" t="str">
        <v>Fayde</v>
      </c>
      <c r="B647" t="str">
        <v>Beastmaster</v>
      </c>
      <c r="C647" t="str" cm="1">
        <f t="array" ref="C647">_xlfn.XLOOKUP(1,([3]!players[name]=A647)*([3]!players[hero_name]=B647),[3]!players[lane_name])</f>
        <v>Off Lane</v>
      </c>
      <c r="D647">
        <f>COUNTIFS([3]!players[name],A647,[3]!players[hero_name],B647)</f>
        <v>2</v>
      </c>
      <c r="E647">
        <f>COUNTIFS([3]!players[name],A647,[3]!players[hero_name],B647, [3]!players[win], 1)</f>
        <v>1</v>
      </c>
      <c r="F647" s="1">
        <f t="shared" si="10"/>
        <v>0.5</v>
      </c>
      <c r="G647" s="2">
        <f>AVERAGEIFS([3]!players[gold_per_min], [3]!players[name],A647,[3]!players[hero_name],B647)</f>
        <v>595</v>
      </c>
      <c r="H647" s="2">
        <f>AVERAGEIFS([3]!players[xp_per_min], [3]!players[name],A647,[3]!players[hero_name],B647)</f>
        <v>756.5</v>
      </c>
    </row>
    <row r="648" spans="1:8" x14ac:dyDescent="0.3">
      <c r="A648" t="str">
        <v>Fayde</v>
      </c>
      <c r="B648" t="str">
        <v>Sand King</v>
      </c>
      <c r="C648" t="str" cm="1">
        <f t="array" ref="C648">_xlfn.XLOOKUP(1,([3]!players[name]=A648)*([3]!players[hero_name]=B648),[3]!players[lane_name])</f>
        <v>Off Lane</v>
      </c>
      <c r="D648">
        <f>COUNTIFS([3]!players[name],A648,[3]!players[hero_name],B648)</f>
        <v>2</v>
      </c>
      <c r="E648">
        <f>COUNTIFS([3]!players[name],A648,[3]!players[hero_name],B648, [3]!players[win], 1)</f>
        <v>1</v>
      </c>
      <c r="F648" s="1">
        <f t="shared" si="10"/>
        <v>0.5</v>
      </c>
      <c r="G648" s="2">
        <f>AVERAGEIFS([3]!players[gold_per_min], [3]!players[name],A648,[3]!players[hero_name],B648)</f>
        <v>580</v>
      </c>
      <c r="H648" s="2">
        <f>AVERAGEIFS([3]!players[xp_per_min], [3]!players[name],A648,[3]!players[hero_name],B648)</f>
        <v>760</v>
      </c>
    </row>
    <row r="649" spans="1:8" x14ac:dyDescent="0.3">
      <c r="A649" t="str">
        <v>Fbz</v>
      </c>
      <c r="B649" t="str">
        <v>Mars</v>
      </c>
      <c r="C649" t="str" cm="1">
        <f t="array" ref="C649">_xlfn.XLOOKUP(1,([3]!players[name]=A649)*([3]!players[hero_name]=B649),[3]!players[lane_name])</f>
        <v>Off Lane</v>
      </c>
      <c r="D649">
        <f>COUNTIFS([3]!players[name],A649,[3]!players[hero_name],B649)</f>
        <v>1</v>
      </c>
      <c r="E649">
        <f>COUNTIFS([3]!players[name],A649,[3]!players[hero_name],B649, [3]!players[win], 1)</f>
        <v>1</v>
      </c>
      <c r="F649" s="1">
        <f t="shared" si="10"/>
        <v>1</v>
      </c>
      <c r="G649" s="2">
        <f>AVERAGEIFS([3]!players[gold_per_min], [3]!players[name],A649,[3]!players[hero_name],B649)</f>
        <v>547</v>
      </c>
      <c r="H649" s="2">
        <f>AVERAGEIFS([3]!players[xp_per_min], [3]!players[name],A649,[3]!players[hero_name],B649)</f>
        <v>630</v>
      </c>
    </row>
    <row r="650" spans="1:8" x14ac:dyDescent="0.3">
      <c r="A650" t="str">
        <v>Fbz</v>
      </c>
      <c r="B650" t="str">
        <v>Night Stalker</v>
      </c>
      <c r="C650" t="str" cm="1">
        <f t="array" ref="C650">_xlfn.XLOOKUP(1,([3]!players[name]=A650)*([3]!players[hero_name]=B650),[3]!players[lane_name])</f>
        <v>Off Lane</v>
      </c>
      <c r="D650">
        <f>COUNTIFS([3]!players[name],A650,[3]!players[hero_name],B650)</f>
        <v>3</v>
      </c>
      <c r="E650">
        <f>COUNTIFS([3]!players[name],A650,[3]!players[hero_name],B650, [3]!players[win], 1)</f>
        <v>3</v>
      </c>
      <c r="F650" s="1">
        <f t="shared" si="10"/>
        <v>1</v>
      </c>
      <c r="G650" s="2">
        <f>AVERAGEIFS([3]!players[gold_per_min], [3]!players[name],A650,[3]!players[hero_name],B650)</f>
        <v>543.66666666666663</v>
      </c>
      <c r="H650" s="2">
        <f>AVERAGEIFS([3]!players[xp_per_min], [3]!players[name],A650,[3]!players[hero_name],B650)</f>
        <v>728.33333333333337</v>
      </c>
    </row>
    <row r="651" spans="1:8" x14ac:dyDescent="0.3">
      <c r="A651" t="str">
        <v>Fbz</v>
      </c>
      <c r="B651" t="str">
        <v>Dawnbreaker</v>
      </c>
      <c r="C651" t="str" cm="1">
        <f t="array" ref="C651">_xlfn.XLOOKUP(1,([3]!players[name]=A651)*([3]!players[hero_name]=B651),[3]!players[lane_name])</f>
        <v>Off Lane</v>
      </c>
      <c r="D651">
        <f>COUNTIFS([3]!players[name],A651,[3]!players[hero_name],B651)</f>
        <v>1</v>
      </c>
      <c r="E651">
        <f>COUNTIFS([3]!players[name],A651,[3]!players[hero_name],B651, [3]!players[win], 1)</f>
        <v>1</v>
      </c>
      <c r="F651" s="1">
        <f t="shared" si="10"/>
        <v>1</v>
      </c>
      <c r="G651" s="2">
        <f>AVERAGEIFS([3]!players[gold_per_min], [3]!players[name],A651,[3]!players[hero_name],B651)</f>
        <v>765</v>
      </c>
      <c r="H651" s="2">
        <f>AVERAGEIFS([3]!players[xp_per_min], [3]!players[name],A651,[3]!players[hero_name],B651)</f>
        <v>1228</v>
      </c>
    </row>
    <row r="652" spans="1:8" x14ac:dyDescent="0.3">
      <c r="A652" t="str">
        <v>Fbz</v>
      </c>
      <c r="B652" t="str">
        <v>Primal Beast</v>
      </c>
      <c r="C652" t="str" cm="1">
        <f t="array" ref="C652">_xlfn.XLOOKUP(1,([3]!players[name]=A652)*([3]!players[hero_name]=B652),[3]!players[lane_name])</f>
        <v>Off Lane</v>
      </c>
      <c r="D652">
        <f>COUNTIFS([3]!players[name],A652,[3]!players[hero_name],B652)</f>
        <v>1</v>
      </c>
      <c r="E652">
        <f>COUNTIFS([3]!players[name],A652,[3]!players[hero_name],B652, [3]!players[win], 1)</f>
        <v>1</v>
      </c>
      <c r="F652" s="1">
        <f t="shared" si="10"/>
        <v>1</v>
      </c>
      <c r="G652" s="2">
        <f>AVERAGEIFS([3]!players[gold_per_min], [3]!players[name],A652,[3]!players[hero_name],B652)</f>
        <v>628</v>
      </c>
      <c r="H652" s="2">
        <f>AVERAGEIFS([3]!players[xp_per_min], [3]!players[name],A652,[3]!players[hero_name],B652)</f>
        <v>854</v>
      </c>
    </row>
    <row r="653" spans="1:8" x14ac:dyDescent="0.3">
      <c r="A653" t="str">
        <v>Fbz</v>
      </c>
      <c r="B653" t="str">
        <v>Bristleback</v>
      </c>
      <c r="C653" t="str" cm="1">
        <f t="array" ref="C653">_xlfn.XLOOKUP(1,([3]!players[name]=A653)*([3]!players[hero_name]=B653),[3]!players[lane_name])</f>
        <v>Off Lane</v>
      </c>
      <c r="D653">
        <f>COUNTIFS([3]!players[name],A653,[3]!players[hero_name],B653)</f>
        <v>4</v>
      </c>
      <c r="E653">
        <f>COUNTIFS([3]!players[name],A653,[3]!players[hero_name],B653, [3]!players[win], 1)</f>
        <v>3</v>
      </c>
      <c r="F653" s="1">
        <f t="shared" si="10"/>
        <v>0.75</v>
      </c>
      <c r="G653" s="2">
        <f>AVERAGEIFS([3]!players[gold_per_min], [3]!players[name],A653,[3]!players[hero_name],B653)</f>
        <v>630.75</v>
      </c>
      <c r="H653" s="2">
        <f>AVERAGEIFS([3]!players[xp_per_min], [3]!players[name],A653,[3]!players[hero_name],B653)</f>
        <v>850</v>
      </c>
    </row>
    <row r="654" spans="1:8" x14ac:dyDescent="0.3">
      <c r="A654" t="str">
        <v>Fbz</v>
      </c>
      <c r="B654" t="str">
        <v>Tidehunter</v>
      </c>
      <c r="C654" t="str" cm="1">
        <f t="array" ref="C654">_xlfn.XLOOKUP(1,([3]!players[name]=A654)*([3]!players[hero_name]=B654),[3]!players[lane_name])</f>
        <v>Off Lane</v>
      </c>
      <c r="D654">
        <f>COUNTIFS([3]!players[name],A654,[3]!players[hero_name],B654)</f>
        <v>3</v>
      </c>
      <c r="E654">
        <f>COUNTIFS([3]!players[name],A654,[3]!players[hero_name],B654, [3]!players[win], 1)</f>
        <v>1</v>
      </c>
      <c r="F654" s="1">
        <f t="shared" si="10"/>
        <v>0.33333333333333331</v>
      </c>
      <c r="G654" s="2">
        <f>AVERAGEIFS([3]!players[gold_per_min], [3]!players[name],A654,[3]!players[hero_name],B654)</f>
        <v>506</v>
      </c>
      <c r="H654" s="2">
        <f>AVERAGEIFS([3]!players[xp_per_min], [3]!players[name],A654,[3]!players[hero_name],B654)</f>
        <v>580.33333333333337</v>
      </c>
    </row>
    <row r="655" spans="1:8" x14ac:dyDescent="0.3">
      <c r="A655" t="str">
        <v>Fbz</v>
      </c>
      <c r="B655" t="str">
        <v>Marci</v>
      </c>
      <c r="C655" t="str" cm="1">
        <f t="array" ref="C655">_xlfn.XLOOKUP(1,([3]!players[name]=A655)*([3]!players[hero_name]=B655),[3]!players[lane_name])</f>
        <v>Off Lane</v>
      </c>
      <c r="D655">
        <f>COUNTIFS([3]!players[name],A655,[3]!players[hero_name],B655)</f>
        <v>1</v>
      </c>
      <c r="E655">
        <f>COUNTIFS([3]!players[name],A655,[3]!players[hero_name],B655, [3]!players[win], 1)</f>
        <v>0</v>
      </c>
      <c r="F655" s="1">
        <f t="shared" si="10"/>
        <v>0</v>
      </c>
      <c r="G655" s="2">
        <f>AVERAGEIFS([3]!players[gold_per_min], [3]!players[name],A655,[3]!players[hero_name],B655)</f>
        <v>498</v>
      </c>
      <c r="H655" s="2">
        <f>AVERAGEIFS([3]!players[xp_per_min], [3]!players[name],A655,[3]!players[hero_name],B655)</f>
        <v>710</v>
      </c>
    </row>
    <row r="656" spans="1:8" x14ac:dyDescent="0.3">
      <c r="A656" t="str">
        <v>Fbz</v>
      </c>
      <c r="B656" t="str">
        <v>Timbersaw</v>
      </c>
      <c r="C656" t="str" cm="1">
        <f t="array" ref="C656">_xlfn.XLOOKUP(1,([3]!players[name]=A656)*([3]!players[hero_name]=B656),[3]!players[lane_name])</f>
        <v>Off Lane</v>
      </c>
      <c r="D656">
        <f>COUNTIFS([3]!players[name],A656,[3]!players[hero_name],B656)</f>
        <v>1</v>
      </c>
      <c r="E656">
        <f>COUNTIFS([3]!players[name],A656,[3]!players[hero_name],B656, [3]!players[win], 1)</f>
        <v>1</v>
      </c>
      <c r="F656" s="1">
        <f t="shared" si="10"/>
        <v>1</v>
      </c>
      <c r="G656" s="2">
        <f>AVERAGEIFS([3]!players[gold_per_min], [3]!players[name],A656,[3]!players[hero_name],B656)</f>
        <v>654</v>
      </c>
      <c r="H656" s="2">
        <f>AVERAGEIFS([3]!players[xp_per_min], [3]!players[name],A656,[3]!players[hero_name],B656)</f>
        <v>878</v>
      </c>
    </row>
    <row r="657" spans="1:8" x14ac:dyDescent="0.3">
      <c r="A657" t="str">
        <v>Fbz</v>
      </c>
      <c r="B657" t="str">
        <v>Underlord</v>
      </c>
      <c r="C657" t="str" cm="1">
        <f t="array" ref="C657">_xlfn.XLOOKUP(1,([3]!players[name]=A657)*([3]!players[hero_name]=B657),[3]!players[lane_name])</f>
        <v>Off Lane</v>
      </c>
      <c r="D657">
        <f>COUNTIFS([3]!players[name],A657,[3]!players[hero_name],B657)</f>
        <v>2</v>
      </c>
      <c r="E657">
        <f>COUNTIFS([3]!players[name],A657,[3]!players[hero_name],B657, [3]!players[win], 1)</f>
        <v>1</v>
      </c>
      <c r="F657" s="1">
        <f t="shared" si="10"/>
        <v>0.5</v>
      </c>
      <c r="G657" s="2">
        <f>AVERAGEIFS([3]!players[gold_per_min], [3]!players[name],A657,[3]!players[hero_name],B657)</f>
        <v>542.5</v>
      </c>
      <c r="H657" s="2">
        <f>AVERAGEIFS([3]!players[xp_per_min], [3]!players[name],A657,[3]!players[hero_name],B657)</f>
        <v>709</v>
      </c>
    </row>
    <row r="658" spans="1:8" x14ac:dyDescent="0.3">
      <c r="A658" t="str">
        <v>Fbz</v>
      </c>
      <c r="B658" t="str">
        <v>Slardar</v>
      </c>
      <c r="C658" t="str" cm="1">
        <f t="array" ref="C658">_xlfn.XLOOKUP(1,([3]!players[name]=A658)*([3]!players[hero_name]=B658),[3]!players[lane_name])</f>
        <v>Off Lane</v>
      </c>
      <c r="D658">
        <f>COUNTIFS([3]!players[name],A658,[3]!players[hero_name],B658)</f>
        <v>2</v>
      </c>
      <c r="E658">
        <f>COUNTIFS([3]!players[name],A658,[3]!players[hero_name],B658, [3]!players[win], 1)</f>
        <v>2</v>
      </c>
      <c r="F658" s="1">
        <f t="shared" si="10"/>
        <v>1</v>
      </c>
      <c r="G658" s="2">
        <f>AVERAGEIFS([3]!players[gold_per_min], [3]!players[name],A658,[3]!players[hero_name],B658)</f>
        <v>528.5</v>
      </c>
      <c r="H658" s="2">
        <f>AVERAGEIFS([3]!players[xp_per_min], [3]!players[name],A658,[3]!players[hero_name],B658)</f>
        <v>688.5</v>
      </c>
    </row>
    <row r="659" spans="1:8" x14ac:dyDescent="0.3">
      <c r="A659" t="str">
        <v>Fbz</v>
      </c>
      <c r="B659" t="str">
        <v>Axe</v>
      </c>
      <c r="C659" t="str" cm="1">
        <f t="array" ref="C659">_xlfn.XLOOKUP(1,([3]!players[name]=A659)*([3]!players[hero_name]=B659),[3]!players[lane_name])</f>
        <v>Off Lane</v>
      </c>
      <c r="D659">
        <f>COUNTIFS([3]!players[name],A659,[3]!players[hero_name],B659)</f>
        <v>2</v>
      </c>
      <c r="E659">
        <f>COUNTIFS([3]!players[name],A659,[3]!players[hero_name],B659, [3]!players[win], 1)</f>
        <v>1</v>
      </c>
      <c r="F659" s="1">
        <f t="shared" si="10"/>
        <v>0.5</v>
      </c>
      <c r="G659" s="2">
        <f>AVERAGEIFS([3]!players[gold_per_min], [3]!players[name],A659,[3]!players[hero_name],B659)</f>
        <v>514</v>
      </c>
      <c r="H659" s="2">
        <f>AVERAGEIFS([3]!players[xp_per_min], [3]!players[name],A659,[3]!players[hero_name],B659)</f>
        <v>774</v>
      </c>
    </row>
    <row r="660" spans="1:8" x14ac:dyDescent="0.3">
      <c r="A660" t="str">
        <v>Fernans</v>
      </c>
      <c r="B660" t="str">
        <v>Rubick</v>
      </c>
      <c r="C660" t="str" cm="1">
        <f t="array" ref="C660">_xlfn.XLOOKUP(1,([3]!players[name]=A660)*([3]!players[hero_name]=B660),[3]!players[lane_name])</f>
        <v>Soft Support</v>
      </c>
      <c r="D660">
        <f>COUNTIFS([3]!players[name],A660,[3]!players[hero_name],B660)</f>
        <v>13</v>
      </c>
      <c r="E660">
        <f>COUNTIFS([3]!players[name],A660,[3]!players[hero_name],B660, [3]!players[win], 1)</f>
        <v>7</v>
      </c>
      <c r="F660" s="1">
        <f t="shared" si="10"/>
        <v>0.53846153846153844</v>
      </c>
      <c r="G660" s="2">
        <f>AVERAGEIFS([3]!players[gold_per_min], [3]!players[name],A660,[3]!players[hero_name],B660)</f>
        <v>364</v>
      </c>
      <c r="H660" s="2">
        <f>AVERAGEIFS([3]!players[xp_per_min], [3]!players[name],A660,[3]!players[hero_name],B660)</f>
        <v>557.30769230769226</v>
      </c>
    </row>
    <row r="661" spans="1:8" x14ac:dyDescent="0.3">
      <c r="A661" t="str">
        <v>Fernans</v>
      </c>
      <c r="B661" t="str">
        <v>Nyx Assassin</v>
      </c>
      <c r="C661" t="str" cm="1">
        <f t="array" ref="C661">_xlfn.XLOOKUP(1,([3]!players[name]=A661)*([3]!players[hero_name]=B661),[3]!players[lane_name])</f>
        <v>Hard Support</v>
      </c>
      <c r="D661">
        <f>COUNTIFS([3]!players[name],A661,[3]!players[hero_name],B661)</f>
        <v>1</v>
      </c>
      <c r="E661">
        <f>COUNTIFS([3]!players[name],A661,[3]!players[hero_name],B661, [3]!players[win], 1)</f>
        <v>1</v>
      </c>
      <c r="F661" s="1">
        <f t="shared" si="10"/>
        <v>1</v>
      </c>
      <c r="G661" s="2">
        <f>AVERAGEIFS([3]!players[gold_per_min], [3]!players[name],A661,[3]!players[hero_name],B661)</f>
        <v>288</v>
      </c>
      <c r="H661" s="2">
        <f>AVERAGEIFS([3]!players[xp_per_min], [3]!players[name],A661,[3]!players[hero_name],B661)</f>
        <v>452</v>
      </c>
    </row>
    <row r="662" spans="1:8" x14ac:dyDescent="0.3">
      <c r="A662" t="str">
        <v>Fernans</v>
      </c>
      <c r="B662" t="str">
        <v>Hoodwink</v>
      </c>
      <c r="C662" t="str" cm="1">
        <f t="array" ref="C662">_xlfn.XLOOKUP(1,([3]!players[name]=A662)*([3]!players[hero_name]=B662),[3]!players[lane_name])</f>
        <v>Hard Support</v>
      </c>
      <c r="D662">
        <f>COUNTIFS([3]!players[name],A662,[3]!players[hero_name],B662)</f>
        <v>7</v>
      </c>
      <c r="E662">
        <f>COUNTIFS([3]!players[name],A662,[3]!players[hero_name],B662, [3]!players[win], 1)</f>
        <v>6</v>
      </c>
      <c r="F662" s="1">
        <f t="shared" si="10"/>
        <v>0.8571428571428571</v>
      </c>
      <c r="G662" s="2">
        <f>AVERAGEIFS([3]!players[gold_per_min], [3]!players[name],A662,[3]!players[hero_name],B662)</f>
        <v>367.42857142857144</v>
      </c>
      <c r="H662" s="2">
        <f>AVERAGEIFS([3]!players[xp_per_min], [3]!players[name],A662,[3]!players[hero_name],B662)</f>
        <v>492.71428571428572</v>
      </c>
    </row>
    <row r="663" spans="1:8" x14ac:dyDescent="0.3">
      <c r="A663" t="str">
        <v>Fernans</v>
      </c>
      <c r="B663" t="str">
        <v>Tusk</v>
      </c>
      <c r="C663" t="str" cm="1">
        <f t="array" ref="C663">_xlfn.XLOOKUP(1,([3]!players[name]=A663)*([3]!players[hero_name]=B663),[3]!players[lane_name])</f>
        <v>Roam</v>
      </c>
      <c r="D663">
        <f>COUNTIFS([3]!players[name],A663,[3]!players[hero_name],B663)</f>
        <v>6</v>
      </c>
      <c r="E663">
        <f>COUNTIFS([3]!players[name],A663,[3]!players[hero_name],B663, [3]!players[win], 1)</f>
        <v>4</v>
      </c>
      <c r="F663" s="1">
        <f t="shared" si="10"/>
        <v>0.66666666666666663</v>
      </c>
      <c r="G663" s="2">
        <f>AVERAGEIFS([3]!players[gold_per_min], [3]!players[name],A663,[3]!players[hero_name],B663)</f>
        <v>271.66666666666669</v>
      </c>
      <c r="H663" s="2">
        <f>AVERAGEIFS([3]!players[xp_per_min], [3]!players[name],A663,[3]!players[hero_name],B663)</f>
        <v>443</v>
      </c>
    </row>
    <row r="664" spans="1:8" x14ac:dyDescent="0.3">
      <c r="A664" t="str">
        <v>Fernans</v>
      </c>
      <c r="B664" t="str">
        <v>Ringmaster</v>
      </c>
      <c r="C664" t="str" cm="1">
        <f t="array" ref="C664">_xlfn.XLOOKUP(1,([3]!players[name]=A664)*([3]!players[hero_name]=B664),[3]!players[lane_name])</f>
        <v>Hard Support</v>
      </c>
      <c r="D664">
        <f>COUNTIFS([3]!players[name],A664,[3]!players[hero_name],B664)</f>
        <v>1</v>
      </c>
      <c r="E664">
        <f>COUNTIFS([3]!players[name],A664,[3]!players[hero_name],B664, [3]!players[win], 1)</f>
        <v>1</v>
      </c>
      <c r="F664" s="1">
        <f t="shared" si="10"/>
        <v>1</v>
      </c>
      <c r="G664" s="2">
        <f>AVERAGEIFS([3]!players[gold_per_min], [3]!players[name],A664,[3]!players[hero_name],B664)</f>
        <v>390</v>
      </c>
      <c r="H664" s="2">
        <f>AVERAGEIFS([3]!players[xp_per_min], [3]!players[name],A664,[3]!players[hero_name],B664)</f>
        <v>682</v>
      </c>
    </row>
    <row r="665" spans="1:8" x14ac:dyDescent="0.3">
      <c r="A665" t="str">
        <v>Fernans</v>
      </c>
      <c r="B665" t="str">
        <v>Spirit Breaker</v>
      </c>
      <c r="C665" t="str" cm="1">
        <f t="array" ref="C665">_xlfn.XLOOKUP(1,([3]!players[name]=A665)*([3]!players[hero_name]=B665),[3]!players[lane_name])</f>
        <v>Soft Support</v>
      </c>
      <c r="D665">
        <f>COUNTIFS([3]!players[name],A665,[3]!players[hero_name],B665)</f>
        <v>1</v>
      </c>
      <c r="E665">
        <f>COUNTIFS([3]!players[name],A665,[3]!players[hero_name],B665, [3]!players[win], 1)</f>
        <v>1</v>
      </c>
      <c r="F665" s="1">
        <f t="shared" si="10"/>
        <v>1</v>
      </c>
      <c r="G665" s="2">
        <f>AVERAGEIFS([3]!players[gold_per_min], [3]!players[name],A665,[3]!players[hero_name],B665)</f>
        <v>381</v>
      </c>
      <c r="H665" s="2">
        <f>AVERAGEIFS([3]!players[xp_per_min], [3]!players[name],A665,[3]!players[hero_name],B665)</f>
        <v>662</v>
      </c>
    </row>
    <row r="666" spans="1:8" x14ac:dyDescent="0.3">
      <c r="A666" t="str">
        <v>Fernans</v>
      </c>
      <c r="B666" t="str">
        <v>Batrider</v>
      </c>
      <c r="C666" t="str" cm="1">
        <f t="array" ref="C666">_xlfn.XLOOKUP(1,([3]!players[name]=A666)*([3]!players[hero_name]=B666),[3]!players[lane_name])</f>
        <v>Soft Support</v>
      </c>
      <c r="D666">
        <f>COUNTIFS([3]!players[name],A666,[3]!players[hero_name],B666)</f>
        <v>1</v>
      </c>
      <c r="E666">
        <f>COUNTIFS([3]!players[name],A666,[3]!players[hero_name],B666, [3]!players[win], 1)</f>
        <v>1</v>
      </c>
      <c r="F666" s="1">
        <f t="shared" si="10"/>
        <v>1</v>
      </c>
      <c r="G666" s="2">
        <f>AVERAGEIFS([3]!players[gold_per_min], [3]!players[name],A666,[3]!players[hero_name],B666)</f>
        <v>517</v>
      </c>
      <c r="H666" s="2">
        <f>AVERAGEIFS([3]!players[xp_per_min], [3]!players[name],A666,[3]!players[hero_name],B666)</f>
        <v>735</v>
      </c>
    </row>
    <row r="667" spans="1:8" x14ac:dyDescent="0.3">
      <c r="A667" t="str">
        <v>Fernans</v>
      </c>
      <c r="B667" t="str">
        <v>Shadow Demon</v>
      </c>
      <c r="C667" t="str" cm="1">
        <f t="array" ref="C667">_xlfn.XLOOKUP(1,([3]!players[name]=A667)*([3]!players[hero_name]=B667),[3]!players[lane_name])</f>
        <v>Soft Support</v>
      </c>
      <c r="D667">
        <f>COUNTIFS([3]!players[name],A667,[3]!players[hero_name],B667)</f>
        <v>2</v>
      </c>
      <c r="E667">
        <f>COUNTIFS([3]!players[name],A667,[3]!players[hero_name],B667, [3]!players[win], 1)</f>
        <v>1</v>
      </c>
      <c r="F667" s="1">
        <f t="shared" si="10"/>
        <v>0.5</v>
      </c>
      <c r="G667" s="2">
        <f>AVERAGEIFS([3]!players[gold_per_min], [3]!players[name],A667,[3]!players[hero_name],B667)</f>
        <v>327</v>
      </c>
      <c r="H667" s="2">
        <f>AVERAGEIFS([3]!players[xp_per_min], [3]!players[name],A667,[3]!players[hero_name],B667)</f>
        <v>403.5</v>
      </c>
    </row>
    <row r="668" spans="1:8" x14ac:dyDescent="0.3">
      <c r="A668" t="str">
        <v>Fernans</v>
      </c>
      <c r="B668" t="str">
        <v>Clockwerk</v>
      </c>
      <c r="C668" t="str" cm="1">
        <f t="array" ref="C668">_xlfn.XLOOKUP(1,([3]!players[name]=A668)*([3]!players[hero_name]=B668),[3]!players[lane_name])</f>
        <v>Hard Support</v>
      </c>
      <c r="D668">
        <f>COUNTIFS([3]!players[name],A668,[3]!players[hero_name],B668)</f>
        <v>1</v>
      </c>
      <c r="E668">
        <f>COUNTIFS([3]!players[name],A668,[3]!players[hero_name],B668, [3]!players[win], 1)</f>
        <v>1</v>
      </c>
      <c r="F668" s="1">
        <f t="shared" si="10"/>
        <v>1</v>
      </c>
      <c r="G668" s="2">
        <f>AVERAGEIFS([3]!players[gold_per_min], [3]!players[name],A668,[3]!players[hero_name],B668)</f>
        <v>327</v>
      </c>
      <c r="H668" s="2">
        <f>AVERAGEIFS([3]!players[xp_per_min], [3]!players[name],A668,[3]!players[hero_name],B668)</f>
        <v>439</v>
      </c>
    </row>
    <row r="669" spans="1:8" x14ac:dyDescent="0.3">
      <c r="A669" t="str">
        <v>Fly</v>
      </c>
      <c r="B669" t="str">
        <v>Jakiro</v>
      </c>
      <c r="C669" t="str" cm="1">
        <f t="array" ref="C669">_xlfn.XLOOKUP(1,([3]!players[name]=A669)*([3]!players[hero_name]=B669),[3]!players[lane_name])</f>
        <v>Hard Support</v>
      </c>
      <c r="D669">
        <f>COUNTIFS([3]!players[name],A669,[3]!players[hero_name],B669)</f>
        <v>7</v>
      </c>
      <c r="E669">
        <f>COUNTIFS([3]!players[name],A669,[3]!players[hero_name],B669, [3]!players[win], 1)</f>
        <v>2</v>
      </c>
      <c r="F669" s="1">
        <f t="shared" si="10"/>
        <v>0.2857142857142857</v>
      </c>
      <c r="G669" s="2">
        <f>AVERAGEIFS([3]!players[gold_per_min], [3]!players[name],A669,[3]!players[hero_name],B669)</f>
        <v>296.28571428571428</v>
      </c>
      <c r="H669" s="2">
        <f>AVERAGEIFS([3]!players[xp_per_min], [3]!players[name],A669,[3]!players[hero_name],B669)</f>
        <v>338.57142857142856</v>
      </c>
    </row>
    <row r="670" spans="1:8" x14ac:dyDescent="0.3">
      <c r="A670" t="str">
        <v>Fly</v>
      </c>
      <c r="B670" t="str">
        <v>Phoenix</v>
      </c>
      <c r="C670" t="str" cm="1">
        <f t="array" ref="C670">_xlfn.XLOOKUP(1,([3]!players[name]=A670)*([3]!players[hero_name]=B670),[3]!players[lane_name])</f>
        <v>Soft Support</v>
      </c>
      <c r="D670">
        <f>COUNTIFS([3]!players[name],A670,[3]!players[hero_name],B670)</f>
        <v>5</v>
      </c>
      <c r="E670">
        <f>COUNTIFS([3]!players[name],A670,[3]!players[hero_name],B670, [3]!players[win], 1)</f>
        <v>1</v>
      </c>
      <c r="F670" s="1">
        <f t="shared" si="10"/>
        <v>0.2</v>
      </c>
      <c r="G670" s="2">
        <f>AVERAGEIFS([3]!players[gold_per_min], [3]!players[name],A670,[3]!players[hero_name],B670)</f>
        <v>378</v>
      </c>
      <c r="H670" s="2">
        <f>AVERAGEIFS([3]!players[xp_per_min], [3]!players[name],A670,[3]!players[hero_name],B670)</f>
        <v>487.6</v>
      </c>
    </row>
    <row r="671" spans="1:8" x14ac:dyDescent="0.3">
      <c r="A671" t="str">
        <v>Fly</v>
      </c>
      <c r="B671" t="str">
        <v>Enchantress</v>
      </c>
      <c r="C671" t="str" cm="1">
        <f t="array" ref="C671">_xlfn.XLOOKUP(1,([3]!players[name]=A671)*([3]!players[hero_name]=B671),[3]!players[lane_name])</f>
        <v>Soft Support</v>
      </c>
      <c r="D671">
        <f>COUNTIFS([3]!players[name],A671,[3]!players[hero_name],B671)</f>
        <v>4</v>
      </c>
      <c r="E671">
        <f>COUNTIFS([3]!players[name],A671,[3]!players[hero_name],B671, [3]!players[win], 1)</f>
        <v>2</v>
      </c>
      <c r="F671" s="1">
        <f t="shared" si="10"/>
        <v>0.5</v>
      </c>
      <c r="G671" s="2">
        <f>AVERAGEIFS([3]!players[gold_per_min], [3]!players[name],A671,[3]!players[hero_name],B671)</f>
        <v>350.5</v>
      </c>
      <c r="H671" s="2">
        <f>AVERAGEIFS([3]!players[xp_per_min], [3]!players[name],A671,[3]!players[hero_name],B671)</f>
        <v>480.75</v>
      </c>
    </row>
    <row r="672" spans="1:8" x14ac:dyDescent="0.3">
      <c r="A672" t="str">
        <v>Fly</v>
      </c>
      <c r="B672" t="str">
        <v>Treant Protector</v>
      </c>
      <c r="C672" t="str" cm="1">
        <f t="array" ref="C672">_xlfn.XLOOKUP(1,([3]!players[name]=A672)*([3]!players[hero_name]=B672),[3]!players[lane_name])</f>
        <v>Soft Support</v>
      </c>
      <c r="D672">
        <f>COUNTIFS([3]!players[name],A672,[3]!players[hero_name],B672)</f>
        <v>2</v>
      </c>
      <c r="E672">
        <f>COUNTIFS([3]!players[name],A672,[3]!players[hero_name],B672, [3]!players[win], 1)</f>
        <v>1</v>
      </c>
      <c r="F672" s="1">
        <f t="shared" si="10"/>
        <v>0.5</v>
      </c>
      <c r="G672" s="2">
        <f>AVERAGEIFS([3]!players[gold_per_min], [3]!players[name],A672,[3]!players[hero_name],B672)</f>
        <v>291</v>
      </c>
      <c r="H672" s="2">
        <f>AVERAGEIFS([3]!players[xp_per_min], [3]!players[name],A672,[3]!players[hero_name],B672)</f>
        <v>413</v>
      </c>
    </row>
    <row r="673" spans="1:8" x14ac:dyDescent="0.3">
      <c r="A673" t="str">
        <v>Fly</v>
      </c>
      <c r="B673" t="str">
        <v>Disruptor</v>
      </c>
      <c r="C673" t="str" cm="1">
        <f t="array" ref="C673">_xlfn.XLOOKUP(1,([3]!players[name]=A673)*([3]!players[hero_name]=B673),[3]!players[lane_name])</f>
        <v>Hard Support</v>
      </c>
      <c r="D673">
        <f>COUNTIFS([3]!players[name],A673,[3]!players[hero_name],B673)</f>
        <v>1</v>
      </c>
      <c r="E673">
        <f>COUNTIFS([3]!players[name],A673,[3]!players[hero_name],B673, [3]!players[win], 1)</f>
        <v>1</v>
      </c>
      <c r="F673" s="1">
        <f t="shared" si="10"/>
        <v>1</v>
      </c>
      <c r="G673" s="2">
        <f>AVERAGEIFS([3]!players[gold_per_min], [3]!players[name],A673,[3]!players[hero_name],B673)</f>
        <v>312</v>
      </c>
      <c r="H673" s="2">
        <f>AVERAGEIFS([3]!players[xp_per_min], [3]!players[name],A673,[3]!players[hero_name],B673)</f>
        <v>439</v>
      </c>
    </row>
    <row r="674" spans="1:8" x14ac:dyDescent="0.3">
      <c r="A674" t="str">
        <v>Fly</v>
      </c>
      <c r="B674" t="str">
        <v>Venomancer</v>
      </c>
      <c r="C674" t="str" cm="1">
        <f t="array" ref="C674">_xlfn.XLOOKUP(1,([3]!players[name]=A674)*([3]!players[hero_name]=B674),[3]!players[lane_name])</f>
        <v>Soft Support</v>
      </c>
      <c r="D674">
        <f>COUNTIFS([3]!players[name],A674,[3]!players[hero_name],B674)</f>
        <v>4</v>
      </c>
      <c r="E674">
        <f>COUNTIFS([3]!players[name],A674,[3]!players[hero_name],B674, [3]!players[win], 1)</f>
        <v>3</v>
      </c>
      <c r="F674" s="1">
        <f t="shared" si="10"/>
        <v>0.75</v>
      </c>
      <c r="G674" s="2">
        <f>AVERAGEIFS([3]!players[gold_per_min], [3]!players[name],A674,[3]!players[hero_name],B674)</f>
        <v>403.5</v>
      </c>
      <c r="H674" s="2">
        <f>AVERAGEIFS([3]!players[xp_per_min], [3]!players[name],A674,[3]!players[hero_name],B674)</f>
        <v>485.25</v>
      </c>
    </row>
    <row r="675" spans="1:8" x14ac:dyDescent="0.3">
      <c r="A675" t="str">
        <v>Fly</v>
      </c>
      <c r="B675" t="str">
        <v>Chen</v>
      </c>
      <c r="C675" t="str" cm="1">
        <f t="array" ref="C675">_xlfn.XLOOKUP(1,([3]!players[name]=A675)*([3]!players[hero_name]=B675),[3]!players[lane_name])</f>
        <v>Roam</v>
      </c>
      <c r="D675">
        <f>COUNTIFS([3]!players[name],A675,[3]!players[hero_name],B675)</f>
        <v>1</v>
      </c>
      <c r="E675">
        <f>COUNTIFS([3]!players[name],A675,[3]!players[hero_name],B675, [3]!players[win], 1)</f>
        <v>0</v>
      </c>
      <c r="F675" s="1">
        <f t="shared" si="10"/>
        <v>0</v>
      </c>
      <c r="G675" s="2">
        <f>AVERAGEIFS([3]!players[gold_per_min], [3]!players[name],A675,[3]!players[hero_name],B675)</f>
        <v>365</v>
      </c>
      <c r="H675" s="2">
        <f>AVERAGEIFS([3]!players[xp_per_min], [3]!players[name],A675,[3]!players[hero_name],B675)</f>
        <v>373</v>
      </c>
    </row>
    <row r="676" spans="1:8" x14ac:dyDescent="0.3">
      <c r="A676" t="str">
        <v>Fly</v>
      </c>
      <c r="B676" t="str">
        <v>Crystal Maiden</v>
      </c>
      <c r="C676" t="str" cm="1">
        <f t="array" ref="C676">_xlfn.XLOOKUP(1,([3]!players[name]=A676)*([3]!players[hero_name]=B676),[3]!players[lane_name])</f>
        <v>Roam</v>
      </c>
      <c r="D676">
        <f>COUNTIFS([3]!players[name],A676,[3]!players[hero_name],B676)</f>
        <v>1</v>
      </c>
      <c r="E676">
        <f>COUNTIFS([3]!players[name],A676,[3]!players[hero_name],B676, [3]!players[win], 1)</f>
        <v>1</v>
      </c>
      <c r="F676" s="1">
        <f t="shared" si="10"/>
        <v>1</v>
      </c>
      <c r="G676" s="2">
        <f>AVERAGEIFS([3]!players[gold_per_min], [3]!players[name],A676,[3]!players[hero_name],B676)</f>
        <v>400</v>
      </c>
      <c r="H676" s="2">
        <f>AVERAGEIFS([3]!players[xp_per_min], [3]!players[name],A676,[3]!players[hero_name],B676)</f>
        <v>515</v>
      </c>
    </row>
    <row r="677" spans="1:8" x14ac:dyDescent="0.3">
      <c r="A677" t="str">
        <v>Fly</v>
      </c>
      <c r="B677" t="str">
        <v>Lich</v>
      </c>
      <c r="C677" t="str" cm="1">
        <f t="array" ref="C677">_xlfn.XLOOKUP(1,([3]!players[name]=A677)*([3]!players[hero_name]=B677),[3]!players[lane_name])</f>
        <v>Soft Support</v>
      </c>
      <c r="D677">
        <f>COUNTIFS([3]!players[name],A677,[3]!players[hero_name],B677)</f>
        <v>1</v>
      </c>
      <c r="E677">
        <f>COUNTIFS([3]!players[name],A677,[3]!players[hero_name],B677, [3]!players[win], 1)</f>
        <v>0</v>
      </c>
      <c r="F677" s="1">
        <f t="shared" si="10"/>
        <v>0</v>
      </c>
      <c r="G677" s="2">
        <f>AVERAGEIFS([3]!players[gold_per_min], [3]!players[name],A677,[3]!players[hero_name],B677)</f>
        <v>281</v>
      </c>
      <c r="H677" s="2">
        <f>AVERAGEIFS([3]!players[xp_per_min], [3]!players[name],A677,[3]!players[hero_name],B677)</f>
        <v>343</v>
      </c>
    </row>
    <row r="678" spans="1:8" x14ac:dyDescent="0.3">
      <c r="A678" t="str">
        <v>Fly</v>
      </c>
      <c r="B678" t="str">
        <v>Silencer</v>
      </c>
      <c r="C678" t="str" cm="1">
        <f t="array" ref="C678">_xlfn.XLOOKUP(1,([3]!players[name]=A678)*([3]!players[hero_name]=B678),[3]!players[lane_name])</f>
        <v>Soft Support</v>
      </c>
      <c r="D678">
        <f>COUNTIFS([3]!players[name],A678,[3]!players[hero_name],B678)</f>
        <v>1</v>
      </c>
      <c r="E678">
        <f>COUNTIFS([3]!players[name],A678,[3]!players[hero_name],B678, [3]!players[win], 1)</f>
        <v>1</v>
      </c>
      <c r="F678" s="1">
        <f t="shared" si="10"/>
        <v>1</v>
      </c>
      <c r="G678" s="2">
        <f>AVERAGEIFS([3]!players[gold_per_min], [3]!players[name],A678,[3]!players[hero_name],B678)</f>
        <v>377</v>
      </c>
      <c r="H678" s="2">
        <f>AVERAGEIFS([3]!players[xp_per_min], [3]!players[name],A678,[3]!players[hero_name],B678)</f>
        <v>434</v>
      </c>
    </row>
    <row r="679" spans="1:8" x14ac:dyDescent="0.3">
      <c r="A679" t="str">
        <v>flyfly</v>
      </c>
      <c r="B679" t="str">
        <v>Faceless Void</v>
      </c>
      <c r="C679" t="str" cm="1">
        <f t="array" ref="C679">_xlfn.XLOOKUP(1,([3]!players[name]=A679)*([3]!players[hero_name]=B679),[3]!players[lane_name])</f>
        <v>Carry</v>
      </c>
      <c r="D679">
        <f>COUNTIFS([3]!players[name],A679,[3]!players[hero_name],B679)</f>
        <v>1</v>
      </c>
      <c r="E679">
        <f>COUNTIFS([3]!players[name],A679,[3]!players[hero_name],B679, [3]!players[win], 1)</f>
        <v>1</v>
      </c>
      <c r="F679" s="1">
        <f t="shared" si="10"/>
        <v>1</v>
      </c>
      <c r="G679" s="2">
        <f>AVERAGEIFS([3]!players[gold_per_min], [3]!players[name],A679,[3]!players[hero_name],B679)</f>
        <v>668</v>
      </c>
      <c r="H679" s="2">
        <f>AVERAGEIFS([3]!players[xp_per_min], [3]!players[name],A679,[3]!players[hero_name],B679)</f>
        <v>791</v>
      </c>
    </row>
    <row r="680" spans="1:8" x14ac:dyDescent="0.3">
      <c r="A680" t="str">
        <v>flyfly</v>
      </c>
      <c r="B680" t="str">
        <v>Weaver</v>
      </c>
      <c r="C680" t="str" cm="1">
        <f t="array" ref="C680">_xlfn.XLOOKUP(1,([3]!players[name]=A680)*([3]!players[hero_name]=B680),[3]!players[lane_name])</f>
        <v>Carry</v>
      </c>
      <c r="D680">
        <f>COUNTIFS([3]!players[name],A680,[3]!players[hero_name],B680)</f>
        <v>3</v>
      </c>
      <c r="E680">
        <f>COUNTIFS([3]!players[name],A680,[3]!players[hero_name],B680, [3]!players[win], 1)</f>
        <v>3</v>
      </c>
      <c r="F680" s="1">
        <f t="shared" si="10"/>
        <v>1</v>
      </c>
      <c r="G680" s="2">
        <f>AVERAGEIFS([3]!players[gold_per_min], [3]!players[name],A680,[3]!players[hero_name],B680)</f>
        <v>699.66666666666663</v>
      </c>
      <c r="H680" s="2">
        <f>AVERAGEIFS([3]!players[xp_per_min], [3]!players[name],A680,[3]!players[hero_name],B680)</f>
        <v>840.66666666666663</v>
      </c>
    </row>
    <row r="681" spans="1:8" x14ac:dyDescent="0.3">
      <c r="A681" t="str">
        <v>flyfly</v>
      </c>
      <c r="B681" t="str">
        <v>Muerta</v>
      </c>
      <c r="C681" t="str" cm="1">
        <f t="array" ref="C681">_xlfn.XLOOKUP(1,([3]!players[name]=A681)*([3]!players[hero_name]=B681),[3]!players[lane_name])</f>
        <v>Carry</v>
      </c>
      <c r="D681">
        <f>COUNTIFS([3]!players[name],A681,[3]!players[hero_name],B681)</f>
        <v>3</v>
      </c>
      <c r="E681">
        <f>COUNTIFS([3]!players[name],A681,[3]!players[hero_name],B681, [3]!players[win], 1)</f>
        <v>0</v>
      </c>
      <c r="F681" s="1">
        <f t="shared" si="10"/>
        <v>0</v>
      </c>
      <c r="G681" s="2">
        <f>AVERAGEIFS([3]!players[gold_per_min], [3]!players[name],A681,[3]!players[hero_name],B681)</f>
        <v>485.66666666666669</v>
      </c>
      <c r="H681" s="2">
        <f>AVERAGEIFS([3]!players[xp_per_min], [3]!players[name],A681,[3]!players[hero_name],B681)</f>
        <v>575.66666666666663</v>
      </c>
    </row>
    <row r="682" spans="1:8" x14ac:dyDescent="0.3">
      <c r="A682" t="str">
        <v>flyfly</v>
      </c>
      <c r="B682" t="str">
        <v>Templar Assassin</v>
      </c>
      <c r="C682" t="str" cm="1">
        <f t="array" ref="C682">_xlfn.XLOOKUP(1,([3]!players[name]=A682)*([3]!players[hero_name]=B682),[3]!players[lane_name])</f>
        <v>Carry</v>
      </c>
      <c r="D682">
        <f>COUNTIFS([3]!players[name],A682,[3]!players[hero_name],B682)</f>
        <v>1</v>
      </c>
      <c r="E682">
        <f>COUNTIFS([3]!players[name],A682,[3]!players[hero_name],B682, [3]!players[win], 1)</f>
        <v>0</v>
      </c>
      <c r="F682" s="1">
        <f t="shared" si="10"/>
        <v>0</v>
      </c>
      <c r="G682" s="2">
        <f>AVERAGEIFS([3]!players[gold_per_min], [3]!players[name],A682,[3]!players[hero_name],B682)</f>
        <v>691</v>
      </c>
      <c r="H682" s="2">
        <f>AVERAGEIFS([3]!players[xp_per_min], [3]!players[name],A682,[3]!players[hero_name],B682)</f>
        <v>795</v>
      </c>
    </row>
    <row r="683" spans="1:8" x14ac:dyDescent="0.3">
      <c r="A683" t="str">
        <v>flyfly</v>
      </c>
      <c r="B683" t="str">
        <v>Razor</v>
      </c>
      <c r="C683" t="str" cm="1">
        <f t="array" ref="C683">_xlfn.XLOOKUP(1,([3]!players[name]=A683)*([3]!players[hero_name]=B683),[3]!players[lane_name])</f>
        <v>Carry</v>
      </c>
      <c r="D683">
        <f>COUNTIFS([3]!players[name],A683,[3]!players[hero_name],B683)</f>
        <v>1</v>
      </c>
      <c r="E683">
        <f>COUNTIFS([3]!players[name],A683,[3]!players[hero_name],B683, [3]!players[win], 1)</f>
        <v>0</v>
      </c>
      <c r="F683" s="1">
        <f t="shared" si="10"/>
        <v>0</v>
      </c>
      <c r="G683" s="2">
        <f>AVERAGEIFS([3]!players[gold_per_min], [3]!players[name],A683,[3]!players[hero_name],B683)</f>
        <v>448</v>
      </c>
      <c r="H683" s="2">
        <f>AVERAGEIFS([3]!players[xp_per_min], [3]!players[name],A683,[3]!players[hero_name],B683)</f>
        <v>397</v>
      </c>
    </row>
    <row r="684" spans="1:8" x14ac:dyDescent="0.3">
      <c r="A684" t="str">
        <v>flyfly</v>
      </c>
      <c r="B684" t="str">
        <v>Tiny</v>
      </c>
      <c r="C684" t="str" cm="1">
        <f t="array" ref="C684">_xlfn.XLOOKUP(1,([3]!players[name]=A684)*([3]!players[hero_name]=B684),[3]!players[lane_name])</f>
        <v>Carry</v>
      </c>
      <c r="D684">
        <f>COUNTIFS([3]!players[name],A684,[3]!players[hero_name],B684)</f>
        <v>1</v>
      </c>
      <c r="E684">
        <f>COUNTIFS([3]!players[name],A684,[3]!players[hero_name],B684, [3]!players[win], 1)</f>
        <v>1</v>
      </c>
      <c r="F684" s="1">
        <f t="shared" si="10"/>
        <v>1</v>
      </c>
      <c r="G684" s="2">
        <f>AVERAGEIFS([3]!players[gold_per_min], [3]!players[name],A684,[3]!players[hero_name],B684)</f>
        <v>609</v>
      </c>
      <c r="H684" s="2">
        <f>AVERAGEIFS([3]!players[xp_per_min], [3]!players[name],A684,[3]!players[hero_name],B684)</f>
        <v>668</v>
      </c>
    </row>
    <row r="685" spans="1:8" x14ac:dyDescent="0.3">
      <c r="A685" t="str">
        <v>flyfly</v>
      </c>
      <c r="B685" t="str">
        <v>Luna</v>
      </c>
      <c r="C685" t="str" cm="1">
        <f t="array" ref="C685">_xlfn.XLOOKUP(1,([3]!players[name]=A685)*([3]!players[hero_name]=B685),[3]!players[lane_name])</f>
        <v>Carry</v>
      </c>
      <c r="D685">
        <f>COUNTIFS([3]!players[name],A685,[3]!players[hero_name],B685)</f>
        <v>1</v>
      </c>
      <c r="E685">
        <f>COUNTIFS([3]!players[name],A685,[3]!players[hero_name],B685, [3]!players[win], 1)</f>
        <v>0</v>
      </c>
      <c r="F685" s="1">
        <f t="shared" si="10"/>
        <v>0</v>
      </c>
      <c r="G685" s="2">
        <f>AVERAGEIFS([3]!players[gold_per_min], [3]!players[name],A685,[3]!players[hero_name],B685)</f>
        <v>534</v>
      </c>
      <c r="H685" s="2">
        <f>AVERAGEIFS([3]!players[xp_per_min], [3]!players[name],A685,[3]!players[hero_name],B685)</f>
        <v>488</v>
      </c>
    </row>
    <row r="686" spans="1:8" x14ac:dyDescent="0.3">
      <c r="A686" t="str">
        <v>flyfly</v>
      </c>
      <c r="B686" t="str">
        <v>Shadow Fiend</v>
      </c>
      <c r="C686" t="str" cm="1">
        <f t="array" ref="C686">_xlfn.XLOOKUP(1,([3]!players[name]=A686)*([3]!players[hero_name]=B686),[3]!players[lane_name])</f>
        <v>Carry</v>
      </c>
      <c r="D686">
        <f>COUNTIFS([3]!players[name],A686,[3]!players[hero_name],B686)</f>
        <v>1</v>
      </c>
      <c r="E686">
        <f>COUNTIFS([3]!players[name],A686,[3]!players[hero_name],B686, [3]!players[win], 1)</f>
        <v>1</v>
      </c>
      <c r="F686" s="1">
        <f t="shared" si="10"/>
        <v>1</v>
      </c>
      <c r="G686" s="2">
        <f>AVERAGEIFS([3]!players[gold_per_min], [3]!players[name],A686,[3]!players[hero_name],B686)</f>
        <v>690</v>
      </c>
      <c r="H686" s="2">
        <f>AVERAGEIFS([3]!players[xp_per_min], [3]!players[name],A686,[3]!players[hero_name],B686)</f>
        <v>747</v>
      </c>
    </row>
    <row r="687" spans="1:8" x14ac:dyDescent="0.3">
      <c r="A687" t="str">
        <v>flyfly</v>
      </c>
      <c r="B687" t="str">
        <v>Clinkz</v>
      </c>
      <c r="C687" t="str" cm="1">
        <f t="array" ref="C687">_xlfn.XLOOKUP(1,([3]!players[name]=A687)*([3]!players[hero_name]=B687),[3]!players[lane_name])</f>
        <v>Carry</v>
      </c>
      <c r="D687">
        <f>COUNTIFS([3]!players[name],A687,[3]!players[hero_name],B687)</f>
        <v>1</v>
      </c>
      <c r="E687">
        <f>COUNTIFS([3]!players[name],A687,[3]!players[hero_name],B687, [3]!players[win], 1)</f>
        <v>0</v>
      </c>
      <c r="F687" s="1">
        <f t="shared" si="10"/>
        <v>0</v>
      </c>
      <c r="G687" s="2">
        <f>AVERAGEIFS([3]!players[gold_per_min], [3]!players[name],A687,[3]!players[hero_name],B687)</f>
        <v>653</v>
      </c>
      <c r="H687" s="2">
        <f>AVERAGEIFS([3]!players[xp_per_min], [3]!players[name],A687,[3]!players[hero_name],B687)</f>
        <v>642</v>
      </c>
    </row>
    <row r="688" spans="1:8" x14ac:dyDescent="0.3">
      <c r="A688" t="str">
        <v>flyfly</v>
      </c>
      <c r="B688" t="str">
        <v>Phantom Assassin</v>
      </c>
      <c r="C688" t="str" cm="1">
        <f t="array" ref="C688">_xlfn.XLOOKUP(1,([3]!players[name]=A688)*([3]!players[hero_name]=B688),[3]!players[lane_name])</f>
        <v>Carry</v>
      </c>
      <c r="D688">
        <f>COUNTIFS([3]!players[name],A688,[3]!players[hero_name],B688)</f>
        <v>1</v>
      </c>
      <c r="E688">
        <f>COUNTIFS([3]!players[name],A688,[3]!players[hero_name],B688, [3]!players[win], 1)</f>
        <v>0</v>
      </c>
      <c r="F688" s="1">
        <f t="shared" si="10"/>
        <v>0</v>
      </c>
      <c r="G688" s="2">
        <f>AVERAGEIFS([3]!players[gold_per_min], [3]!players[name],A688,[3]!players[hero_name],B688)</f>
        <v>535</v>
      </c>
      <c r="H688" s="2">
        <f>AVERAGEIFS([3]!players[xp_per_min], [3]!players[name],A688,[3]!players[hero_name],B688)</f>
        <v>571</v>
      </c>
    </row>
    <row r="689" spans="1:8" x14ac:dyDescent="0.3">
      <c r="A689" t="str">
        <v>fy</v>
      </c>
      <c r="B689" t="str">
        <v>Io</v>
      </c>
      <c r="C689" t="str" cm="1">
        <f t="array" ref="C689">_xlfn.XLOOKUP(1,([3]!players[name]=A689)*([3]!players[hero_name]=B689),[3]!players[lane_name])</f>
        <v>Soft Support</v>
      </c>
      <c r="D689">
        <f>COUNTIFS([3]!players[name],A689,[3]!players[hero_name],B689)</f>
        <v>2</v>
      </c>
      <c r="E689">
        <f>COUNTIFS([3]!players[name],A689,[3]!players[hero_name],B689, [3]!players[win], 1)</f>
        <v>2</v>
      </c>
      <c r="F689" s="1">
        <f t="shared" si="10"/>
        <v>1</v>
      </c>
      <c r="G689" s="2">
        <f>AVERAGEIFS([3]!players[gold_per_min], [3]!players[name],A689,[3]!players[hero_name],B689)</f>
        <v>381.5</v>
      </c>
      <c r="H689" s="2">
        <f>AVERAGEIFS([3]!players[xp_per_min], [3]!players[name],A689,[3]!players[hero_name],B689)</f>
        <v>561</v>
      </c>
    </row>
    <row r="690" spans="1:8" x14ac:dyDescent="0.3">
      <c r="A690" t="str">
        <v>fy</v>
      </c>
      <c r="B690" t="str">
        <v>Rubick</v>
      </c>
      <c r="C690" t="str" cm="1">
        <f t="array" ref="C690">_xlfn.XLOOKUP(1,([3]!players[name]=A690)*([3]!players[hero_name]=B690),[3]!players[lane_name])</f>
        <v>Soft Support</v>
      </c>
      <c r="D690">
        <f>COUNTIFS([3]!players[name],A690,[3]!players[hero_name],B690)</f>
        <v>2</v>
      </c>
      <c r="E690">
        <f>COUNTIFS([3]!players[name],A690,[3]!players[hero_name],B690, [3]!players[win], 1)</f>
        <v>1</v>
      </c>
      <c r="F690" s="1">
        <f t="shared" si="10"/>
        <v>0.5</v>
      </c>
      <c r="G690" s="2">
        <f>AVERAGEIFS([3]!players[gold_per_min], [3]!players[name],A690,[3]!players[hero_name],B690)</f>
        <v>338.5</v>
      </c>
      <c r="H690" s="2">
        <f>AVERAGEIFS([3]!players[xp_per_min], [3]!players[name],A690,[3]!players[hero_name],B690)</f>
        <v>375.5</v>
      </c>
    </row>
    <row r="691" spans="1:8" x14ac:dyDescent="0.3">
      <c r="A691" t="str">
        <v>fy</v>
      </c>
      <c r="B691" t="str">
        <v>Shadow Shaman</v>
      </c>
      <c r="C691" t="str" cm="1">
        <f t="array" ref="C691">_xlfn.XLOOKUP(1,([3]!players[name]=A691)*([3]!players[hero_name]=B691),[3]!players[lane_name])</f>
        <v>Roam</v>
      </c>
      <c r="D691">
        <f>COUNTIFS([3]!players[name],A691,[3]!players[hero_name],B691)</f>
        <v>1</v>
      </c>
      <c r="E691">
        <f>COUNTIFS([3]!players[name],A691,[3]!players[hero_name],B691, [3]!players[win], 1)</f>
        <v>1</v>
      </c>
      <c r="F691" s="1">
        <f t="shared" si="10"/>
        <v>1</v>
      </c>
      <c r="G691" s="2">
        <f>AVERAGEIFS([3]!players[gold_per_min], [3]!players[name],A691,[3]!players[hero_name],B691)</f>
        <v>309</v>
      </c>
      <c r="H691" s="2">
        <f>AVERAGEIFS([3]!players[xp_per_min], [3]!players[name],A691,[3]!players[hero_name],B691)</f>
        <v>439</v>
      </c>
    </row>
    <row r="692" spans="1:8" x14ac:dyDescent="0.3">
      <c r="A692" t="str">
        <v>fy</v>
      </c>
      <c r="B692" t="str">
        <v>Dark Willow</v>
      </c>
      <c r="C692" t="str" cm="1">
        <f t="array" ref="C692">_xlfn.XLOOKUP(1,([3]!players[name]=A692)*([3]!players[hero_name]=B692),[3]!players[lane_name])</f>
        <v>Soft Support</v>
      </c>
      <c r="D692">
        <f>COUNTIFS([3]!players[name],A692,[3]!players[hero_name],B692)</f>
        <v>2</v>
      </c>
      <c r="E692">
        <f>COUNTIFS([3]!players[name],A692,[3]!players[hero_name],B692, [3]!players[win], 1)</f>
        <v>2</v>
      </c>
      <c r="F692" s="1">
        <f t="shared" si="10"/>
        <v>1</v>
      </c>
      <c r="G692" s="2">
        <f>AVERAGEIFS([3]!players[gold_per_min], [3]!players[name],A692,[3]!players[hero_name],B692)</f>
        <v>383.5</v>
      </c>
      <c r="H692" s="2">
        <f>AVERAGEIFS([3]!players[xp_per_min], [3]!players[name],A692,[3]!players[hero_name],B692)</f>
        <v>578.5</v>
      </c>
    </row>
    <row r="693" spans="1:8" x14ac:dyDescent="0.3">
      <c r="A693" t="str">
        <v>fy</v>
      </c>
      <c r="B693" t="str">
        <v>Hoodwink</v>
      </c>
      <c r="C693" t="str" cm="1">
        <f t="array" ref="C693">_xlfn.XLOOKUP(1,([3]!players[name]=A693)*([3]!players[hero_name]=B693),[3]!players[lane_name])</f>
        <v>Soft Support</v>
      </c>
      <c r="D693">
        <f>COUNTIFS([3]!players[name],A693,[3]!players[hero_name],B693)</f>
        <v>5</v>
      </c>
      <c r="E693">
        <f>COUNTIFS([3]!players[name],A693,[3]!players[hero_name],B693, [3]!players[win], 1)</f>
        <v>3</v>
      </c>
      <c r="F693" s="1">
        <f t="shared" si="10"/>
        <v>0.6</v>
      </c>
      <c r="G693" s="2">
        <f>AVERAGEIFS([3]!players[gold_per_min], [3]!players[name],A693,[3]!players[hero_name],B693)</f>
        <v>353</v>
      </c>
      <c r="H693" s="2">
        <f>AVERAGEIFS([3]!players[xp_per_min], [3]!players[name],A693,[3]!players[hero_name],B693)</f>
        <v>506</v>
      </c>
    </row>
    <row r="694" spans="1:8" x14ac:dyDescent="0.3">
      <c r="A694" t="str">
        <v>fy</v>
      </c>
      <c r="B694" t="str">
        <v>Shadow Demon</v>
      </c>
      <c r="C694" t="str" cm="1">
        <f t="array" ref="C694">_xlfn.XLOOKUP(1,([3]!players[name]=A694)*([3]!players[hero_name]=B694),[3]!players[lane_name])</f>
        <v>Hard Support</v>
      </c>
      <c r="D694">
        <f>COUNTIFS([3]!players[name],A694,[3]!players[hero_name],B694)</f>
        <v>2</v>
      </c>
      <c r="E694">
        <f>COUNTIFS([3]!players[name],A694,[3]!players[hero_name],B694, [3]!players[win], 1)</f>
        <v>1</v>
      </c>
      <c r="F694" s="1">
        <f t="shared" si="10"/>
        <v>0.5</v>
      </c>
      <c r="G694" s="2">
        <f>AVERAGEIFS([3]!players[gold_per_min], [3]!players[name],A694,[3]!players[hero_name],B694)</f>
        <v>286.5</v>
      </c>
      <c r="H694" s="2">
        <f>AVERAGEIFS([3]!players[xp_per_min], [3]!players[name],A694,[3]!players[hero_name],B694)</f>
        <v>393.5</v>
      </c>
    </row>
    <row r="695" spans="1:8" x14ac:dyDescent="0.3">
      <c r="A695" t="str">
        <v>fy</v>
      </c>
      <c r="B695" t="str">
        <v>Batrider</v>
      </c>
      <c r="C695" t="str" cm="1">
        <f t="array" ref="C695">_xlfn.XLOOKUP(1,([3]!players[name]=A695)*([3]!players[hero_name]=B695),[3]!players[lane_name])</f>
        <v>Hard Support</v>
      </c>
      <c r="D695">
        <f>COUNTIFS([3]!players[name],A695,[3]!players[hero_name],B695)</f>
        <v>1</v>
      </c>
      <c r="E695">
        <f>COUNTIFS([3]!players[name],A695,[3]!players[hero_name],B695, [3]!players[win], 1)</f>
        <v>1</v>
      </c>
      <c r="F695" s="1">
        <f t="shared" si="10"/>
        <v>1</v>
      </c>
      <c r="G695" s="2">
        <f>AVERAGEIFS([3]!players[gold_per_min], [3]!players[name],A695,[3]!players[hero_name],B695)</f>
        <v>382</v>
      </c>
      <c r="H695" s="2">
        <f>AVERAGEIFS([3]!players[xp_per_min], [3]!players[name],A695,[3]!players[hero_name],B695)</f>
        <v>572</v>
      </c>
    </row>
    <row r="696" spans="1:8" x14ac:dyDescent="0.3">
      <c r="A696" t="str">
        <v>fy</v>
      </c>
      <c r="B696" t="str">
        <v>Techies</v>
      </c>
      <c r="C696" t="str" cm="1">
        <f t="array" ref="C696">_xlfn.XLOOKUP(1,([3]!players[name]=A696)*([3]!players[hero_name]=B696),[3]!players[lane_name])</f>
        <v>Soft Support</v>
      </c>
      <c r="D696">
        <f>COUNTIFS([3]!players[name],A696,[3]!players[hero_name],B696)</f>
        <v>2</v>
      </c>
      <c r="E696">
        <f>COUNTIFS([3]!players[name],A696,[3]!players[hero_name],B696, [3]!players[win], 1)</f>
        <v>1</v>
      </c>
      <c r="F696" s="1">
        <f t="shared" si="10"/>
        <v>0.5</v>
      </c>
      <c r="G696" s="2">
        <f>AVERAGEIFS([3]!players[gold_per_min], [3]!players[name],A696,[3]!players[hero_name],B696)</f>
        <v>365.5</v>
      </c>
      <c r="H696" s="2">
        <f>AVERAGEIFS([3]!players[xp_per_min], [3]!players[name],A696,[3]!players[hero_name],B696)</f>
        <v>463.5</v>
      </c>
    </row>
    <row r="697" spans="1:8" x14ac:dyDescent="0.3">
      <c r="A697" t="str">
        <v>fy</v>
      </c>
      <c r="B697" t="str">
        <v>Tusk</v>
      </c>
      <c r="C697" t="str" cm="1">
        <f t="array" ref="C697">_xlfn.XLOOKUP(1,([3]!players[name]=A697)*([3]!players[hero_name]=B697),[3]!players[lane_name])</f>
        <v>Soft Support</v>
      </c>
      <c r="D697">
        <f>COUNTIFS([3]!players[name],A697,[3]!players[hero_name],B697)</f>
        <v>1</v>
      </c>
      <c r="E697">
        <f>COUNTIFS([3]!players[name],A697,[3]!players[hero_name],B697, [3]!players[win], 1)</f>
        <v>0</v>
      </c>
      <c r="F697" s="1">
        <f t="shared" si="10"/>
        <v>0</v>
      </c>
      <c r="G697" s="2">
        <f>AVERAGEIFS([3]!players[gold_per_min], [3]!players[name],A697,[3]!players[hero_name],B697)</f>
        <v>335</v>
      </c>
      <c r="H697" s="2">
        <f>AVERAGEIFS([3]!players[xp_per_min], [3]!players[name],A697,[3]!players[hero_name],B697)</f>
        <v>517</v>
      </c>
    </row>
    <row r="698" spans="1:8" x14ac:dyDescent="0.3">
      <c r="A698" t="str">
        <v>gbc</v>
      </c>
      <c r="B698" t="str">
        <v>Puck</v>
      </c>
      <c r="C698" t="str" cm="1">
        <f t="array" ref="C698">_xlfn.XLOOKUP(1,([3]!players[name]=A698)*([3]!players[hero_name]=B698),[3]!players[lane_name])</f>
        <v>Mid</v>
      </c>
      <c r="D698">
        <f>COUNTIFS([3]!players[name],A698,[3]!players[hero_name],B698)</f>
        <v>4</v>
      </c>
      <c r="E698">
        <f>COUNTIFS([3]!players[name],A698,[3]!players[hero_name],B698, [3]!players[win], 1)</f>
        <v>2</v>
      </c>
      <c r="F698" s="1">
        <f t="shared" si="10"/>
        <v>0.5</v>
      </c>
      <c r="G698" s="2">
        <f>AVERAGEIFS([3]!players[gold_per_min], [3]!players[name],A698,[3]!players[hero_name],B698)</f>
        <v>549.75</v>
      </c>
      <c r="H698" s="2">
        <f>AVERAGEIFS([3]!players[xp_per_min], [3]!players[name],A698,[3]!players[hero_name],B698)</f>
        <v>632.5</v>
      </c>
    </row>
    <row r="699" spans="1:8" x14ac:dyDescent="0.3">
      <c r="A699" t="str">
        <v>gbc</v>
      </c>
      <c r="B699" t="str">
        <v>Earthshaker</v>
      </c>
      <c r="C699" t="str" cm="1">
        <f t="array" ref="C699">_xlfn.XLOOKUP(1,([3]!players[name]=A699)*([3]!players[hero_name]=B699),[3]!players[lane_name])</f>
        <v>Mid</v>
      </c>
      <c r="D699">
        <f>COUNTIFS([3]!players[name],A699,[3]!players[hero_name],B699)</f>
        <v>4</v>
      </c>
      <c r="E699">
        <f>COUNTIFS([3]!players[name],A699,[3]!players[hero_name],B699, [3]!players[win], 1)</f>
        <v>2</v>
      </c>
      <c r="F699" s="1">
        <f t="shared" si="10"/>
        <v>0.5</v>
      </c>
      <c r="G699" s="2">
        <f>AVERAGEIFS([3]!players[gold_per_min], [3]!players[name],A699,[3]!players[hero_name],B699)</f>
        <v>485.25</v>
      </c>
      <c r="H699" s="2">
        <f>AVERAGEIFS([3]!players[xp_per_min], [3]!players[name],A699,[3]!players[hero_name],B699)</f>
        <v>571.75</v>
      </c>
    </row>
    <row r="700" spans="1:8" x14ac:dyDescent="0.3">
      <c r="A700" t="str">
        <v>gbc</v>
      </c>
      <c r="B700" t="str">
        <v>Pangolier</v>
      </c>
      <c r="C700" t="str" cm="1">
        <f t="array" ref="C700">_xlfn.XLOOKUP(1,([3]!players[name]=A700)*([3]!players[hero_name]=B700),[3]!players[lane_name])</f>
        <v>Mid</v>
      </c>
      <c r="D700">
        <f>COUNTIFS([3]!players[name],A700,[3]!players[hero_name],B700)</f>
        <v>1</v>
      </c>
      <c r="E700">
        <f>COUNTIFS([3]!players[name],A700,[3]!players[hero_name],B700, [3]!players[win], 1)</f>
        <v>0</v>
      </c>
      <c r="F700" s="1">
        <f t="shared" si="10"/>
        <v>0</v>
      </c>
      <c r="G700" s="2">
        <f>AVERAGEIFS([3]!players[gold_per_min], [3]!players[name],A700,[3]!players[hero_name],B700)</f>
        <v>465</v>
      </c>
      <c r="H700" s="2">
        <f>AVERAGEIFS([3]!players[xp_per_min], [3]!players[name],A700,[3]!players[hero_name],B700)</f>
        <v>572</v>
      </c>
    </row>
    <row r="701" spans="1:8" x14ac:dyDescent="0.3">
      <c r="A701" t="str">
        <v>gbc</v>
      </c>
      <c r="B701" t="str">
        <v>Ember Spirit</v>
      </c>
      <c r="C701" t="str" cm="1">
        <f t="array" ref="C701">_xlfn.XLOOKUP(1,([3]!players[name]=A701)*([3]!players[hero_name]=B701),[3]!players[lane_name])</f>
        <v>Mid</v>
      </c>
      <c r="D701">
        <f>COUNTIFS([3]!players[name],A701,[3]!players[hero_name],B701)</f>
        <v>3</v>
      </c>
      <c r="E701">
        <f>COUNTIFS([3]!players[name],A701,[3]!players[hero_name],B701, [3]!players[win], 1)</f>
        <v>1</v>
      </c>
      <c r="F701" s="1">
        <f t="shared" si="10"/>
        <v>0.33333333333333331</v>
      </c>
      <c r="G701" s="2">
        <f>AVERAGEIFS([3]!players[gold_per_min], [3]!players[name],A701,[3]!players[hero_name],B701)</f>
        <v>462.33333333333331</v>
      </c>
      <c r="H701" s="2">
        <f>AVERAGEIFS([3]!players[xp_per_min], [3]!players[name],A701,[3]!players[hero_name],B701)</f>
        <v>580.66666666666663</v>
      </c>
    </row>
    <row r="702" spans="1:8" x14ac:dyDescent="0.3">
      <c r="A702" t="str">
        <v>gbc</v>
      </c>
      <c r="B702" t="str">
        <v>Slardar</v>
      </c>
      <c r="C702" t="str" cm="1">
        <f t="array" ref="C702">_xlfn.XLOOKUP(1,([3]!players[name]=A702)*([3]!players[hero_name]=B702),[3]!players[lane_name])</f>
        <v>Mid</v>
      </c>
      <c r="D702">
        <f>COUNTIFS([3]!players[name],A702,[3]!players[hero_name],B702)</f>
        <v>2</v>
      </c>
      <c r="E702">
        <f>COUNTIFS([3]!players[name],A702,[3]!players[hero_name],B702, [3]!players[win], 1)</f>
        <v>0</v>
      </c>
      <c r="F702" s="1">
        <f t="shared" si="10"/>
        <v>0</v>
      </c>
      <c r="G702" s="2">
        <f>AVERAGEIFS([3]!players[gold_per_min], [3]!players[name],A702,[3]!players[hero_name],B702)</f>
        <v>399.5</v>
      </c>
      <c r="H702" s="2">
        <f>AVERAGEIFS([3]!players[xp_per_min], [3]!players[name],A702,[3]!players[hero_name],B702)</f>
        <v>501.5</v>
      </c>
    </row>
    <row r="703" spans="1:8" x14ac:dyDescent="0.3">
      <c r="A703" t="str">
        <v>gbc</v>
      </c>
      <c r="B703" t="str">
        <v>Queen of Pain</v>
      </c>
      <c r="C703" t="str" cm="1">
        <f t="array" ref="C703">_xlfn.XLOOKUP(1,([3]!players[name]=A703)*([3]!players[hero_name]=B703),[3]!players[lane_name])</f>
        <v>Mid</v>
      </c>
      <c r="D703">
        <f>COUNTIFS([3]!players[name],A703,[3]!players[hero_name],B703)</f>
        <v>1</v>
      </c>
      <c r="E703">
        <f>COUNTIFS([3]!players[name],A703,[3]!players[hero_name],B703, [3]!players[win], 1)</f>
        <v>1</v>
      </c>
      <c r="F703" s="1">
        <f t="shared" si="10"/>
        <v>1</v>
      </c>
      <c r="G703" s="2">
        <f>AVERAGEIFS([3]!players[gold_per_min], [3]!players[name],A703,[3]!players[hero_name],B703)</f>
        <v>657</v>
      </c>
      <c r="H703" s="2">
        <f>AVERAGEIFS([3]!players[xp_per_min], [3]!players[name],A703,[3]!players[hero_name],B703)</f>
        <v>654</v>
      </c>
    </row>
    <row r="704" spans="1:8" x14ac:dyDescent="0.3">
      <c r="A704" t="str">
        <v>GH</v>
      </c>
      <c r="B704" t="str">
        <v>Pugna</v>
      </c>
      <c r="C704" t="str" cm="1">
        <f t="array" ref="C704">_xlfn.XLOOKUP(1,([3]!players[name]=A704)*([3]!players[hero_name]=B704),[3]!players[lane_name])</f>
        <v>Roam</v>
      </c>
      <c r="D704">
        <f>COUNTIFS([3]!players[name],A704,[3]!players[hero_name],B704)</f>
        <v>2</v>
      </c>
      <c r="E704">
        <f>COUNTIFS([3]!players[name],A704,[3]!players[hero_name],B704, [3]!players[win], 1)</f>
        <v>2</v>
      </c>
      <c r="F704" s="1">
        <f t="shared" si="10"/>
        <v>1</v>
      </c>
      <c r="G704" s="2">
        <f>AVERAGEIFS([3]!players[gold_per_min], [3]!players[name],A704,[3]!players[hero_name],B704)</f>
        <v>360.5</v>
      </c>
      <c r="H704" s="2">
        <f>AVERAGEIFS([3]!players[xp_per_min], [3]!players[name],A704,[3]!players[hero_name],B704)</f>
        <v>490.5</v>
      </c>
    </row>
    <row r="705" spans="1:8" x14ac:dyDescent="0.3">
      <c r="A705" t="str">
        <v>GH</v>
      </c>
      <c r="B705" t="str">
        <v>Keeper of the Light</v>
      </c>
      <c r="C705" t="str" cm="1">
        <f t="array" ref="C705">_xlfn.XLOOKUP(1,([3]!players[name]=A705)*([3]!players[hero_name]=B705),[3]!players[lane_name])</f>
        <v>Soft Support</v>
      </c>
      <c r="D705">
        <f>COUNTIFS([3]!players[name],A705,[3]!players[hero_name],B705)</f>
        <v>8</v>
      </c>
      <c r="E705">
        <f>COUNTIFS([3]!players[name],A705,[3]!players[hero_name],B705, [3]!players[win], 1)</f>
        <v>5</v>
      </c>
      <c r="F705" s="1">
        <f t="shared" si="10"/>
        <v>0.625</v>
      </c>
      <c r="G705" s="2">
        <f>AVERAGEIFS([3]!players[gold_per_min], [3]!players[name],A705,[3]!players[hero_name],B705)</f>
        <v>382.875</v>
      </c>
      <c r="H705" s="2">
        <f>AVERAGEIFS([3]!players[xp_per_min], [3]!players[name],A705,[3]!players[hero_name],B705)</f>
        <v>476.75</v>
      </c>
    </row>
    <row r="706" spans="1:8" x14ac:dyDescent="0.3">
      <c r="A706" t="str">
        <v>GH</v>
      </c>
      <c r="B706" t="str">
        <v>Bane</v>
      </c>
      <c r="C706" t="str" cm="1">
        <f t="array" ref="C706">_xlfn.XLOOKUP(1,([3]!players[name]=A706)*([3]!players[hero_name]=B706),[3]!players[lane_name])</f>
        <v>Hard Support</v>
      </c>
      <c r="D706">
        <f>COUNTIFS([3]!players[name],A706,[3]!players[hero_name],B706)</f>
        <v>4</v>
      </c>
      <c r="E706">
        <f>COUNTIFS([3]!players[name],A706,[3]!players[hero_name],B706, [3]!players[win], 1)</f>
        <v>2</v>
      </c>
      <c r="F706" s="1">
        <f t="shared" si="10"/>
        <v>0.5</v>
      </c>
      <c r="G706" s="2">
        <f>AVERAGEIFS([3]!players[gold_per_min], [3]!players[name],A706,[3]!players[hero_name],B706)</f>
        <v>262.25</v>
      </c>
      <c r="H706" s="2">
        <f>AVERAGEIFS([3]!players[xp_per_min], [3]!players[name],A706,[3]!players[hero_name],B706)</f>
        <v>395.5</v>
      </c>
    </row>
    <row r="707" spans="1:8" x14ac:dyDescent="0.3">
      <c r="A707" t="str">
        <v>GH</v>
      </c>
      <c r="B707" t="str">
        <v>Oracle</v>
      </c>
      <c r="C707" t="str" cm="1">
        <f t="array" ref="C707">_xlfn.XLOOKUP(1,([3]!players[name]=A707)*([3]!players[hero_name]=B707),[3]!players[lane_name])</f>
        <v>Soft Support</v>
      </c>
      <c r="D707">
        <f>COUNTIFS([3]!players[name],A707,[3]!players[hero_name],B707)</f>
        <v>6</v>
      </c>
      <c r="E707">
        <f>COUNTIFS([3]!players[name],A707,[3]!players[hero_name],B707, [3]!players[win], 1)</f>
        <v>4</v>
      </c>
      <c r="F707" s="1">
        <f t="shared" ref="F707:F770" si="11">E707/D707</f>
        <v>0.66666666666666663</v>
      </c>
      <c r="G707" s="2">
        <f>AVERAGEIFS([3]!players[gold_per_min], [3]!players[name],A707,[3]!players[hero_name],B707)</f>
        <v>338.5</v>
      </c>
      <c r="H707" s="2">
        <f>AVERAGEIFS([3]!players[xp_per_min], [3]!players[name],A707,[3]!players[hero_name],B707)</f>
        <v>509.66666666666669</v>
      </c>
    </row>
    <row r="708" spans="1:8" x14ac:dyDescent="0.3">
      <c r="A708" t="str">
        <v>GH</v>
      </c>
      <c r="B708" t="str">
        <v>Phoenix</v>
      </c>
      <c r="C708" t="str" cm="1">
        <f t="array" ref="C708">_xlfn.XLOOKUP(1,([3]!players[name]=A708)*([3]!players[hero_name]=B708),[3]!players[lane_name])</f>
        <v>Soft Support</v>
      </c>
      <c r="D708">
        <f>COUNTIFS([3]!players[name],A708,[3]!players[hero_name],B708)</f>
        <v>10</v>
      </c>
      <c r="E708">
        <f>COUNTIFS([3]!players[name],A708,[3]!players[hero_name],B708, [3]!players[win], 1)</f>
        <v>10</v>
      </c>
      <c r="F708" s="1">
        <f t="shared" si="11"/>
        <v>1</v>
      </c>
      <c r="G708" s="2">
        <f>AVERAGEIFS([3]!players[gold_per_min], [3]!players[name],A708,[3]!players[hero_name],B708)</f>
        <v>439.6</v>
      </c>
      <c r="H708" s="2">
        <f>AVERAGEIFS([3]!players[xp_per_min], [3]!players[name],A708,[3]!players[hero_name],B708)</f>
        <v>567.1</v>
      </c>
    </row>
    <row r="709" spans="1:8" x14ac:dyDescent="0.3">
      <c r="A709" t="str">
        <v>GH</v>
      </c>
      <c r="B709" t="str">
        <v>Dazzle</v>
      </c>
      <c r="C709" t="str" cm="1">
        <f t="array" ref="C709">_xlfn.XLOOKUP(1,([3]!players[name]=A709)*([3]!players[hero_name]=B709),[3]!players[lane_name])</f>
        <v>Soft Support</v>
      </c>
      <c r="D709">
        <f>COUNTIFS([3]!players[name],A709,[3]!players[hero_name],B709)</f>
        <v>6</v>
      </c>
      <c r="E709">
        <f>COUNTIFS([3]!players[name],A709,[3]!players[hero_name],B709, [3]!players[win], 1)</f>
        <v>2</v>
      </c>
      <c r="F709" s="1">
        <f t="shared" si="11"/>
        <v>0.33333333333333331</v>
      </c>
      <c r="G709" s="2">
        <f>AVERAGEIFS([3]!players[gold_per_min], [3]!players[name],A709,[3]!players[hero_name],B709)</f>
        <v>295.66666666666669</v>
      </c>
      <c r="H709" s="2">
        <f>AVERAGEIFS([3]!players[xp_per_min], [3]!players[name],A709,[3]!players[hero_name],B709)</f>
        <v>463.33333333333331</v>
      </c>
    </row>
    <row r="710" spans="1:8" x14ac:dyDescent="0.3">
      <c r="A710" t="str">
        <v>GH</v>
      </c>
      <c r="B710" t="str">
        <v>Winter Wyvern</v>
      </c>
      <c r="C710" t="str" cm="1">
        <f t="array" ref="C710">_xlfn.XLOOKUP(1,([3]!players[name]=A710)*([3]!players[hero_name]=B710),[3]!players[lane_name])</f>
        <v>Soft Support</v>
      </c>
      <c r="D710">
        <f>COUNTIFS([3]!players[name],A710,[3]!players[hero_name],B710)</f>
        <v>1</v>
      </c>
      <c r="E710">
        <f>COUNTIFS([3]!players[name],A710,[3]!players[hero_name],B710, [3]!players[win], 1)</f>
        <v>0</v>
      </c>
      <c r="F710" s="1">
        <f t="shared" si="11"/>
        <v>0</v>
      </c>
      <c r="G710" s="2">
        <f>AVERAGEIFS([3]!players[gold_per_min], [3]!players[name],A710,[3]!players[hero_name],B710)</f>
        <v>285</v>
      </c>
      <c r="H710" s="2">
        <f>AVERAGEIFS([3]!players[xp_per_min], [3]!players[name],A710,[3]!players[hero_name],B710)</f>
        <v>309</v>
      </c>
    </row>
    <row r="711" spans="1:8" x14ac:dyDescent="0.3">
      <c r="A711" t="str">
        <v>GH</v>
      </c>
      <c r="B711" t="str">
        <v>Io</v>
      </c>
      <c r="C711" t="str" cm="1">
        <f t="array" ref="C711">_xlfn.XLOOKUP(1,([3]!players[name]=A711)*([3]!players[hero_name]=B711),[3]!players[lane_name])</f>
        <v>Soft Support</v>
      </c>
      <c r="D711">
        <f>COUNTIFS([3]!players[name],A711,[3]!players[hero_name],B711)</f>
        <v>4</v>
      </c>
      <c r="E711">
        <f>COUNTIFS([3]!players[name],A711,[3]!players[hero_name],B711, [3]!players[win], 1)</f>
        <v>1</v>
      </c>
      <c r="F711" s="1">
        <f t="shared" si="11"/>
        <v>0.25</v>
      </c>
      <c r="G711" s="2">
        <f>AVERAGEIFS([3]!players[gold_per_min], [3]!players[name],A711,[3]!players[hero_name],B711)</f>
        <v>333.25</v>
      </c>
      <c r="H711" s="2">
        <f>AVERAGEIFS([3]!players[xp_per_min], [3]!players[name],A711,[3]!players[hero_name],B711)</f>
        <v>491</v>
      </c>
    </row>
    <row r="712" spans="1:8" x14ac:dyDescent="0.3">
      <c r="A712" t="str">
        <v>GH</v>
      </c>
      <c r="B712" t="str">
        <v>Silencer</v>
      </c>
      <c r="C712" t="str" cm="1">
        <f t="array" ref="C712">_xlfn.XLOOKUP(1,([3]!players[name]=A712)*([3]!players[hero_name]=B712),[3]!players[lane_name])</f>
        <v>Roam</v>
      </c>
      <c r="D712">
        <f>COUNTIFS([3]!players[name],A712,[3]!players[hero_name],B712)</f>
        <v>4</v>
      </c>
      <c r="E712">
        <f>COUNTIFS([3]!players[name],A712,[3]!players[hero_name],B712, [3]!players[win], 1)</f>
        <v>4</v>
      </c>
      <c r="F712" s="1">
        <f t="shared" si="11"/>
        <v>1</v>
      </c>
      <c r="G712" s="2">
        <f>AVERAGEIFS([3]!players[gold_per_min], [3]!players[name],A712,[3]!players[hero_name],B712)</f>
        <v>337</v>
      </c>
      <c r="H712" s="2">
        <f>AVERAGEIFS([3]!players[xp_per_min], [3]!players[name],A712,[3]!players[hero_name],B712)</f>
        <v>409</v>
      </c>
    </row>
    <row r="713" spans="1:8" x14ac:dyDescent="0.3">
      <c r="A713" t="str">
        <v>GH</v>
      </c>
      <c r="B713" t="str">
        <v>Zeus</v>
      </c>
      <c r="C713" t="str" cm="1">
        <f t="array" ref="C713">_xlfn.XLOOKUP(1,([3]!players[name]=A713)*([3]!players[hero_name]=B713),[3]!players[lane_name])</f>
        <v>Soft Support</v>
      </c>
      <c r="D713">
        <f>COUNTIFS([3]!players[name],A713,[3]!players[hero_name],B713)</f>
        <v>4</v>
      </c>
      <c r="E713">
        <f>COUNTIFS([3]!players[name],A713,[3]!players[hero_name],B713, [3]!players[win], 1)</f>
        <v>4</v>
      </c>
      <c r="F713" s="1">
        <f t="shared" si="11"/>
        <v>1</v>
      </c>
      <c r="G713" s="2">
        <f>AVERAGEIFS([3]!players[gold_per_min], [3]!players[name],A713,[3]!players[hero_name],B713)</f>
        <v>413</v>
      </c>
      <c r="H713" s="2">
        <f>AVERAGEIFS([3]!players[xp_per_min], [3]!players[name],A713,[3]!players[hero_name],B713)</f>
        <v>529.5</v>
      </c>
    </row>
    <row r="714" spans="1:8" x14ac:dyDescent="0.3">
      <c r="A714" t="str">
        <v>Ghost</v>
      </c>
      <c r="B714" t="str">
        <v>Alchemist</v>
      </c>
      <c r="C714" t="str" cm="1">
        <f t="array" ref="C714">_xlfn.XLOOKUP(1,([3]!players[name]=A714)*([3]!players[hero_name]=B714),[3]!players[lane_name])</f>
        <v>Carry</v>
      </c>
      <c r="D714">
        <f>COUNTIFS([3]!players[name],A714,[3]!players[hero_name],B714)</f>
        <v>5</v>
      </c>
      <c r="E714">
        <f>COUNTIFS([3]!players[name],A714,[3]!players[hero_name],B714, [3]!players[win], 1)</f>
        <v>4</v>
      </c>
      <c r="F714" s="1">
        <f t="shared" si="11"/>
        <v>0.8</v>
      </c>
      <c r="G714" s="2">
        <f>AVERAGEIFS([3]!players[gold_per_min], [3]!players[name],A714,[3]!players[hero_name],B714)</f>
        <v>979.8</v>
      </c>
      <c r="H714" s="2">
        <f>AVERAGEIFS([3]!players[xp_per_min], [3]!players[name],A714,[3]!players[hero_name],B714)</f>
        <v>920.4</v>
      </c>
    </row>
    <row r="715" spans="1:8" x14ac:dyDescent="0.3">
      <c r="A715" t="str">
        <v>Ghost</v>
      </c>
      <c r="B715" t="str">
        <v>Clinkz</v>
      </c>
      <c r="C715" t="str" cm="1">
        <f t="array" ref="C715">_xlfn.XLOOKUP(1,([3]!players[name]=A715)*([3]!players[hero_name]=B715),[3]!players[lane_name])</f>
        <v>Carry</v>
      </c>
      <c r="D715">
        <f>COUNTIFS([3]!players[name],A715,[3]!players[hero_name],B715)</f>
        <v>3</v>
      </c>
      <c r="E715">
        <f>COUNTIFS([3]!players[name],A715,[3]!players[hero_name],B715, [3]!players[win], 1)</f>
        <v>3</v>
      </c>
      <c r="F715" s="1">
        <f t="shared" si="11"/>
        <v>1</v>
      </c>
      <c r="G715" s="2">
        <f>AVERAGEIFS([3]!players[gold_per_min], [3]!players[name],A715,[3]!players[hero_name],B715)</f>
        <v>741.33333333333337</v>
      </c>
      <c r="H715" s="2">
        <f>AVERAGEIFS([3]!players[xp_per_min], [3]!players[name],A715,[3]!players[hero_name],B715)</f>
        <v>791.66666666666663</v>
      </c>
    </row>
    <row r="716" spans="1:8" x14ac:dyDescent="0.3">
      <c r="A716" t="str">
        <v>Ghost</v>
      </c>
      <c r="B716" t="str">
        <v>Viper</v>
      </c>
      <c r="C716" t="str" cm="1">
        <f t="array" ref="C716">_xlfn.XLOOKUP(1,([3]!players[name]=A716)*([3]!players[hero_name]=B716),[3]!players[lane_name])</f>
        <v>Carry</v>
      </c>
      <c r="D716">
        <f>COUNTIFS([3]!players[name],A716,[3]!players[hero_name],B716)</f>
        <v>4</v>
      </c>
      <c r="E716">
        <f>COUNTIFS([3]!players[name],A716,[3]!players[hero_name],B716, [3]!players[win], 1)</f>
        <v>2</v>
      </c>
      <c r="F716" s="1">
        <f t="shared" si="11"/>
        <v>0.5</v>
      </c>
      <c r="G716" s="2">
        <f>AVERAGEIFS([3]!players[gold_per_min], [3]!players[name],A716,[3]!players[hero_name],B716)</f>
        <v>691</v>
      </c>
      <c r="H716" s="2">
        <f>AVERAGEIFS([3]!players[xp_per_min], [3]!players[name],A716,[3]!players[hero_name],B716)</f>
        <v>811.25</v>
      </c>
    </row>
    <row r="717" spans="1:8" x14ac:dyDescent="0.3">
      <c r="A717" t="str">
        <v>Ghost</v>
      </c>
      <c r="B717" t="str">
        <v>Monkey King</v>
      </c>
      <c r="C717" t="str" cm="1">
        <f t="array" ref="C717">_xlfn.XLOOKUP(1,([3]!players[name]=A717)*([3]!players[hero_name]=B717),[3]!players[lane_name])</f>
        <v>Carry</v>
      </c>
      <c r="D717">
        <f>COUNTIFS([3]!players[name],A717,[3]!players[hero_name],B717)</f>
        <v>1</v>
      </c>
      <c r="E717">
        <f>COUNTIFS([3]!players[name],A717,[3]!players[hero_name],B717, [3]!players[win], 1)</f>
        <v>1</v>
      </c>
      <c r="F717" s="1">
        <f t="shared" si="11"/>
        <v>1</v>
      </c>
      <c r="G717" s="2">
        <f>AVERAGEIFS([3]!players[gold_per_min], [3]!players[name],A717,[3]!players[hero_name],B717)</f>
        <v>521</v>
      </c>
      <c r="H717" s="2">
        <f>AVERAGEIFS([3]!players[xp_per_min], [3]!players[name],A717,[3]!players[hero_name],B717)</f>
        <v>569</v>
      </c>
    </row>
    <row r="718" spans="1:8" x14ac:dyDescent="0.3">
      <c r="A718" t="str">
        <v>Ghost</v>
      </c>
      <c r="B718" t="str">
        <v>Templar Assassin</v>
      </c>
      <c r="C718" t="str" cm="1">
        <f t="array" ref="C718">_xlfn.XLOOKUP(1,([3]!players[name]=A718)*([3]!players[hero_name]=B718),[3]!players[lane_name])</f>
        <v>Carry</v>
      </c>
      <c r="D718">
        <f>COUNTIFS([3]!players[name],A718,[3]!players[hero_name],B718)</f>
        <v>2</v>
      </c>
      <c r="E718">
        <f>COUNTIFS([3]!players[name],A718,[3]!players[hero_name],B718, [3]!players[win], 1)</f>
        <v>1</v>
      </c>
      <c r="F718" s="1">
        <f t="shared" si="11"/>
        <v>0.5</v>
      </c>
      <c r="G718" s="2">
        <f>AVERAGEIFS([3]!players[gold_per_min], [3]!players[name],A718,[3]!players[hero_name],B718)</f>
        <v>767.5</v>
      </c>
      <c r="H718" s="2">
        <f>AVERAGEIFS([3]!players[xp_per_min], [3]!players[name],A718,[3]!players[hero_name],B718)</f>
        <v>952.5</v>
      </c>
    </row>
    <row r="719" spans="1:8" x14ac:dyDescent="0.3">
      <c r="A719" t="str">
        <v>Ghost</v>
      </c>
      <c r="B719" t="str">
        <v>Lone Druid</v>
      </c>
      <c r="C719" t="str" cm="1">
        <f t="array" ref="C719">_xlfn.XLOOKUP(1,([3]!players[name]=A719)*([3]!players[hero_name]=B719),[3]!players[lane_name])</f>
        <v>Carry</v>
      </c>
      <c r="D719">
        <f>COUNTIFS([3]!players[name],A719,[3]!players[hero_name],B719)</f>
        <v>3</v>
      </c>
      <c r="E719">
        <f>COUNTIFS([3]!players[name],A719,[3]!players[hero_name],B719, [3]!players[win], 1)</f>
        <v>2</v>
      </c>
      <c r="F719" s="1">
        <f t="shared" si="11"/>
        <v>0.66666666666666663</v>
      </c>
      <c r="G719" s="2">
        <f>AVERAGEIFS([3]!players[gold_per_min], [3]!players[name],A719,[3]!players[hero_name],B719)</f>
        <v>765.66666666666663</v>
      </c>
      <c r="H719" s="2">
        <f>AVERAGEIFS([3]!players[xp_per_min], [3]!players[name],A719,[3]!players[hero_name],B719)</f>
        <v>729.33333333333337</v>
      </c>
    </row>
    <row r="720" spans="1:8" x14ac:dyDescent="0.3">
      <c r="A720" t="str">
        <v>Ghost</v>
      </c>
      <c r="B720" t="str">
        <v>Faceless Void</v>
      </c>
      <c r="C720" t="str" cm="1">
        <f t="array" ref="C720">_xlfn.XLOOKUP(1,([3]!players[name]=A720)*([3]!players[hero_name]=B720),[3]!players[lane_name])</f>
        <v>Off Lane</v>
      </c>
      <c r="D720">
        <f>COUNTIFS([3]!players[name],A720,[3]!players[hero_name],B720)</f>
        <v>1</v>
      </c>
      <c r="E720">
        <f>COUNTIFS([3]!players[name],A720,[3]!players[hero_name],B720, [3]!players[win], 1)</f>
        <v>0</v>
      </c>
      <c r="F720" s="1">
        <f t="shared" si="11"/>
        <v>0</v>
      </c>
      <c r="G720" s="2">
        <f>AVERAGEIFS([3]!players[gold_per_min], [3]!players[name],A720,[3]!players[hero_name],B720)</f>
        <v>614</v>
      </c>
      <c r="H720" s="2">
        <f>AVERAGEIFS([3]!players[xp_per_min], [3]!players[name],A720,[3]!players[hero_name],B720)</f>
        <v>722</v>
      </c>
    </row>
    <row r="721" spans="1:8" x14ac:dyDescent="0.3">
      <c r="A721" t="str">
        <v>Ghost</v>
      </c>
      <c r="B721" t="str">
        <v>Terrorblade</v>
      </c>
      <c r="C721" t="str" cm="1">
        <f t="array" ref="C721">_xlfn.XLOOKUP(1,([3]!players[name]=A721)*([3]!players[hero_name]=B721),[3]!players[lane_name])</f>
        <v>Carry</v>
      </c>
      <c r="D721">
        <f>COUNTIFS([3]!players[name],A721,[3]!players[hero_name],B721)</f>
        <v>1</v>
      </c>
      <c r="E721">
        <f>COUNTIFS([3]!players[name],A721,[3]!players[hero_name],B721, [3]!players[win], 1)</f>
        <v>0</v>
      </c>
      <c r="F721" s="1">
        <f t="shared" si="11"/>
        <v>0</v>
      </c>
      <c r="G721" s="2">
        <f>AVERAGEIFS([3]!players[gold_per_min], [3]!players[name],A721,[3]!players[hero_name],B721)</f>
        <v>603</v>
      </c>
      <c r="H721" s="2">
        <f>AVERAGEIFS([3]!players[xp_per_min], [3]!players[name],A721,[3]!players[hero_name],B721)</f>
        <v>565</v>
      </c>
    </row>
    <row r="722" spans="1:8" x14ac:dyDescent="0.3">
      <c r="A722" t="str">
        <v>Ghost</v>
      </c>
      <c r="B722" t="str">
        <v>Bristleback</v>
      </c>
      <c r="C722" t="str" cm="1">
        <f t="array" ref="C722">_xlfn.XLOOKUP(1,([3]!players[name]=A722)*([3]!players[hero_name]=B722),[3]!players[lane_name])</f>
        <v>Carry</v>
      </c>
      <c r="D722">
        <f>COUNTIFS([3]!players[name],A722,[3]!players[hero_name],B722)</f>
        <v>1</v>
      </c>
      <c r="E722">
        <f>COUNTIFS([3]!players[name],A722,[3]!players[hero_name],B722, [3]!players[win], 1)</f>
        <v>0</v>
      </c>
      <c r="F722" s="1">
        <f t="shared" si="11"/>
        <v>0</v>
      </c>
      <c r="G722" s="2">
        <f>AVERAGEIFS([3]!players[gold_per_min], [3]!players[name],A722,[3]!players[hero_name],B722)</f>
        <v>567</v>
      </c>
      <c r="H722" s="2">
        <f>AVERAGEIFS([3]!players[xp_per_min], [3]!players[name],A722,[3]!players[hero_name],B722)</f>
        <v>692</v>
      </c>
    </row>
    <row r="723" spans="1:8" x14ac:dyDescent="0.3">
      <c r="A723" t="str">
        <v>Ghost</v>
      </c>
      <c r="B723" t="str">
        <v>Doom</v>
      </c>
      <c r="C723" t="str" cm="1">
        <f t="array" ref="C723">_xlfn.XLOOKUP(1,([3]!players[name]=A723)*([3]!players[hero_name]=B723),[3]!players[lane_name])</f>
        <v>Carry</v>
      </c>
      <c r="D723">
        <f>COUNTIFS([3]!players[name],A723,[3]!players[hero_name],B723)</f>
        <v>4</v>
      </c>
      <c r="E723">
        <f>COUNTIFS([3]!players[name],A723,[3]!players[hero_name],B723, [3]!players[win], 1)</f>
        <v>1</v>
      </c>
      <c r="F723" s="1">
        <f t="shared" si="11"/>
        <v>0.25</v>
      </c>
      <c r="G723" s="2">
        <f>AVERAGEIFS([3]!players[gold_per_min], [3]!players[name],A723,[3]!players[hero_name],B723)</f>
        <v>736</v>
      </c>
      <c r="H723" s="2">
        <f>AVERAGEIFS([3]!players[xp_per_min], [3]!players[name],A723,[3]!players[hero_name],B723)</f>
        <v>806.25</v>
      </c>
    </row>
    <row r="724" spans="1:8" x14ac:dyDescent="0.3">
      <c r="A724" t="str">
        <v>Ghost</v>
      </c>
      <c r="B724" t="str">
        <v>Muerta</v>
      </c>
      <c r="C724" t="str" cm="1">
        <f t="array" ref="C724">_xlfn.XLOOKUP(1,([3]!players[name]=A724)*([3]!players[hero_name]=B724),[3]!players[lane_name])</f>
        <v>Carry</v>
      </c>
      <c r="D724">
        <f>COUNTIFS([3]!players[name],A724,[3]!players[hero_name],B724)</f>
        <v>7</v>
      </c>
      <c r="E724">
        <f>COUNTIFS([3]!players[name],A724,[3]!players[hero_name],B724, [3]!players[win], 1)</f>
        <v>6</v>
      </c>
      <c r="F724" s="1">
        <f t="shared" si="11"/>
        <v>0.8571428571428571</v>
      </c>
      <c r="G724" s="2">
        <f>AVERAGEIFS([3]!players[gold_per_min], [3]!players[name],A724,[3]!players[hero_name],B724)</f>
        <v>741.57142857142856</v>
      </c>
      <c r="H724" s="2">
        <f>AVERAGEIFS([3]!players[xp_per_min], [3]!players[name],A724,[3]!players[hero_name],B724)</f>
        <v>958.57142857142856</v>
      </c>
    </row>
    <row r="725" spans="1:8" x14ac:dyDescent="0.3">
      <c r="A725" t="str">
        <v>Ghost</v>
      </c>
      <c r="B725" t="str">
        <v>Beastmaster</v>
      </c>
      <c r="C725" t="str" cm="1">
        <f t="array" ref="C725">_xlfn.XLOOKUP(1,([3]!players[name]=A725)*([3]!players[hero_name]=B725),[3]!players[lane_name])</f>
        <v>Carry</v>
      </c>
      <c r="D725">
        <f>COUNTIFS([3]!players[name],A725,[3]!players[hero_name],B725)</f>
        <v>1</v>
      </c>
      <c r="E725">
        <f>COUNTIFS([3]!players[name],A725,[3]!players[hero_name],B725, [3]!players[win], 1)</f>
        <v>0</v>
      </c>
      <c r="F725" s="1">
        <f t="shared" si="11"/>
        <v>0</v>
      </c>
      <c r="G725" s="2">
        <f>AVERAGEIFS([3]!players[gold_per_min], [3]!players[name],A725,[3]!players[hero_name],B725)</f>
        <v>749</v>
      </c>
      <c r="H725" s="2">
        <f>AVERAGEIFS([3]!players[xp_per_min], [3]!players[name],A725,[3]!players[hero_name],B725)</f>
        <v>1004</v>
      </c>
    </row>
    <row r="726" spans="1:8" x14ac:dyDescent="0.3">
      <c r="A726" t="str">
        <v>Ghost</v>
      </c>
      <c r="B726" t="str">
        <v>Morphling</v>
      </c>
      <c r="C726" t="str" cm="1">
        <f t="array" ref="C726">_xlfn.XLOOKUP(1,([3]!players[name]=A726)*([3]!players[hero_name]=B726),[3]!players[lane_name])</f>
        <v>Carry</v>
      </c>
      <c r="D726">
        <f>COUNTIFS([3]!players[name],A726,[3]!players[hero_name],B726)</f>
        <v>1</v>
      </c>
      <c r="E726">
        <f>COUNTIFS([3]!players[name],A726,[3]!players[hero_name],B726, [3]!players[win], 1)</f>
        <v>1</v>
      </c>
      <c r="F726" s="1">
        <f t="shared" si="11"/>
        <v>1</v>
      </c>
      <c r="G726" s="2">
        <f>AVERAGEIFS([3]!players[gold_per_min], [3]!players[name],A726,[3]!players[hero_name],B726)</f>
        <v>868</v>
      </c>
      <c r="H726" s="2">
        <f>AVERAGEIFS([3]!players[xp_per_min], [3]!players[name],A726,[3]!players[hero_name],B726)</f>
        <v>1004</v>
      </c>
    </row>
    <row r="727" spans="1:8" x14ac:dyDescent="0.3">
      <c r="A727" t="str">
        <v>Ghost</v>
      </c>
      <c r="B727" t="str">
        <v>Necrophos</v>
      </c>
      <c r="C727" t="str" cm="1">
        <f t="array" ref="C727">_xlfn.XLOOKUP(1,([3]!players[name]=A727)*([3]!players[hero_name]=B727),[3]!players[lane_name])</f>
        <v>Carry</v>
      </c>
      <c r="D727">
        <f>COUNTIFS([3]!players[name],A727,[3]!players[hero_name],B727)</f>
        <v>1</v>
      </c>
      <c r="E727">
        <f>COUNTIFS([3]!players[name],A727,[3]!players[hero_name],B727, [3]!players[win], 1)</f>
        <v>1</v>
      </c>
      <c r="F727" s="1">
        <f t="shared" si="11"/>
        <v>1</v>
      </c>
      <c r="G727" s="2">
        <f>AVERAGEIFS([3]!players[gold_per_min], [3]!players[name],A727,[3]!players[hero_name],B727)</f>
        <v>738</v>
      </c>
      <c r="H727" s="2">
        <f>AVERAGEIFS([3]!players[xp_per_min], [3]!players[name],A727,[3]!players[hero_name],B727)</f>
        <v>1011</v>
      </c>
    </row>
    <row r="728" spans="1:8" x14ac:dyDescent="0.3">
      <c r="A728" t="str">
        <v>Ghost</v>
      </c>
      <c r="B728" t="str">
        <v>Tiny</v>
      </c>
      <c r="C728" t="str" cm="1">
        <f t="array" ref="C728">_xlfn.XLOOKUP(1,([3]!players[name]=A728)*([3]!players[hero_name]=B728),[3]!players[lane_name])</f>
        <v>Carry</v>
      </c>
      <c r="D728">
        <f>COUNTIFS([3]!players[name],A728,[3]!players[hero_name],B728)</f>
        <v>2</v>
      </c>
      <c r="E728">
        <f>COUNTIFS([3]!players[name],A728,[3]!players[hero_name],B728, [3]!players[win], 1)</f>
        <v>1</v>
      </c>
      <c r="F728" s="1">
        <f t="shared" si="11"/>
        <v>0.5</v>
      </c>
      <c r="G728" s="2">
        <f>AVERAGEIFS([3]!players[gold_per_min], [3]!players[name],A728,[3]!players[hero_name],B728)</f>
        <v>629</v>
      </c>
      <c r="H728" s="2">
        <f>AVERAGEIFS([3]!players[xp_per_min], [3]!players[name],A728,[3]!players[hero_name],B728)</f>
        <v>773</v>
      </c>
    </row>
    <row r="729" spans="1:8" x14ac:dyDescent="0.3">
      <c r="A729" t="str">
        <v>Gothic-</v>
      </c>
      <c r="B729" t="str">
        <v>Shadow Shaman</v>
      </c>
      <c r="C729" t="str" cm="1">
        <f t="array" ref="C729">_xlfn.XLOOKUP(1,([3]!players[name]=A729)*([3]!players[hero_name]=B729),[3]!players[lane_name])</f>
        <v>Roam</v>
      </c>
      <c r="D729">
        <f>COUNTIFS([3]!players[name],A729,[3]!players[hero_name],B729)</f>
        <v>1</v>
      </c>
      <c r="E729">
        <f>COUNTIFS([3]!players[name],A729,[3]!players[hero_name],B729, [3]!players[win], 1)</f>
        <v>0</v>
      </c>
      <c r="F729" s="1">
        <f t="shared" si="11"/>
        <v>0</v>
      </c>
      <c r="G729" s="2">
        <f>AVERAGEIFS([3]!players[gold_per_min], [3]!players[name],A729,[3]!players[hero_name],B729)</f>
        <v>296</v>
      </c>
      <c r="H729" s="2">
        <f>AVERAGEIFS([3]!players[xp_per_min], [3]!players[name],A729,[3]!players[hero_name],B729)</f>
        <v>447</v>
      </c>
    </row>
    <row r="730" spans="1:8" x14ac:dyDescent="0.3">
      <c r="A730" t="str">
        <v>Gothic-</v>
      </c>
      <c r="B730" t="str">
        <v>Hoodwink</v>
      </c>
      <c r="C730" t="str" cm="1">
        <f t="array" ref="C730">_xlfn.XLOOKUP(1,([3]!players[name]=A730)*([3]!players[hero_name]=B730),[3]!players[lane_name])</f>
        <v>Hard Support</v>
      </c>
      <c r="D730">
        <f>COUNTIFS([3]!players[name],A730,[3]!players[hero_name],B730)</f>
        <v>5</v>
      </c>
      <c r="E730">
        <f>COUNTIFS([3]!players[name],A730,[3]!players[hero_name],B730, [3]!players[win], 1)</f>
        <v>4</v>
      </c>
      <c r="F730" s="1">
        <f t="shared" si="11"/>
        <v>0.8</v>
      </c>
      <c r="G730" s="2">
        <f>AVERAGEIFS([3]!players[gold_per_min], [3]!players[name],A730,[3]!players[hero_name],B730)</f>
        <v>369.2</v>
      </c>
      <c r="H730" s="2">
        <f>AVERAGEIFS([3]!players[xp_per_min], [3]!players[name],A730,[3]!players[hero_name],B730)</f>
        <v>507.4</v>
      </c>
    </row>
    <row r="731" spans="1:8" x14ac:dyDescent="0.3">
      <c r="A731" t="str">
        <v>Gothic-</v>
      </c>
      <c r="B731" t="str">
        <v>Rubick</v>
      </c>
      <c r="C731" t="str" cm="1">
        <f t="array" ref="C731">_xlfn.XLOOKUP(1,([3]!players[name]=A731)*([3]!players[hero_name]=B731),[3]!players[lane_name])</f>
        <v>Hard Support</v>
      </c>
      <c r="D731">
        <f>COUNTIFS([3]!players[name],A731,[3]!players[hero_name],B731)</f>
        <v>6</v>
      </c>
      <c r="E731">
        <f>COUNTIFS([3]!players[name],A731,[3]!players[hero_name],B731, [3]!players[win], 1)</f>
        <v>2</v>
      </c>
      <c r="F731" s="1">
        <f t="shared" si="11"/>
        <v>0.33333333333333331</v>
      </c>
      <c r="G731" s="2">
        <f>AVERAGEIFS([3]!players[gold_per_min], [3]!players[name],A731,[3]!players[hero_name],B731)</f>
        <v>311</v>
      </c>
      <c r="H731" s="2">
        <f>AVERAGEIFS([3]!players[xp_per_min], [3]!players[name],A731,[3]!players[hero_name],B731)</f>
        <v>398.5</v>
      </c>
    </row>
    <row r="732" spans="1:8" x14ac:dyDescent="0.3">
      <c r="A732" t="str">
        <v>Gothic-</v>
      </c>
      <c r="B732" t="str">
        <v>Shadow Demon</v>
      </c>
      <c r="C732" t="str" cm="1">
        <f t="array" ref="C732">_xlfn.XLOOKUP(1,([3]!players[name]=A732)*([3]!players[hero_name]=B732),[3]!players[lane_name])</f>
        <v>Soft Support</v>
      </c>
      <c r="D732">
        <f>COUNTIFS([3]!players[name],A732,[3]!players[hero_name],B732)</f>
        <v>1</v>
      </c>
      <c r="E732">
        <f>COUNTIFS([3]!players[name],A732,[3]!players[hero_name],B732, [3]!players[win], 1)</f>
        <v>0</v>
      </c>
      <c r="F732" s="1">
        <f t="shared" si="11"/>
        <v>0</v>
      </c>
      <c r="G732" s="2">
        <f>AVERAGEIFS([3]!players[gold_per_min], [3]!players[name],A732,[3]!players[hero_name],B732)</f>
        <v>257</v>
      </c>
      <c r="H732" s="2">
        <f>AVERAGEIFS([3]!players[xp_per_min], [3]!players[name],A732,[3]!players[hero_name],B732)</f>
        <v>270</v>
      </c>
    </row>
    <row r="733" spans="1:8" x14ac:dyDescent="0.3">
      <c r="A733" t="str">
        <v>Gothic-</v>
      </c>
      <c r="B733" t="str">
        <v>Tusk</v>
      </c>
      <c r="C733" t="str" cm="1">
        <f t="array" ref="C733">_xlfn.XLOOKUP(1,([3]!players[name]=A733)*([3]!players[hero_name]=B733),[3]!players[lane_name])</f>
        <v>Roam</v>
      </c>
      <c r="D733">
        <f>COUNTIFS([3]!players[name],A733,[3]!players[hero_name],B733)</f>
        <v>1</v>
      </c>
      <c r="E733">
        <f>COUNTIFS([3]!players[name],A733,[3]!players[hero_name],B733, [3]!players[win], 1)</f>
        <v>0</v>
      </c>
      <c r="F733" s="1">
        <f t="shared" si="11"/>
        <v>0</v>
      </c>
      <c r="G733" s="2">
        <f>AVERAGEIFS([3]!players[gold_per_min], [3]!players[name],A733,[3]!players[hero_name],B733)</f>
        <v>197</v>
      </c>
      <c r="H733" s="2">
        <f>AVERAGEIFS([3]!players[xp_per_min], [3]!players[name],A733,[3]!players[hero_name],B733)</f>
        <v>270</v>
      </c>
    </row>
    <row r="734" spans="1:8" x14ac:dyDescent="0.3">
      <c r="A734" t="str">
        <v>Gothic-</v>
      </c>
      <c r="B734" t="str">
        <v>Largo</v>
      </c>
      <c r="C734" t="str" cm="1">
        <f t="array" ref="C734">_xlfn.XLOOKUP(1,([3]!players[name]=A734)*([3]!players[hero_name]=B734),[3]!players[lane_name])</f>
        <v>Roam</v>
      </c>
      <c r="D734">
        <f>COUNTIFS([3]!players[name],A734,[3]!players[hero_name],B734)</f>
        <v>2</v>
      </c>
      <c r="E734">
        <f>COUNTIFS([3]!players[name],A734,[3]!players[hero_name],B734, [3]!players[win], 1)</f>
        <v>0</v>
      </c>
      <c r="F734" s="1">
        <f t="shared" si="11"/>
        <v>0</v>
      </c>
      <c r="G734" s="2">
        <f>AVERAGEIFS([3]!players[gold_per_min], [3]!players[name],A734,[3]!players[hero_name],B734)</f>
        <v>237</v>
      </c>
      <c r="H734" s="2">
        <f>AVERAGEIFS([3]!players[xp_per_min], [3]!players[name],A734,[3]!players[hero_name],B734)</f>
        <v>342.5</v>
      </c>
    </row>
    <row r="735" spans="1:8" x14ac:dyDescent="0.3">
      <c r="A735" t="str">
        <v>gotthejuice</v>
      </c>
      <c r="B735" t="str">
        <v>Monkey King</v>
      </c>
      <c r="C735" t="str" cm="1">
        <f t="array" ref="C735">_xlfn.XLOOKUP(1,([3]!players[name]=A735)*([3]!players[hero_name]=B735),[3]!players[lane_name])</f>
        <v>Carry</v>
      </c>
      <c r="D735">
        <f>COUNTIFS([3]!players[name],A735,[3]!players[hero_name],B735)</f>
        <v>3</v>
      </c>
      <c r="E735">
        <f>COUNTIFS([3]!players[name],A735,[3]!players[hero_name],B735, [3]!players[win], 1)</f>
        <v>1</v>
      </c>
      <c r="F735" s="1">
        <f t="shared" si="11"/>
        <v>0.33333333333333331</v>
      </c>
      <c r="G735" s="2">
        <f>AVERAGEIFS([3]!players[gold_per_min], [3]!players[name],A735,[3]!players[hero_name],B735)</f>
        <v>588.33333333333337</v>
      </c>
      <c r="H735" s="2">
        <f>AVERAGEIFS([3]!players[xp_per_min], [3]!players[name],A735,[3]!players[hero_name],B735)</f>
        <v>633</v>
      </c>
    </row>
    <row r="736" spans="1:8" x14ac:dyDescent="0.3">
      <c r="A736" t="str">
        <v>gotthejuice</v>
      </c>
      <c r="B736" t="str">
        <v>Muerta</v>
      </c>
      <c r="C736" t="str" cm="1">
        <f t="array" ref="C736">_xlfn.XLOOKUP(1,([3]!players[name]=A736)*([3]!players[hero_name]=B736),[3]!players[lane_name])</f>
        <v>Carry</v>
      </c>
      <c r="D736">
        <f>COUNTIFS([3]!players[name],A736,[3]!players[hero_name],B736)</f>
        <v>2</v>
      </c>
      <c r="E736">
        <f>COUNTIFS([3]!players[name],A736,[3]!players[hero_name],B736, [3]!players[win], 1)</f>
        <v>1</v>
      </c>
      <c r="F736" s="1">
        <f t="shared" si="11"/>
        <v>0.5</v>
      </c>
      <c r="G736" s="2">
        <f>AVERAGEIFS([3]!players[gold_per_min], [3]!players[name],A736,[3]!players[hero_name],B736)</f>
        <v>699</v>
      </c>
      <c r="H736" s="2">
        <f>AVERAGEIFS([3]!players[xp_per_min], [3]!players[name],A736,[3]!players[hero_name],B736)</f>
        <v>789.5</v>
      </c>
    </row>
    <row r="737" spans="1:8" x14ac:dyDescent="0.3">
      <c r="A737" t="str">
        <v>gotthejuice</v>
      </c>
      <c r="B737" t="str">
        <v>Lifestealer</v>
      </c>
      <c r="C737" t="str" cm="1">
        <f t="array" ref="C737">_xlfn.XLOOKUP(1,([3]!players[name]=A737)*([3]!players[hero_name]=B737),[3]!players[lane_name])</f>
        <v>Carry</v>
      </c>
      <c r="D737">
        <f>COUNTIFS([3]!players[name],A737,[3]!players[hero_name],B737)</f>
        <v>1</v>
      </c>
      <c r="E737">
        <f>COUNTIFS([3]!players[name],A737,[3]!players[hero_name],B737, [3]!players[win], 1)</f>
        <v>1</v>
      </c>
      <c r="F737" s="1">
        <f t="shared" si="11"/>
        <v>1</v>
      </c>
      <c r="G737" s="2">
        <f>AVERAGEIFS([3]!players[gold_per_min], [3]!players[name],A737,[3]!players[hero_name],B737)</f>
        <v>772</v>
      </c>
      <c r="H737" s="2">
        <f>AVERAGEIFS([3]!players[xp_per_min], [3]!players[name],A737,[3]!players[hero_name],B737)</f>
        <v>969</v>
      </c>
    </row>
    <row r="738" spans="1:8" x14ac:dyDescent="0.3">
      <c r="A738" t="str">
        <v>gotthejuice</v>
      </c>
      <c r="B738" t="str">
        <v>Templar Assassin</v>
      </c>
      <c r="C738" t="str" cm="1">
        <f t="array" ref="C738">_xlfn.XLOOKUP(1,([3]!players[name]=A738)*([3]!players[hero_name]=B738),[3]!players[lane_name])</f>
        <v>Carry</v>
      </c>
      <c r="D738">
        <f>COUNTIFS([3]!players[name],A738,[3]!players[hero_name],B738)</f>
        <v>3</v>
      </c>
      <c r="E738">
        <f>COUNTIFS([3]!players[name],A738,[3]!players[hero_name],B738, [3]!players[win], 1)</f>
        <v>1</v>
      </c>
      <c r="F738" s="1">
        <f t="shared" si="11"/>
        <v>0.33333333333333331</v>
      </c>
      <c r="G738" s="2">
        <f>AVERAGEIFS([3]!players[gold_per_min], [3]!players[name],A738,[3]!players[hero_name],B738)</f>
        <v>776.66666666666663</v>
      </c>
      <c r="H738" s="2">
        <f>AVERAGEIFS([3]!players[xp_per_min], [3]!players[name],A738,[3]!players[hero_name],B738)</f>
        <v>985.33333333333337</v>
      </c>
    </row>
    <row r="739" spans="1:8" x14ac:dyDescent="0.3">
      <c r="A739" t="str">
        <v>gotthejuice</v>
      </c>
      <c r="B739" t="str">
        <v>Terrorblade</v>
      </c>
      <c r="C739" t="str" cm="1">
        <f t="array" ref="C739">_xlfn.XLOOKUP(1,([3]!players[name]=A739)*([3]!players[hero_name]=B739),[3]!players[lane_name])</f>
        <v>Carry</v>
      </c>
      <c r="D739">
        <f>COUNTIFS([3]!players[name],A739,[3]!players[hero_name],B739)</f>
        <v>1</v>
      </c>
      <c r="E739">
        <f>COUNTIFS([3]!players[name],A739,[3]!players[hero_name],B739, [3]!players[win], 1)</f>
        <v>1</v>
      </c>
      <c r="F739" s="1">
        <f t="shared" si="11"/>
        <v>1</v>
      </c>
      <c r="G739" s="2">
        <f>AVERAGEIFS([3]!players[gold_per_min], [3]!players[name],A739,[3]!players[hero_name],B739)</f>
        <v>879</v>
      </c>
      <c r="H739" s="2">
        <f>AVERAGEIFS([3]!players[xp_per_min], [3]!players[name],A739,[3]!players[hero_name],B739)</f>
        <v>735</v>
      </c>
    </row>
    <row r="740" spans="1:8" x14ac:dyDescent="0.3">
      <c r="A740" t="str">
        <v>gotthejuice</v>
      </c>
      <c r="B740" t="str">
        <v>Broodmother</v>
      </c>
      <c r="C740" t="str" cm="1">
        <f t="array" ref="C740">_xlfn.XLOOKUP(1,([3]!players[name]=A740)*([3]!players[hero_name]=B740),[3]!players[lane_name])</f>
        <v>Carry</v>
      </c>
      <c r="D740">
        <f>COUNTIFS([3]!players[name],A740,[3]!players[hero_name],B740)</f>
        <v>2</v>
      </c>
      <c r="E740">
        <f>COUNTIFS([3]!players[name],A740,[3]!players[hero_name],B740, [3]!players[win], 1)</f>
        <v>2</v>
      </c>
      <c r="F740" s="1">
        <f t="shared" si="11"/>
        <v>1</v>
      </c>
      <c r="G740" s="2">
        <f>AVERAGEIFS([3]!players[gold_per_min], [3]!players[name],A740,[3]!players[hero_name],B740)</f>
        <v>772</v>
      </c>
      <c r="H740" s="2">
        <f>AVERAGEIFS([3]!players[xp_per_min], [3]!players[name],A740,[3]!players[hero_name],B740)</f>
        <v>820</v>
      </c>
    </row>
    <row r="741" spans="1:8" x14ac:dyDescent="0.3">
      <c r="A741" t="str">
        <v>gotthejuice</v>
      </c>
      <c r="B741" t="str">
        <v>Tiny</v>
      </c>
      <c r="C741" t="str" cm="1">
        <f t="array" ref="C741">_xlfn.XLOOKUP(1,([3]!players[name]=A741)*([3]!players[hero_name]=B741),[3]!players[lane_name])</f>
        <v>Carry</v>
      </c>
      <c r="D741">
        <f>COUNTIFS([3]!players[name],A741,[3]!players[hero_name],B741)</f>
        <v>1</v>
      </c>
      <c r="E741">
        <f>COUNTIFS([3]!players[name],A741,[3]!players[hero_name],B741, [3]!players[win], 1)</f>
        <v>0</v>
      </c>
      <c r="F741" s="1">
        <f t="shared" si="11"/>
        <v>0</v>
      </c>
      <c r="G741" s="2">
        <f>AVERAGEIFS([3]!players[gold_per_min], [3]!players[name],A741,[3]!players[hero_name],B741)</f>
        <v>689</v>
      </c>
      <c r="H741" s="2">
        <f>AVERAGEIFS([3]!players[xp_per_min], [3]!players[name],A741,[3]!players[hero_name],B741)</f>
        <v>903</v>
      </c>
    </row>
    <row r="742" spans="1:8" x14ac:dyDescent="0.3">
      <c r="A742" t="str">
        <v>gotthejuice</v>
      </c>
      <c r="B742" t="str">
        <v>Medusa</v>
      </c>
      <c r="C742" t="str" cm="1">
        <f t="array" ref="C742">_xlfn.XLOOKUP(1,([3]!players[name]=A742)*([3]!players[hero_name]=B742),[3]!players[lane_name])</f>
        <v>Carry</v>
      </c>
      <c r="D742">
        <f>COUNTIFS([3]!players[name],A742,[3]!players[hero_name],B742)</f>
        <v>1</v>
      </c>
      <c r="E742">
        <f>COUNTIFS([3]!players[name],A742,[3]!players[hero_name],B742, [3]!players[win], 1)</f>
        <v>0</v>
      </c>
      <c r="F742" s="1">
        <f t="shared" si="11"/>
        <v>0</v>
      </c>
      <c r="G742" s="2">
        <f>AVERAGEIFS([3]!players[gold_per_min], [3]!players[name],A742,[3]!players[hero_name],B742)</f>
        <v>641</v>
      </c>
      <c r="H742" s="2">
        <f>AVERAGEIFS([3]!players[xp_per_min], [3]!players[name],A742,[3]!players[hero_name],B742)</f>
        <v>639</v>
      </c>
    </row>
    <row r="743" spans="1:8" x14ac:dyDescent="0.3">
      <c r="A743" t="str">
        <v>gotthejuice</v>
      </c>
      <c r="B743" t="str">
        <v>Doom</v>
      </c>
      <c r="C743" t="str" cm="1">
        <f t="array" ref="C743">_xlfn.XLOOKUP(1,([3]!players[name]=A743)*([3]!players[hero_name]=B743),[3]!players[lane_name])</f>
        <v>Carry</v>
      </c>
      <c r="D743">
        <f>COUNTIFS([3]!players[name],A743,[3]!players[hero_name],B743)</f>
        <v>3</v>
      </c>
      <c r="E743">
        <f>COUNTIFS([3]!players[name],A743,[3]!players[hero_name],B743, [3]!players[win], 1)</f>
        <v>2</v>
      </c>
      <c r="F743" s="1">
        <f t="shared" si="11"/>
        <v>0.66666666666666663</v>
      </c>
      <c r="G743" s="2">
        <f>AVERAGEIFS([3]!players[gold_per_min], [3]!players[name],A743,[3]!players[hero_name],B743)</f>
        <v>769.66666666666663</v>
      </c>
      <c r="H743" s="2">
        <f>AVERAGEIFS([3]!players[xp_per_min], [3]!players[name],A743,[3]!players[hero_name],B743)</f>
        <v>815</v>
      </c>
    </row>
    <row r="744" spans="1:8" x14ac:dyDescent="0.3">
      <c r="A744" t="str">
        <v>gotthejuice</v>
      </c>
      <c r="B744" t="str">
        <v>Gyrocopter</v>
      </c>
      <c r="C744" t="str" cm="1">
        <f t="array" ref="C744">_xlfn.XLOOKUP(1,([3]!players[name]=A744)*([3]!players[hero_name]=B744),[3]!players[lane_name])</f>
        <v>Carry</v>
      </c>
      <c r="D744">
        <f>COUNTIFS([3]!players[name],A744,[3]!players[hero_name],B744)</f>
        <v>1</v>
      </c>
      <c r="E744">
        <f>COUNTIFS([3]!players[name],A744,[3]!players[hero_name],B744, [3]!players[win], 1)</f>
        <v>0</v>
      </c>
      <c r="F744" s="1">
        <f t="shared" si="11"/>
        <v>0</v>
      </c>
      <c r="G744" s="2">
        <f>AVERAGEIFS([3]!players[gold_per_min], [3]!players[name],A744,[3]!players[hero_name],B744)</f>
        <v>757</v>
      </c>
      <c r="H744" s="2">
        <f>AVERAGEIFS([3]!players[xp_per_min], [3]!players[name],A744,[3]!players[hero_name],B744)</f>
        <v>832</v>
      </c>
    </row>
    <row r="745" spans="1:8" x14ac:dyDescent="0.3">
      <c r="A745" t="str">
        <v>gotthejuice</v>
      </c>
      <c r="B745" t="str">
        <v>Beastmaster</v>
      </c>
      <c r="C745" t="str" cm="1">
        <f t="array" ref="C745">_xlfn.XLOOKUP(1,([3]!players[name]=A745)*([3]!players[hero_name]=B745),[3]!players[lane_name])</f>
        <v>Carry</v>
      </c>
      <c r="D745">
        <f>COUNTIFS([3]!players[name],A745,[3]!players[hero_name],B745)</f>
        <v>1</v>
      </c>
      <c r="E745">
        <f>COUNTIFS([3]!players[name],A745,[3]!players[hero_name],B745, [3]!players[win], 1)</f>
        <v>0</v>
      </c>
      <c r="F745" s="1">
        <f t="shared" si="11"/>
        <v>0</v>
      </c>
      <c r="G745" s="2">
        <f>AVERAGEIFS([3]!players[gold_per_min], [3]!players[name],A745,[3]!players[hero_name],B745)</f>
        <v>663</v>
      </c>
      <c r="H745" s="2">
        <f>AVERAGEIFS([3]!players[xp_per_min], [3]!players[name],A745,[3]!players[hero_name],B745)</f>
        <v>794</v>
      </c>
    </row>
    <row r="746" spans="1:8" x14ac:dyDescent="0.3">
      <c r="A746" t="str">
        <v>gotthejuice</v>
      </c>
      <c r="B746" t="str">
        <v>Ursa</v>
      </c>
      <c r="C746" t="str" cm="1">
        <f t="array" ref="C746">_xlfn.XLOOKUP(1,([3]!players[name]=A746)*([3]!players[hero_name]=B746),[3]!players[lane_name])</f>
        <v>Carry</v>
      </c>
      <c r="D746">
        <f>COUNTIFS([3]!players[name],A746,[3]!players[hero_name],B746)</f>
        <v>2</v>
      </c>
      <c r="E746">
        <f>COUNTIFS([3]!players[name],A746,[3]!players[hero_name],B746, [3]!players[win], 1)</f>
        <v>1</v>
      </c>
      <c r="F746" s="1">
        <f t="shared" si="11"/>
        <v>0.5</v>
      </c>
      <c r="G746" s="2">
        <f>AVERAGEIFS([3]!players[gold_per_min], [3]!players[name],A746,[3]!players[hero_name],B746)</f>
        <v>820.5</v>
      </c>
      <c r="H746" s="2">
        <f>AVERAGEIFS([3]!players[xp_per_min], [3]!players[name],A746,[3]!players[hero_name],B746)</f>
        <v>948.5</v>
      </c>
    </row>
    <row r="747" spans="1:8" x14ac:dyDescent="0.3">
      <c r="A747" t="str">
        <v>gpk~</v>
      </c>
      <c r="B747" t="str">
        <v>Huskar</v>
      </c>
      <c r="C747" t="str" cm="1">
        <f t="array" ref="C747">_xlfn.XLOOKUP(1,([3]!players[name]=A747)*([3]!players[hero_name]=B747),[3]!players[lane_name])</f>
        <v>Mid</v>
      </c>
      <c r="D747">
        <f>COUNTIFS([3]!players[name],A747,[3]!players[hero_name],B747)</f>
        <v>2</v>
      </c>
      <c r="E747">
        <f>COUNTIFS([3]!players[name],A747,[3]!players[hero_name],B747, [3]!players[win], 1)</f>
        <v>1</v>
      </c>
      <c r="F747" s="1">
        <f t="shared" si="11"/>
        <v>0.5</v>
      </c>
      <c r="G747" s="2">
        <f>AVERAGEIFS([3]!players[gold_per_min], [3]!players[name],A747,[3]!players[hero_name],B747)</f>
        <v>604.5</v>
      </c>
      <c r="H747" s="2">
        <f>AVERAGEIFS([3]!players[xp_per_min], [3]!players[name],A747,[3]!players[hero_name],B747)</f>
        <v>781</v>
      </c>
    </row>
    <row r="748" spans="1:8" x14ac:dyDescent="0.3">
      <c r="A748" t="str">
        <v>gpk~</v>
      </c>
      <c r="B748" t="str">
        <v>Queen of Pain</v>
      </c>
      <c r="C748" t="str" cm="1">
        <f t="array" ref="C748">_xlfn.XLOOKUP(1,([3]!players[name]=A748)*([3]!players[hero_name]=B748),[3]!players[lane_name])</f>
        <v>Mid</v>
      </c>
      <c r="D748">
        <f>COUNTIFS([3]!players[name],A748,[3]!players[hero_name],B748)</f>
        <v>6</v>
      </c>
      <c r="E748">
        <f>COUNTIFS([3]!players[name],A748,[3]!players[hero_name],B748, [3]!players[win], 1)</f>
        <v>6</v>
      </c>
      <c r="F748" s="1">
        <f t="shared" si="11"/>
        <v>1</v>
      </c>
      <c r="G748" s="2">
        <f>AVERAGEIFS([3]!players[gold_per_min], [3]!players[name],A748,[3]!players[hero_name],B748)</f>
        <v>702.83333333333337</v>
      </c>
      <c r="H748" s="2">
        <f>AVERAGEIFS([3]!players[xp_per_min], [3]!players[name],A748,[3]!players[hero_name],B748)</f>
        <v>927.16666666666663</v>
      </c>
    </row>
    <row r="749" spans="1:8" x14ac:dyDescent="0.3">
      <c r="A749" t="str">
        <v>gpk~</v>
      </c>
      <c r="B749" t="str">
        <v>Pangolier</v>
      </c>
      <c r="C749" t="str" cm="1">
        <f t="array" ref="C749">_xlfn.XLOOKUP(1,([3]!players[name]=A749)*([3]!players[hero_name]=B749),[3]!players[lane_name])</f>
        <v>Mid</v>
      </c>
      <c r="D749">
        <f>COUNTIFS([3]!players[name],A749,[3]!players[hero_name],B749)</f>
        <v>9</v>
      </c>
      <c r="E749">
        <f>COUNTIFS([3]!players[name],A749,[3]!players[hero_name],B749, [3]!players[win], 1)</f>
        <v>8</v>
      </c>
      <c r="F749" s="1">
        <f t="shared" si="11"/>
        <v>0.88888888888888884</v>
      </c>
      <c r="G749" s="2">
        <f>AVERAGEIFS([3]!players[gold_per_min], [3]!players[name],A749,[3]!players[hero_name],B749)</f>
        <v>629.44444444444446</v>
      </c>
      <c r="H749" s="2">
        <f>AVERAGEIFS([3]!players[xp_per_min], [3]!players[name],A749,[3]!players[hero_name],B749)</f>
        <v>866.11111111111109</v>
      </c>
    </row>
    <row r="750" spans="1:8" x14ac:dyDescent="0.3">
      <c r="A750" t="str">
        <v>gpk~</v>
      </c>
      <c r="B750" t="str">
        <v>Windranger</v>
      </c>
      <c r="C750" t="str" cm="1">
        <f t="array" ref="C750">_xlfn.XLOOKUP(1,([3]!players[name]=A750)*([3]!players[hero_name]=B750),[3]!players[lane_name])</f>
        <v>Mid</v>
      </c>
      <c r="D750">
        <f>COUNTIFS([3]!players[name],A750,[3]!players[hero_name],B750)</f>
        <v>2</v>
      </c>
      <c r="E750">
        <f>COUNTIFS([3]!players[name],A750,[3]!players[hero_name],B750, [3]!players[win], 1)</f>
        <v>2</v>
      </c>
      <c r="F750" s="1">
        <f t="shared" si="11"/>
        <v>1</v>
      </c>
      <c r="G750" s="2">
        <f>AVERAGEIFS([3]!players[gold_per_min], [3]!players[name],A750,[3]!players[hero_name],B750)</f>
        <v>666</v>
      </c>
      <c r="H750" s="2">
        <f>AVERAGEIFS([3]!players[xp_per_min], [3]!players[name],A750,[3]!players[hero_name],B750)</f>
        <v>851.5</v>
      </c>
    </row>
    <row r="751" spans="1:8" x14ac:dyDescent="0.3">
      <c r="A751" t="str">
        <v>gpk~</v>
      </c>
      <c r="B751" t="str">
        <v>Ember Spirit</v>
      </c>
      <c r="C751" t="str" cm="1">
        <f t="array" ref="C751">_xlfn.XLOOKUP(1,([3]!players[name]=A751)*([3]!players[hero_name]=B751),[3]!players[lane_name])</f>
        <v>Mid</v>
      </c>
      <c r="D751">
        <f>COUNTIFS([3]!players[name],A751,[3]!players[hero_name],B751)</f>
        <v>5</v>
      </c>
      <c r="E751">
        <f>COUNTIFS([3]!players[name],A751,[3]!players[hero_name],B751, [3]!players[win], 1)</f>
        <v>3</v>
      </c>
      <c r="F751" s="1">
        <f t="shared" si="11"/>
        <v>0.6</v>
      </c>
      <c r="G751" s="2">
        <f>AVERAGEIFS([3]!players[gold_per_min], [3]!players[name],A751,[3]!players[hero_name],B751)</f>
        <v>595.4</v>
      </c>
      <c r="H751" s="2">
        <f>AVERAGEIFS([3]!players[xp_per_min], [3]!players[name],A751,[3]!players[hero_name],B751)</f>
        <v>759.8</v>
      </c>
    </row>
    <row r="752" spans="1:8" x14ac:dyDescent="0.3">
      <c r="A752" t="str">
        <v>gpk~</v>
      </c>
      <c r="B752" t="str">
        <v>Void Spirit</v>
      </c>
      <c r="C752" t="str" cm="1">
        <f t="array" ref="C752">_xlfn.XLOOKUP(1,([3]!players[name]=A752)*([3]!players[hero_name]=B752),[3]!players[lane_name])</f>
        <v>Mid</v>
      </c>
      <c r="D752">
        <f>COUNTIFS([3]!players[name],A752,[3]!players[hero_name],B752)</f>
        <v>4</v>
      </c>
      <c r="E752">
        <f>COUNTIFS([3]!players[name],A752,[3]!players[hero_name],B752, [3]!players[win], 1)</f>
        <v>3</v>
      </c>
      <c r="F752" s="1">
        <f t="shared" si="11"/>
        <v>0.75</v>
      </c>
      <c r="G752" s="2">
        <f>AVERAGEIFS([3]!players[gold_per_min], [3]!players[name],A752,[3]!players[hero_name],B752)</f>
        <v>682.75</v>
      </c>
      <c r="H752" s="2">
        <f>AVERAGEIFS([3]!players[xp_per_min], [3]!players[name],A752,[3]!players[hero_name],B752)</f>
        <v>839.5</v>
      </c>
    </row>
    <row r="753" spans="1:8" x14ac:dyDescent="0.3">
      <c r="A753" t="str">
        <v>gpk~</v>
      </c>
      <c r="B753" t="str">
        <v>Storm Spirit</v>
      </c>
      <c r="C753" t="str" cm="1">
        <f t="array" ref="C753">_xlfn.XLOOKUP(1,([3]!players[name]=A753)*([3]!players[hero_name]=B753),[3]!players[lane_name])</f>
        <v>Mid</v>
      </c>
      <c r="D753">
        <f>COUNTIFS([3]!players[name],A753,[3]!players[hero_name],B753)</f>
        <v>1</v>
      </c>
      <c r="E753">
        <f>COUNTIFS([3]!players[name],A753,[3]!players[hero_name],B753, [3]!players[win], 1)</f>
        <v>1</v>
      </c>
      <c r="F753" s="1">
        <f t="shared" si="11"/>
        <v>1</v>
      </c>
      <c r="G753" s="2">
        <f>AVERAGEIFS([3]!players[gold_per_min], [3]!players[name],A753,[3]!players[hero_name],B753)</f>
        <v>653</v>
      </c>
      <c r="H753" s="2">
        <f>AVERAGEIFS([3]!players[xp_per_min], [3]!players[name],A753,[3]!players[hero_name],B753)</f>
        <v>997</v>
      </c>
    </row>
    <row r="754" spans="1:8" x14ac:dyDescent="0.3">
      <c r="A754" t="str">
        <v>gpk~</v>
      </c>
      <c r="B754" t="str">
        <v>Slardar</v>
      </c>
      <c r="C754" t="str" cm="1">
        <f t="array" ref="C754">_xlfn.XLOOKUP(1,([3]!players[name]=A754)*([3]!players[hero_name]=B754),[3]!players[lane_name])</f>
        <v>Mid</v>
      </c>
      <c r="D754">
        <f>COUNTIFS([3]!players[name],A754,[3]!players[hero_name],B754)</f>
        <v>1</v>
      </c>
      <c r="E754">
        <f>COUNTIFS([3]!players[name],A754,[3]!players[hero_name],B754, [3]!players[win], 1)</f>
        <v>0</v>
      </c>
      <c r="F754" s="1">
        <f t="shared" si="11"/>
        <v>0</v>
      </c>
      <c r="G754" s="2">
        <f>AVERAGEIFS([3]!players[gold_per_min], [3]!players[name],A754,[3]!players[hero_name],B754)</f>
        <v>651</v>
      </c>
      <c r="H754" s="2">
        <f>AVERAGEIFS([3]!players[xp_per_min], [3]!players[name],A754,[3]!players[hero_name],B754)</f>
        <v>929</v>
      </c>
    </row>
    <row r="755" spans="1:8" x14ac:dyDescent="0.3">
      <c r="A755" t="str">
        <v>gpk~</v>
      </c>
      <c r="B755" t="str">
        <v>Puck</v>
      </c>
      <c r="C755" t="str" cm="1">
        <f t="array" ref="C755">_xlfn.XLOOKUP(1,([3]!players[name]=A755)*([3]!players[hero_name]=B755),[3]!players[lane_name])</f>
        <v>Mid</v>
      </c>
      <c r="D755">
        <f>COUNTIFS([3]!players[name],A755,[3]!players[hero_name],B755)</f>
        <v>4</v>
      </c>
      <c r="E755">
        <f>COUNTIFS([3]!players[name],A755,[3]!players[hero_name],B755, [3]!players[win], 1)</f>
        <v>3</v>
      </c>
      <c r="F755" s="1">
        <f t="shared" si="11"/>
        <v>0.75</v>
      </c>
      <c r="G755" s="2">
        <f>AVERAGEIFS([3]!players[gold_per_min], [3]!players[name],A755,[3]!players[hero_name],B755)</f>
        <v>610.5</v>
      </c>
      <c r="H755" s="2">
        <f>AVERAGEIFS([3]!players[xp_per_min], [3]!players[name],A755,[3]!players[hero_name],B755)</f>
        <v>807.75</v>
      </c>
    </row>
    <row r="756" spans="1:8" x14ac:dyDescent="0.3">
      <c r="A756" t="str">
        <v>Han</v>
      </c>
      <c r="B756" t="str">
        <v>Void Spirit</v>
      </c>
      <c r="C756" t="str" cm="1">
        <f t="array" ref="C756">_xlfn.XLOOKUP(1,([3]!players[name]=A756)*([3]!players[hero_name]=B756),[3]!players[lane_name])</f>
        <v>Mid</v>
      </c>
      <c r="D756">
        <f>COUNTIFS([3]!players[name],A756,[3]!players[hero_name],B756)</f>
        <v>7</v>
      </c>
      <c r="E756">
        <f>COUNTIFS([3]!players[name],A756,[3]!players[hero_name],B756, [3]!players[win], 1)</f>
        <v>4</v>
      </c>
      <c r="F756" s="1">
        <f t="shared" si="11"/>
        <v>0.5714285714285714</v>
      </c>
      <c r="G756" s="2">
        <f>AVERAGEIFS([3]!players[gold_per_min], [3]!players[name],A756,[3]!players[hero_name],B756)</f>
        <v>560.42857142857144</v>
      </c>
      <c r="H756" s="2">
        <f>AVERAGEIFS([3]!players[xp_per_min], [3]!players[name],A756,[3]!players[hero_name],B756)</f>
        <v>678.42857142857144</v>
      </c>
    </row>
    <row r="757" spans="1:8" x14ac:dyDescent="0.3">
      <c r="A757" t="str">
        <v>Han</v>
      </c>
      <c r="B757" t="str">
        <v>Storm Spirit</v>
      </c>
      <c r="C757" t="str" cm="1">
        <f t="array" ref="C757">_xlfn.XLOOKUP(1,([3]!players[name]=A757)*([3]!players[hero_name]=B757),[3]!players[lane_name])</f>
        <v>Mid</v>
      </c>
      <c r="D757">
        <f>COUNTIFS([3]!players[name],A757,[3]!players[hero_name],B757)</f>
        <v>13</v>
      </c>
      <c r="E757">
        <f>COUNTIFS([3]!players[name],A757,[3]!players[hero_name],B757, [3]!players[win], 1)</f>
        <v>4</v>
      </c>
      <c r="F757" s="1">
        <f t="shared" si="11"/>
        <v>0.30769230769230771</v>
      </c>
      <c r="G757" s="2">
        <f>AVERAGEIFS([3]!players[gold_per_min], [3]!players[name],A757,[3]!players[hero_name],B757)</f>
        <v>563.76923076923072</v>
      </c>
      <c r="H757" s="2">
        <f>AVERAGEIFS([3]!players[xp_per_min], [3]!players[name],A757,[3]!players[hero_name],B757)</f>
        <v>695</v>
      </c>
    </row>
    <row r="758" spans="1:8" x14ac:dyDescent="0.3">
      <c r="A758" t="str">
        <v>Han</v>
      </c>
      <c r="B758" t="str">
        <v>Puck</v>
      </c>
      <c r="C758" t="str" cm="1">
        <f t="array" ref="C758">_xlfn.XLOOKUP(1,([3]!players[name]=A758)*([3]!players[hero_name]=B758),[3]!players[lane_name])</f>
        <v>Mid</v>
      </c>
      <c r="D758">
        <f>COUNTIFS([3]!players[name],A758,[3]!players[hero_name],B758)</f>
        <v>1</v>
      </c>
      <c r="E758">
        <f>COUNTIFS([3]!players[name],A758,[3]!players[hero_name],B758, [3]!players[win], 1)</f>
        <v>0</v>
      </c>
      <c r="F758" s="1">
        <f t="shared" si="11"/>
        <v>0</v>
      </c>
      <c r="G758" s="2">
        <f>AVERAGEIFS([3]!players[gold_per_min], [3]!players[name],A758,[3]!players[hero_name],B758)</f>
        <v>574</v>
      </c>
      <c r="H758" s="2">
        <f>AVERAGEIFS([3]!players[xp_per_min], [3]!players[name],A758,[3]!players[hero_name],B758)</f>
        <v>613</v>
      </c>
    </row>
    <row r="759" spans="1:8" x14ac:dyDescent="0.3">
      <c r="A759" t="str">
        <v>Han</v>
      </c>
      <c r="B759" t="str">
        <v>Slardar</v>
      </c>
      <c r="C759" t="str" cm="1">
        <f t="array" ref="C759">_xlfn.XLOOKUP(1,([3]!players[name]=A759)*([3]!players[hero_name]=B759),[3]!players[lane_name])</f>
        <v>Mid</v>
      </c>
      <c r="D759">
        <f>COUNTIFS([3]!players[name],A759,[3]!players[hero_name],B759)</f>
        <v>1</v>
      </c>
      <c r="E759">
        <f>COUNTIFS([3]!players[name],A759,[3]!players[hero_name],B759, [3]!players[win], 1)</f>
        <v>0</v>
      </c>
      <c r="F759" s="1">
        <f t="shared" si="11"/>
        <v>0</v>
      </c>
      <c r="G759" s="2">
        <f>AVERAGEIFS([3]!players[gold_per_min], [3]!players[name],A759,[3]!players[hero_name],B759)</f>
        <v>462</v>
      </c>
      <c r="H759" s="2">
        <f>AVERAGEIFS([3]!players[xp_per_min], [3]!players[name],A759,[3]!players[hero_name],B759)</f>
        <v>605</v>
      </c>
    </row>
    <row r="760" spans="1:8" x14ac:dyDescent="0.3">
      <c r="A760" t="str">
        <v>Han</v>
      </c>
      <c r="B760" t="str">
        <v>Leshrac</v>
      </c>
      <c r="C760" t="str" cm="1">
        <f t="array" ref="C760">_xlfn.XLOOKUP(1,([3]!players[name]=A760)*([3]!players[hero_name]=B760),[3]!players[lane_name])</f>
        <v>Mid</v>
      </c>
      <c r="D760">
        <f>COUNTIFS([3]!players[name],A760,[3]!players[hero_name],B760)</f>
        <v>1</v>
      </c>
      <c r="E760">
        <f>COUNTIFS([3]!players[name],A760,[3]!players[hero_name],B760, [3]!players[win], 1)</f>
        <v>1</v>
      </c>
      <c r="F760" s="1">
        <f t="shared" si="11"/>
        <v>1</v>
      </c>
      <c r="G760" s="2">
        <f>AVERAGEIFS([3]!players[gold_per_min], [3]!players[name],A760,[3]!players[hero_name],B760)</f>
        <v>697</v>
      </c>
      <c r="H760" s="2">
        <f>AVERAGEIFS([3]!players[xp_per_min], [3]!players[name],A760,[3]!players[hero_name],B760)</f>
        <v>851</v>
      </c>
    </row>
    <row r="761" spans="1:8" x14ac:dyDescent="0.3">
      <c r="A761" t="str">
        <v>Han</v>
      </c>
      <c r="B761" t="str">
        <v>Viper</v>
      </c>
      <c r="C761" t="str" cm="1">
        <f t="array" ref="C761">_xlfn.XLOOKUP(1,([3]!players[name]=A761)*([3]!players[hero_name]=B761),[3]!players[lane_name])</f>
        <v>Mid</v>
      </c>
      <c r="D761">
        <f>COUNTIFS([3]!players[name],A761,[3]!players[hero_name],B761)</f>
        <v>1</v>
      </c>
      <c r="E761">
        <f>COUNTIFS([3]!players[name],A761,[3]!players[hero_name],B761, [3]!players[win], 1)</f>
        <v>0</v>
      </c>
      <c r="F761" s="1">
        <f t="shared" si="11"/>
        <v>0</v>
      </c>
      <c r="G761" s="2">
        <f>AVERAGEIFS([3]!players[gold_per_min], [3]!players[name],A761,[3]!players[hero_name],B761)</f>
        <v>543</v>
      </c>
      <c r="H761" s="2">
        <f>AVERAGEIFS([3]!players[xp_per_min], [3]!players[name],A761,[3]!players[hero_name],B761)</f>
        <v>778</v>
      </c>
    </row>
    <row r="762" spans="1:8" x14ac:dyDescent="0.3">
      <c r="A762" t="str">
        <v>Hanzama &lt;</v>
      </c>
      <c r="B762" t="str">
        <v>Phoenix</v>
      </c>
      <c r="C762" t="str" cm="1">
        <f t="array" ref="C762">_xlfn.XLOOKUP(1,([3]!players[name]=A762)*([3]!players[hero_name]=B762),[3]!players[lane_name])</f>
        <v>Soft Support</v>
      </c>
      <c r="D762">
        <f>COUNTIFS([3]!players[name],A762,[3]!players[hero_name],B762)</f>
        <v>1</v>
      </c>
      <c r="E762">
        <f>COUNTIFS([3]!players[name],A762,[3]!players[hero_name],B762, [3]!players[win], 1)</f>
        <v>1</v>
      </c>
      <c r="F762" s="1">
        <f t="shared" si="11"/>
        <v>1</v>
      </c>
      <c r="G762" s="2">
        <f>AVERAGEIFS([3]!players[gold_per_min], [3]!players[name],A762,[3]!players[hero_name],B762)</f>
        <v>382</v>
      </c>
      <c r="H762" s="2">
        <f>AVERAGEIFS([3]!players[xp_per_min], [3]!players[name],A762,[3]!players[hero_name],B762)</f>
        <v>568</v>
      </c>
    </row>
    <row r="763" spans="1:8" x14ac:dyDescent="0.3">
      <c r="A763" t="str">
        <v>Hanzama &lt;</v>
      </c>
      <c r="B763" t="str">
        <v>Undying</v>
      </c>
      <c r="C763" t="str" cm="1">
        <f t="array" ref="C763">_xlfn.XLOOKUP(1,([3]!players[name]=A763)*([3]!players[hero_name]=B763),[3]!players[lane_name])</f>
        <v>Soft Support</v>
      </c>
      <c r="D763">
        <f>COUNTIFS([3]!players[name],A763,[3]!players[hero_name],B763)</f>
        <v>1</v>
      </c>
      <c r="E763">
        <f>COUNTIFS([3]!players[name],A763,[3]!players[hero_name],B763, [3]!players[win], 1)</f>
        <v>0</v>
      </c>
      <c r="F763" s="1">
        <f t="shared" si="11"/>
        <v>0</v>
      </c>
      <c r="G763" s="2">
        <f>AVERAGEIFS([3]!players[gold_per_min], [3]!players[name],A763,[3]!players[hero_name],B763)</f>
        <v>234</v>
      </c>
      <c r="H763" s="2">
        <f>AVERAGEIFS([3]!players[xp_per_min], [3]!players[name],A763,[3]!players[hero_name],B763)</f>
        <v>218</v>
      </c>
    </row>
    <row r="764" spans="1:8" x14ac:dyDescent="0.3">
      <c r="A764" t="str">
        <v>Hanzama &lt;</v>
      </c>
      <c r="B764" t="str">
        <v>Venomancer</v>
      </c>
      <c r="C764" t="str" cm="1">
        <f t="array" ref="C764">_xlfn.XLOOKUP(1,([3]!players[name]=A764)*([3]!players[hero_name]=B764),[3]!players[lane_name])</f>
        <v>Roam</v>
      </c>
      <c r="D764">
        <f>COUNTIFS([3]!players[name],A764,[3]!players[hero_name],B764)</f>
        <v>5</v>
      </c>
      <c r="E764">
        <f>COUNTIFS([3]!players[name],A764,[3]!players[hero_name],B764, [3]!players[win], 1)</f>
        <v>4</v>
      </c>
      <c r="F764" s="1">
        <f t="shared" si="11"/>
        <v>0.8</v>
      </c>
      <c r="G764" s="2">
        <f>AVERAGEIFS([3]!players[gold_per_min], [3]!players[name],A764,[3]!players[hero_name],B764)</f>
        <v>405.4</v>
      </c>
      <c r="H764" s="2">
        <f>AVERAGEIFS([3]!players[xp_per_min], [3]!players[name],A764,[3]!players[hero_name],B764)</f>
        <v>453</v>
      </c>
    </row>
    <row r="765" spans="1:8" x14ac:dyDescent="0.3">
      <c r="A765" t="str">
        <v>Hanzama &lt;</v>
      </c>
      <c r="B765" t="str">
        <v>Shadow Demon</v>
      </c>
      <c r="C765" t="str" cm="1">
        <f t="array" ref="C765">_xlfn.XLOOKUP(1,([3]!players[name]=A765)*([3]!players[hero_name]=B765),[3]!players[lane_name])</f>
        <v>Hard Support</v>
      </c>
      <c r="D765">
        <f>COUNTIFS([3]!players[name],A765,[3]!players[hero_name],B765)</f>
        <v>1</v>
      </c>
      <c r="E765">
        <f>COUNTIFS([3]!players[name],A765,[3]!players[hero_name],B765, [3]!players[win], 1)</f>
        <v>1</v>
      </c>
      <c r="F765" s="1">
        <f t="shared" si="11"/>
        <v>1</v>
      </c>
      <c r="G765" s="2">
        <f>AVERAGEIFS([3]!players[gold_per_min], [3]!players[name],A765,[3]!players[hero_name],B765)</f>
        <v>342</v>
      </c>
      <c r="H765" s="2">
        <f>AVERAGEIFS([3]!players[xp_per_min], [3]!players[name],A765,[3]!players[hero_name],B765)</f>
        <v>515</v>
      </c>
    </row>
    <row r="766" spans="1:8" x14ac:dyDescent="0.3">
      <c r="A766" t="str">
        <v>Hanzama &lt;</v>
      </c>
      <c r="B766" t="str">
        <v>Nature's Prophet</v>
      </c>
      <c r="C766" t="str" cm="1">
        <f t="array" ref="C766">_xlfn.XLOOKUP(1,([3]!players[name]=A766)*([3]!players[hero_name]=B766),[3]!players[lane_name])</f>
        <v>Carry</v>
      </c>
      <c r="D766">
        <f>COUNTIFS([3]!players[name],A766,[3]!players[hero_name],B766)</f>
        <v>1</v>
      </c>
      <c r="E766">
        <f>COUNTIFS([3]!players[name],A766,[3]!players[hero_name],B766, [3]!players[win], 1)</f>
        <v>1</v>
      </c>
      <c r="F766" s="1">
        <f t="shared" si="11"/>
        <v>1</v>
      </c>
      <c r="G766" s="2">
        <f>AVERAGEIFS([3]!players[gold_per_min], [3]!players[name],A766,[3]!players[hero_name],B766)</f>
        <v>529</v>
      </c>
      <c r="H766" s="2">
        <f>AVERAGEIFS([3]!players[xp_per_min], [3]!players[name],A766,[3]!players[hero_name],B766)</f>
        <v>539</v>
      </c>
    </row>
    <row r="767" spans="1:8" x14ac:dyDescent="0.3">
      <c r="A767" t="str">
        <v>Hanzama &lt;</v>
      </c>
      <c r="B767" t="str">
        <v>Clockwerk</v>
      </c>
      <c r="C767" t="str" cm="1">
        <f t="array" ref="C767">_xlfn.XLOOKUP(1,([3]!players[name]=A767)*([3]!players[hero_name]=B767),[3]!players[lane_name])</f>
        <v>Hard Support</v>
      </c>
      <c r="D767">
        <f>COUNTIFS([3]!players[name],A767,[3]!players[hero_name],B767)</f>
        <v>1</v>
      </c>
      <c r="E767">
        <f>COUNTIFS([3]!players[name],A767,[3]!players[hero_name],B767, [3]!players[win], 1)</f>
        <v>0</v>
      </c>
      <c r="F767" s="1">
        <f t="shared" si="11"/>
        <v>0</v>
      </c>
      <c r="G767" s="2">
        <f>AVERAGEIFS([3]!players[gold_per_min], [3]!players[name],A767,[3]!players[hero_name],B767)</f>
        <v>234</v>
      </c>
      <c r="H767" s="2">
        <f>AVERAGEIFS([3]!players[xp_per_min], [3]!players[name],A767,[3]!players[hero_name],B767)</f>
        <v>299</v>
      </c>
    </row>
    <row r="768" spans="1:8" x14ac:dyDescent="0.3">
      <c r="A768" t="str">
        <v>Hanzama &lt;</v>
      </c>
      <c r="B768" t="str">
        <v>Batrider</v>
      </c>
      <c r="C768" t="str" cm="1">
        <f t="array" ref="C768">_xlfn.XLOOKUP(1,([3]!players[name]=A768)*([3]!players[hero_name]=B768),[3]!players[lane_name])</f>
        <v>Off Lane</v>
      </c>
      <c r="D768">
        <f>COUNTIFS([3]!players[name],A768,[3]!players[hero_name],B768)</f>
        <v>2</v>
      </c>
      <c r="E768">
        <f>COUNTIFS([3]!players[name],A768,[3]!players[hero_name],B768, [3]!players[win], 1)</f>
        <v>0</v>
      </c>
      <c r="F768" s="1">
        <f t="shared" si="11"/>
        <v>0</v>
      </c>
      <c r="G768" s="2">
        <f>AVERAGEIFS([3]!players[gold_per_min], [3]!players[name],A768,[3]!players[hero_name],B768)</f>
        <v>366</v>
      </c>
      <c r="H768" s="2">
        <f>AVERAGEIFS([3]!players[xp_per_min], [3]!players[name],A768,[3]!players[hero_name],B768)</f>
        <v>462</v>
      </c>
    </row>
    <row r="769" spans="1:8" x14ac:dyDescent="0.3">
      <c r="A769" t="str">
        <v>Hanzama &lt;</v>
      </c>
      <c r="B769" t="str">
        <v>Enchantress</v>
      </c>
      <c r="C769" t="str" cm="1">
        <f t="array" ref="C769">_xlfn.XLOOKUP(1,([3]!players[name]=A769)*([3]!players[hero_name]=B769),[3]!players[lane_name])</f>
        <v>Roam</v>
      </c>
      <c r="D769">
        <f>COUNTIFS([3]!players[name],A769,[3]!players[hero_name],B769)</f>
        <v>1</v>
      </c>
      <c r="E769">
        <f>COUNTIFS([3]!players[name],A769,[3]!players[hero_name],B769, [3]!players[win], 1)</f>
        <v>0</v>
      </c>
      <c r="F769" s="1">
        <f t="shared" si="11"/>
        <v>0</v>
      </c>
      <c r="G769" s="2">
        <f>AVERAGEIFS([3]!players[gold_per_min], [3]!players[name],A769,[3]!players[hero_name],B769)</f>
        <v>314</v>
      </c>
      <c r="H769" s="2">
        <f>AVERAGEIFS([3]!players[xp_per_min], [3]!players[name],A769,[3]!players[hero_name],B769)</f>
        <v>467</v>
      </c>
    </row>
    <row r="770" spans="1:8" x14ac:dyDescent="0.3">
      <c r="A770" t="str">
        <v>Hanzama &lt;</v>
      </c>
      <c r="B770" t="str">
        <v>Rubick</v>
      </c>
      <c r="C770" t="str" cm="1">
        <f t="array" ref="C770">_xlfn.XLOOKUP(1,([3]!players[name]=A770)*([3]!players[hero_name]=B770),[3]!players[lane_name])</f>
        <v>Roam</v>
      </c>
      <c r="D770">
        <f>COUNTIFS([3]!players[name],A770,[3]!players[hero_name],B770)</f>
        <v>1</v>
      </c>
      <c r="E770">
        <f>COUNTIFS([3]!players[name],A770,[3]!players[hero_name],B770, [3]!players[win], 1)</f>
        <v>1</v>
      </c>
      <c r="F770" s="1">
        <f t="shared" si="11"/>
        <v>1</v>
      </c>
      <c r="G770" s="2">
        <f>AVERAGEIFS([3]!players[gold_per_min], [3]!players[name],A770,[3]!players[hero_name],B770)</f>
        <v>401</v>
      </c>
      <c r="H770" s="2">
        <f>AVERAGEIFS([3]!players[xp_per_min], [3]!players[name],A770,[3]!players[hero_name],B770)</f>
        <v>561</v>
      </c>
    </row>
    <row r="771" spans="1:8" x14ac:dyDescent="0.3">
      <c r="A771" t="str">
        <v>Hanzama &lt;</v>
      </c>
      <c r="B771" t="str">
        <v>Ancient Apparition</v>
      </c>
      <c r="C771" t="str" cm="1">
        <f t="array" ref="C771">_xlfn.XLOOKUP(1,([3]!players[name]=A771)*([3]!players[hero_name]=B771),[3]!players[lane_name])</f>
        <v>Soft Support</v>
      </c>
      <c r="D771">
        <f>COUNTIFS([3]!players[name],A771,[3]!players[hero_name],B771)</f>
        <v>1</v>
      </c>
      <c r="E771">
        <f>COUNTIFS([3]!players[name],A771,[3]!players[hero_name],B771, [3]!players[win], 1)</f>
        <v>0</v>
      </c>
      <c r="F771" s="1">
        <f t="shared" ref="F771:F834" si="12">E771/D771</f>
        <v>0</v>
      </c>
      <c r="G771" s="2">
        <f>AVERAGEIFS([3]!players[gold_per_min], [3]!players[name],A771,[3]!players[hero_name],B771)</f>
        <v>245</v>
      </c>
      <c r="H771" s="2">
        <f>AVERAGEIFS([3]!players[xp_per_min], [3]!players[name],A771,[3]!players[hero_name],B771)</f>
        <v>281</v>
      </c>
    </row>
    <row r="772" spans="1:8" x14ac:dyDescent="0.3">
      <c r="A772" t="str">
        <v>Hanzama &lt;</v>
      </c>
      <c r="B772" t="str">
        <v>Tusk</v>
      </c>
      <c r="C772" t="str" cm="1">
        <f t="array" ref="C772">_xlfn.XLOOKUP(1,([3]!players[name]=A772)*([3]!players[hero_name]=B772),[3]!players[lane_name])</f>
        <v>Soft Support</v>
      </c>
      <c r="D772">
        <f>COUNTIFS([3]!players[name],A772,[3]!players[hero_name],B772)</f>
        <v>1</v>
      </c>
      <c r="E772">
        <f>COUNTIFS([3]!players[name],A772,[3]!players[hero_name],B772, [3]!players[win], 1)</f>
        <v>1</v>
      </c>
      <c r="F772" s="1">
        <f t="shared" si="12"/>
        <v>1</v>
      </c>
      <c r="G772" s="2">
        <f>AVERAGEIFS([3]!players[gold_per_min], [3]!players[name],A772,[3]!players[hero_name],B772)</f>
        <v>306</v>
      </c>
      <c r="H772" s="2">
        <f>AVERAGEIFS([3]!players[xp_per_min], [3]!players[name],A772,[3]!players[hero_name],B772)</f>
        <v>379</v>
      </c>
    </row>
    <row r="773" spans="1:8" x14ac:dyDescent="0.3">
      <c r="A773" t="str">
        <v>Hellgrove</v>
      </c>
      <c r="B773" t="str">
        <v>Anti-Mage</v>
      </c>
      <c r="C773" t="str" cm="1">
        <f t="array" ref="C773">_xlfn.XLOOKUP(1,([3]!players[name]=A773)*([3]!players[hero_name]=B773),[3]!players[lane_name])</f>
        <v>Carry</v>
      </c>
      <c r="D773">
        <f>COUNTIFS([3]!players[name],A773,[3]!players[hero_name],B773)</f>
        <v>2</v>
      </c>
      <c r="E773">
        <f>COUNTIFS([3]!players[name],A773,[3]!players[hero_name],B773, [3]!players[win], 1)</f>
        <v>2</v>
      </c>
      <c r="F773" s="1">
        <f t="shared" si="12"/>
        <v>1</v>
      </c>
      <c r="G773" s="2">
        <f>AVERAGEIFS([3]!players[gold_per_min], [3]!players[name],A773,[3]!players[hero_name],B773)</f>
        <v>688</v>
      </c>
      <c r="H773" s="2">
        <f>AVERAGEIFS([3]!players[xp_per_min], [3]!players[name],A773,[3]!players[hero_name],B773)</f>
        <v>813.5</v>
      </c>
    </row>
    <row r="774" spans="1:8" x14ac:dyDescent="0.3">
      <c r="A774" t="str">
        <v>Hellgrove</v>
      </c>
      <c r="B774" t="str">
        <v>Morphling</v>
      </c>
      <c r="C774" t="str" cm="1">
        <f t="array" ref="C774">_xlfn.XLOOKUP(1,([3]!players[name]=A774)*([3]!players[hero_name]=B774),[3]!players[lane_name])</f>
        <v>Carry</v>
      </c>
      <c r="D774">
        <f>COUNTIFS([3]!players[name],A774,[3]!players[hero_name],B774)</f>
        <v>1</v>
      </c>
      <c r="E774">
        <f>COUNTIFS([3]!players[name],A774,[3]!players[hero_name],B774, [3]!players[win], 1)</f>
        <v>1</v>
      </c>
      <c r="F774" s="1">
        <f t="shared" si="12"/>
        <v>1</v>
      </c>
      <c r="G774" s="2">
        <f>AVERAGEIFS([3]!players[gold_per_min], [3]!players[name],A774,[3]!players[hero_name],B774)</f>
        <v>658</v>
      </c>
      <c r="H774" s="2">
        <f>AVERAGEIFS([3]!players[xp_per_min], [3]!players[name],A774,[3]!players[hero_name],B774)</f>
        <v>717</v>
      </c>
    </row>
    <row r="775" spans="1:8" x14ac:dyDescent="0.3">
      <c r="A775" t="str">
        <v>Hellgrove</v>
      </c>
      <c r="B775" t="str">
        <v>Riki</v>
      </c>
      <c r="C775" t="str" cm="1">
        <f t="array" ref="C775">_xlfn.XLOOKUP(1,([3]!players[name]=A775)*([3]!players[hero_name]=B775),[3]!players[lane_name])</f>
        <v>Carry</v>
      </c>
      <c r="D775">
        <f>COUNTIFS([3]!players[name],A775,[3]!players[hero_name],B775)</f>
        <v>1</v>
      </c>
      <c r="E775">
        <f>COUNTIFS([3]!players[name],A775,[3]!players[hero_name],B775, [3]!players[win], 1)</f>
        <v>0</v>
      </c>
      <c r="F775" s="1">
        <f t="shared" si="12"/>
        <v>0</v>
      </c>
      <c r="G775" s="2">
        <f>AVERAGEIFS([3]!players[gold_per_min], [3]!players[name],A775,[3]!players[hero_name],B775)</f>
        <v>411</v>
      </c>
      <c r="H775" s="2">
        <f>AVERAGEIFS([3]!players[xp_per_min], [3]!players[name],A775,[3]!players[hero_name],B775)</f>
        <v>503</v>
      </c>
    </row>
    <row r="776" spans="1:8" x14ac:dyDescent="0.3">
      <c r="A776" t="str">
        <v>Hellgrove</v>
      </c>
      <c r="B776" t="str">
        <v>Luna</v>
      </c>
      <c r="C776" t="str" cm="1">
        <f t="array" ref="C776">_xlfn.XLOOKUP(1,([3]!players[name]=A776)*([3]!players[hero_name]=B776),[3]!players[lane_name])</f>
        <v>Carry</v>
      </c>
      <c r="D776">
        <f>COUNTIFS([3]!players[name],A776,[3]!players[hero_name],B776)</f>
        <v>13</v>
      </c>
      <c r="E776">
        <f>COUNTIFS([3]!players[name],A776,[3]!players[hero_name],B776, [3]!players[win], 1)</f>
        <v>6</v>
      </c>
      <c r="F776" s="1">
        <f t="shared" si="12"/>
        <v>0.46153846153846156</v>
      </c>
      <c r="G776" s="2">
        <f>AVERAGEIFS([3]!players[gold_per_min], [3]!players[name],A776,[3]!players[hero_name],B776)</f>
        <v>683.84615384615381</v>
      </c>
      <c r="H776" s="2">
        <f>AVERAGEIFS([3]!players[xp_per_min], [3]!players[name],A776,[3]!players[hero_name],B776)</f>
        <v>843.61538461538464</v>
      </c>
    </row>
    <row r="777" spans="1:8" x14ac:dyDescent="0.3">
      <c r="A777" t="str">
        <v>Hellgrove</v>
      </c>
      <c r="B777" t="str">
        <v>Gyrocopter</v>
      </c>
      <c r="C777" t="str" cm="1">
        <f t="array" ref="C777">_xlfn.XLOOKUP(1,([3]!players[name]=A777)*([3]!players[hero_name]=B777),[3]!players[lane_name])</f>
        <v>Carry</v>
      </c>
      <c r="D777">
        <f>COUNTIFS([3]!players[name],A777,[3]!players[hero_name],B777)</f>
        <v>8</v>
      </c>
      <c r="E777">
        <f>COUNTIFS([3]!players[name],A777,[3]!players[hero_name],B777, [3]!players[win], 1)</f>
        <v>6</v>
      </c>
      <c r="F777" s="1">
        <f t="shared" si="12"/>
        <v>0.75</v>
      </c>
      <c r="G777" s="2">
        <f>AVERAGEIFS([3]!players[gold_per_min], [3]!players[name],A777,[3]!players[hero_name],B777)</f>
        <v>680.125</v>
      </c>
      <c r="H777" s="2">
        <f>AVERAGEIFS([3]!players[xp_per_min], [3]!players[name],A777,[3]!players[hero_name],B777)</f>
        <v>825.125</v>
      </c>
    </row>
    <row r="778" spans="1:8" x14ac:dyDescent="0.3">
      <c r="A778" t="str">
        <v>Hellgrove</v>
      </c>
      <c r="B778" t="str">
        <v>Nature's Prophet</v>
      </c>
      <c r="C778" t="str" cm="1">
        <f t="array" ref="C778">_xlfn.XLOOKUP(1,([3]!players[name]=A778)*([3]!players[hero_name]=B778),[3]!players[lane_name])</f>
        <v>Carry</v>
      </c>
      <c r="D778">
        <f>COUNTIFS([3]!players[name],A778,[3]!players[hero_name],B778)</f>
        <v>1</v>
      </c>
      <c r="E778">
        <f>COUNTIFS([3]!players[name],A778,[3]!players[hero_name],B778, [3]!players[win], 1)</f>
        <v>0</v>
      </c>
      <c r="F778" s="1">
        <f t="shared" si="12"/>
        <v>0</v>
      </c>
      <c r="G778" s="2">
        <f>AVERAGEIFS([3]!players[gold_per_min], [3]!players[name],A778,[3]!players[hero_name],B778)</f>
        <v>575</v>
      </c>
      <c r="H778" s="2">
        <f>AVERAGEIFS([3]!players[xp_per_min], [3]!players[name],A778,[3]!players[hero_name],B778)</f>
        <v>673</v>
      </c>
    </row>
    <row r="779" spans="1:8" x14ac:dyDescent="0.3">
      <c r="A779" t="str">
        <v>Hellgrove</v>
      </c>
      <c r="B779" t="str">
        <v>Templar Assassin</v>
      </c>
      <c r="C779" t="str" cm="1">
        <f t="array" ref="C779">_xlfn.XLOOKUP(1,([3]!players[name]=A779)*([3]!players[hero_name]=B779),[3]!players[lane_name])</f>
        <v>Carry</v>
      </c>
      <c r="D779">
        <f>COUNTIFS([3]!players[name],A779,[3]!players[hero_name],B779)</f>
        <v>4</v>
      </c>
      <c r="E779">
        <f>COUNTIFS([3]!players[name],A779,[3]!players[hero_name],B779, [3]!players[win], 1)</f>
        <v>2</v>
      </c>
      <c r="F779" s="1">
        <f t="shared" si="12"/>
        <v>0.5</v>
      </c>
      <c r="G779" s="2">
        <f>AVERAGEIFS([3]!players[gold_per_min], [3]!players[name],A779,[3]!players[hero_name],B779)</f>
        <v>775</v>
      </c>
      <c r="H779" s="2">
        <f>AVERAGEIFS([3]!players[xp_per_min], [3]!players[name],A779,[3]!players[hero_name],B779)</f>
        <v>1052.25</v>
      </c>
    </row>
    <row r="780" spans="1:8" x14ac:dyDescent="0.3">
      <c r="A780" t="str">
        <v>Hellgrove</v>
      </c>
      <c r="B780" t="str">
        <v>Weaver</v>
      </c>
      <c r="C780" t="str" cm="1">
        <f t="array" ref="C780">_xlfn.XLOOKUP(1,([3]!players[name]=A780)*([3]!players[hero_name]=B780),[3]!players[lane_name])</f>
        <v>Carry</v>
      </c>
      <c r="D780">
        <f>COUNTIFS([3]!players[name],A780,[3]!players[hero_name],B780)</f>
        <v>1</v>
      </c>
      <c r="E780">
        <f>COUNTIFS([3]!players[name],A780,[3]!players[hero_name],B780, [3]!players[win], 1)</f>
        <v>0</v>
      </c>
      <c r="F780" s="1">
        <f t="shared" si="12"/>
        <v>0</v>
      </c>
      <c r="G780" s="2">
        <f>AVERAGEIFS([3]!players[gold_per_min], [3]!players[name],A780,[3]!players[hero_name],B780)</f>
        <v>520</v>
      </c>
      <c r="H780" s="2">
        <f>AVERAGEIFS([3]!players[xp_per_min], [3]!players[name],A780,[3]!players[hero_name],B780)</f>
        <v>626</v>
      </c>
    </row>
    <row r="781" spans="1:8" x14ac:dyDescent="0.3">
      <c r="A781" t="str">
        <v>Hellgrove</v>
      </c>
      <c r="B781" t="str">
        <v>Wraith King</v>
      </c>
      <c r="C781" t="str" cm="1">
        <f t="array" ref="C781">_xlfn.XLOOKUP(1,([3]!players[name]=A781)*([3]!players[hero_name]=B781),[3]!players[lane_name])</f>
        <v>Carry</v>
      </c>
      <c r="D781">
        <f>COUNTIFS([3]!players[name],A781,[3]!players[hero_name],B781)</f>
        <v>2</v>
      </c>
      <c r="E781">
        <f>COUNTIFS([3]!players[name],A781,[3]!players[hero_name],B781, [3]!players[win], 1)</f>
        <v>0</v>
      </c>
      <c r="F781" s="1">
        <f t="shared" si="12"/>
        <v>0</v>
      </c>
      <c r="G781" s="2">
        <f>AVERAGEIFS([3]!players[gold_per_min], [3]!players[name],A781,[3]!players[hero_name],B781)</f>
        <v>542.5</v>
      </c>
      <c r="H781" s="2">
        <f>AVERAGEIFS([3]!players[xp_per_min], [3]!players[name],A781,[3]!players[hero_name],B781)</f>
        <v>643.5</v>
      </c>
    </row>
    <row r="782" spans="1:8" x14ac:dyDescent="0.3">
      <c r="A782" t="str">
        <v>Hellgrove</v>
      </c>
      <c r="B782" t="str">
        <v>Doom</v>
      </c>
      <c r="C782" t="str" cm="1">
        <f t="array" ref="C782">_xlfn.XLOOKUP(1,([3]!players[name]=A782)*([3]!players[hero_name]=B782),[3]!players[lane_name])</f>
        <v>Carry</v>
      </c>
      <c r="D782">
        <f>COUNTIFS([3]!players[name],A782,[3]!players[hero_name],B782)</f>
        <v>1</v>
      </c>
      <c r="E782">
        <f>COUNTIFS([3]!players[name],A782,[3]!players[hero_name],B782, [3]!players[win], 1)</f>
        <v>1</v>
      </c>
      <c r="F782" s="1">
        <f t="shared" si="12"/>
        <v>1</v>
      </c>
      <c r="G782" s="2">
        <f>AVERAGEIFS([3]!players[gold_per_min], [3]!players[name],A782,[3]!players[hero_name],B782)</f>
        <v>716</v>
      </c>
      <c r="H782" s="2">
        <f>AVERAGEIFS([3]!players[xp_per_min], [3]!players[name],A782,[3]!players[hero_name],B782)</f>
        <v>831</v>
      </c>
    </row>
    <row r="783" spans="1:8" x14ac:dyDescent="0.3">
      <c r="A783" t="str">
        <v>Hellgrove</v>
      </c>
      <c r="B783" t="str">
        <v>Lifestealer</v>
      </c>
      <c r="C783" t="str" cm="1">
        <f t="array" ref="C783">_xlfn.XLOOKUP(1,([3]!players[name]=A783)*([3]!players[hero_name]=B783),[3]!players[lane_name])</f>
        <v>Carry</v>
      </c>
      <c r="D783">
        <f>COUNTIFS([3]!players[name],A783,[3]!players[hero_name],B783)</f>
        <v>7</v>
      </c>
      <c r="E783">
        <f>COUNTIFS([3]!players[name],A783,[3]!players[hero_name],B783, [3]!players[win], 1)</f>
        <v>4</v>
      </c>
      <c r="F783" s="1">
        <f t="shared" si="12"/>
        <v>0.5714285714285714</v>
      </c>
      <c r="G783" s="2">
        <f>AVERAGEIFS([3]!players[gold_per_min], [3]!players[name],A783,[3]!players[hero_name],B783)</f>
        <v>647.57142857142856</v>
      </c>
      <c r="H783" s="2">
        <f>AVERAGEIFS([3]!players[xp_per_min], [3]!players[name],A783,[3]!players[hero_name],B783)</f>
        <v>873.42857142857144</v>
      </c>
    </row>
    <row r="784" spans="1:8" x14ac:dyDescent="0.3">
      <c r="A784" t="str">
        <v>Hellgrove</v>
      </c>
      <c r="B784" t="str">
        <v>Shadow Fiend</v>
      </c>
      <c r="C784" t="str" cm="1">
        <f t="array" ref="C784">_xlfn.XLOOKUP(1,([3]!players[name]=A784)*([3]!players[hero_name]=B784),[3]!players[lane_name])</f>
        <v>Carry</v>
      </c>
      <c r="D784">
        <f>COUNTIFS([3]!players[name],A784,[3]!players[hero_name],B784)</f>
        <v>9</v>
      </c>
      <c r="E784">
        <f>COUNTIFS([3]!players[name],A784,[3]!players[hero_name],B784, [3]!players[win], 1)</f>
        <v>5</v>
      </c>
      <c r="F784" s="1">
        <f t="shared" si="12"/>
        <v>0.55555555555555558</v>
      </c>
      <c r="G784" s="2">
        <f>AVERAGEIFS([3]!players[gold_per_min], [3]!players[name],A784,[3]!players[hero_name],B784)</f>
        <v>701</v>
      </c>
      <c r="H784" s="2">
        <f>AVERAGEIFS([3]!players[xp_per_min], [3]!players[name],A784,[3]!players[hero_name],B784)</f>
        <v>856.22222222222217</v>
      </c>
    </row>
    <row r="785" spans="1:8" x14ac:dyDescent="0.3">
      <c r="A785" t="str">
        <v>Hellgrove</v>
      </c>
      <c r="B785" t="str">
        <v>Ursa</v>
      </c>
      <c r="C785" t="str" cm="1">
        <f t="array" ref="C785">_xlfn.XLOOKUP(1,([3]!players[name]=A785)*([3]!players[hero_name]=B785),[3]!players[lane_name])</f>
        <v>Carry</v>
      </c>
      <c r="D785">
        <f>COUNTIFS([3]!players[name],A785,[3]!players[hero_name],B785)</f>
        <v>4</v>
      </c>
      <c r="E785">
        <f>COUNTIFS([3]!players[name],A785,[3]!players[hero_name],B785, [3]!players[win], 1)</f>
        <v>1</v>
      </c>
      <c r="F785" s="1">
        <f t="shared" si="12"/>
        <v>0.25</v>
      </c>
      <c r="G785" s="2">
        <f>AVERAGEIFS([3]!players[gold_per_min], [3]!players[name],A785,[3]!players[hero_name],B785)</f>
        <v>476.25</v>
      </c>
      <c r="H785" s="2">
        <f>AVERAGEIFS([3]!players[xp_per_min], [3]!players[name],A785,[3]!players[hero_name],B785)</f>
        <v>522.5</v>
      </c>
    </row>
    <row r="786" spans="1:8" x14ac:dyDescent="0.3">
      <c r="A786" t="str">
        <v>Hellgrove</v>
      </c>
      <c r="B786" t="str">
        <v>Clinkz</v>
      </c>
      <c r="C786" t="str" cm="1">
        <f t="array" ref="C786">_xlfn.XLOOKUP(1,([3]!players[name]=A786)*([3]!players[hero_name]=B786),[3]!players[lane_name])</f>
        <v>Carry</v>
      </c>
      <c r="D786">
        <f>COUNTIFS([3]!players[name],A786,[3]!players[hero_name],B786)</f>
        <v>2</v>
      </c>
      <c r="E786">
        <f>COUNTIFS([3]!players[name],A786,[3]!players[hero_name],B786, [3]!players[win], 1)</f>
        <v>1</v>
      </c>
      <c r="F786" s="1">
        <f t="shared" si="12"/>
        <v>0.5</v>
      </c>
      <c r="G786" s="2">
        <f>AVERAGEIFS([3]!players[gold_per_min], [3]!players[name],A786,[3]!players[hero_name],B786)</f>
        <v>570</v>
      </c>
      <c r="H786" s="2">
        <f>AVERAGEIFS([3]!players[xp_per_min], [3]!players[name],A786,[3]!players[hero_name],B786)</f>
        <v>772.5</v>
      </c>
    </row>
    <row r="787" spans="1:8" x14ac:dyDescent="0.3">
      <c r="A787" t="str">
        <v>Hellgrove</v>
      </c>
      <c r="B787" t="str">
        <v>Sniper</v>
      </c>
      <c r="C787" t="str" cm="1">
        <f t="array" ref="C787">_xlfn.XLOOKUP(1,([3]!players[name]=A787)*([3]!players[hero_name]=B787),[3]!players[lane_name])</f>
        <v>Carry</v>
      </c>
      <c r="D787">
        <f>COUNTIFS([3]!players[name],A787,[3]!players[hero_name],B787)</f>
        <v>3</v>
      </c>
      <c r="E787">
        <f>COUNTIFS([3]!players[name],A787,[3]!players[hero_name],B787, [3]!players[win], 1)</f>
        <v>3</v>
      </c>
      <c r="F787" s="1">
        <f t="shared" si="12"/>
        <v>1</v>
      </c>
      <c r="G787" s="2">
        <f>AVERAGEIFS([3]!players[gold_per_min], [3]!players[name],A787,[3]!players[hero_name],B787)</f>
        <v>632.66666666666663</v>
      </c>
      <c r="H787" s="2">
        <f>AVERAGEIFS([3]!players[xp_per_min], [3]!players[name],A787,[3]!players[hero_name],B787)</f>
        <v>734</v>
      </c>
    </row>
    <row r="788" spans="1:8" x14ac:dyDescent="0.3">
      <c r="A788" t="str">
        <v>Hellgrove</v>
      </c>
      <c r="B788" t="str">
        <v>Kez</v>
      </c>
      <c r="C788" t="str" cm="1">
        <f t="array" ref="C788">_xlfn.XLOOKUP(1,([3]!players[name]=A788)*([3]!players[hero_name]=B788),[3]!players[lane_name])</f>
        <v>Carry</v>
      </c>
      <c r="D788">
        <f>COUNTIFS([3]!players[name],A788,[3]!players[hero_name],B788)</f>
        <v>1</v>
      </c>
      <c r="E788">
        <f>COUNTIFS([3]!players[name],A788,[3]!players[hero_name],B788, [3]!players[win], 1)</f>
        <v>1</v>
      </c>
      <c r="F788" s="1">
        <f t="shared" si="12"/>
        <v>1</v>
      </c>
      <c r="G788" s="2">
        <f>AVERAGEIFS([3]!players[gold_per_min], [3]!players[name],A788,[3]!players[hero_name],B788)</f>
        <v>578</v>
      </c>
      <c r="H788" s="2">
        <f>AVERAGEIFS([3]!players[xp_per_min], [3]!players[name],A788,[3]!players[hero_name],B788)</f>
        <v>814</v>
      </c>
    </row>
    <row r="789" spans="1:8" x14ac:dyDescent="0.3">
      <c r="A789" t="str">
        <v>Hellgrove</v>
      </c>
      <c r="B789" t="str">
        <v>Drow Ranger</v>
      </c>
      <c r="C789" t="str" cm="1">
        <f t="array" ref="C789">_xlfn.XLOOKUP(1,([3]!players[name]=A789)*([3]!players[hero_name]=B789),[3]!players[lane_name])</f>
        <v>Carry</v>
      </c>
      <c r="D789">
        <f>COUNTIFS([3]!players[name],A789,[3]!players[hero_name],B789)</f>
        <v>3</v>
      </c>
      <c r="E789">
        <f>COUNTIFS([3]!players[name],A789,[3]!players[hero_name],B789, [3]!players[win], 1)</f>
        <v>1</v>
      </c>
      <c r="F789" s="1">
        <f t="shared" si="12"/>
        <v>0.33333333333333331</v>
      </c>
      <c r="G789" s="2">
        <f>AVERAGEIFS([3]!players[gold_per_min], [3]!players[name],A789,[3]!players[hero_name],B789)</f>
        <v>494.33333333333331</v>
      </c>
      <c r="H789" s="2">
        <f>AVERAGEIFS([3]!players[xp_per_min], [3]!players[name],A789,[3]!players[hero_name],B789)</f>
        <v>600.66666666666663</v>
      </c>
    </row>
    <row r="790" spans="1:8" x14ac:dyDescent="0.3">
      <c r="A790" t="str">
        <v>Hellgrove</v>
      </c>
      <c r="B790" t="str">
        <v>Slark</v>
      </c>
      <c r="C790" t="str" cm="1">
        <f t="array" ref="C790">_xlfn.XLOOKUP(1,([3]!players[name]=A790)*([3]!players[hero_name]=B790),[3]!players[lane_name])</f>
        <v>Carry</v>
      </c>
      <c r="D790">
        <f>COUNTIFS([3]!players[name],A790,[3]!players[hero_name],B790)</f>
        <v>3</v>
      </c>
      <c r="E790">
        <f>COUNTIFS([3]!players[name],A790,[3]!players[hero_name],B790, [3]!players[win], 1)</f>
        <v>0</v>
      </c>
      <c r="F790" s="1">
        <f t="shared" si="12"/>
        <v>0</v>
      </c>
      <c r="G790" s="2">
        <f>AVERAGEIFS([3]!players[gold_per_min], [3]!players[name],A790,[3]!players[hero_name],B790)</f>
        <v>446.33333333333331</v>
      </c>
      <c r="H790" s="2">
        <f>AVERAGEIFS([3]!players[xp_per_min], [3]!players[name],A790,[3]!players[hero_name],B790)</f>
        <v>649</v>
      </c>
    </row>
    <row r="791" spans="1:8" x14ac:dyDescent="0.3">
      <c r="A791" t="str">
        <v>Hellgrove</v>
      </c>
      <c r="B791" t="str">
        <v>Medusa</v>
      </c>
      <c r="C791" t="str" cm="1">
        <f t="array" ref="C791">_xlfn.XLOOKUP(1,([3]!players[name]=A791)*([3]!players[hero_name]=B791),[3]!players[lane_name])</f>
        <v>Carry</v>
      </c>
      <c r="D791">
        <f>COUNTIFS([3]!players[name],A791,[3]!players[hero_name],B791)</f>
        <v>1</v>
      </c>
      <c r="E791">
        <f>COUNTIFS([3]!players[name],A791,[3]!players[hero_name],B791, [3]!players[win], 1)</f>
        <v>1</v>
      </c>
      <c r="F791" s="1">
        <f t="shared" si="12"/>
        <v>1</v>
      </c>
      <c r="G791" s="2">
        <f>AVERAGEIFS([3]!players[gold_per_min], [3]!players[name],A791,[3]!players[hero_name],B791)</f>
        <v>584</v>
      </c>
      <c r="H791" s="2">
        <f>AVERAGEIFS([3]!players[xp_per_min], [3]!players[name],A791,[3]!players[hero_name],B791)</f>
        <v>607</v>
      </c>
    </row>
    <row r="792" spans="1:8" x14ac:dyDescent="0.3">
      <c r="A792" t="str">
        <v>Hellgrove</v>
      </c>
      <c r="B792" t="str">
        <v>Juggernaut</v>
      </c>
      <c r="C792" t="str" cm="1">
        <f t="array" ref="C792">_xlfn.XLOOKUP(1,([3]!players[name]=A792)*([3]!players[hero_name]=B792),[3]!players[lane_name])</f>
        <v>Carry</v>
      </c>
      <c r="D792">
        <f>COUNTIFS([3]!players[name],A792,[3]!players[hero_name],B792)</f>
        <v>5</v>
      </c>
      <c r="E792">
        <f>COUNTIFS([3]!players[name],A792,[3]!players[hero_name],B792, [3]!players[win], 1)</f>
        <v>2</v>
      </c>
      <c r="F792" s="1">
        <f t="shared" si="12"/>
        <v>0.4</v>
      </c>
      <c r="G792" s="2">
        <f>AVERAGEIFS([3]!players[gold_per_min], [3]!players[name],A792,[3]!players[hero_name],B792)</f>
        <v>631.79999999999995</v>
      </c>
      <c r="H792" s="2">
        <f>AVERAGEIFS([3]!players[xp_per_min], [3]!players[name],A792,[3]!players[hero_name],B792)</f>
        <v>932.8</v>
      </c>
    </row>
    <row r="793" spans="1:8" x14ac:dyDescent="0.3">
      <c r="A793" t="str">
        <v>Hellgrove</v>
      </c>
      <c r="B793" t="str">
        <v>Sven</v>
      </c>
      <c r="C793" t="str" cm="1">
        <f t="array" ref="C793">_xlfn.XLOOKUP(1,([3]!players[name]=A793)*([3]!players[hero_name]=B793),[3]!players[lane_name])</f>
        <v>Carry</v>
      </c>
      <c r="D793">
        <f>COUNTIFS([3]!players[name],A793,[3]!players[hero_name],B793)</f>
        <v>4</v>
      </c>
      <c r="E793">
        <f>COUNTIFS([3]!players[name],A793,[3]!players[hero_name],B793, [3]!players[win], 1)</f>
        <v>1</v>
      </c>
      <c r="F793" s="1">
        <f t="shared" si="12"/>
        <v>0.25</v>
      </c>
      <c r="G793" s="2">
        <f>AVERAGEIFS([3]!players[gold_per_min], [3]!players[name],A793,[3]!players[hero_name],B793)</f>
        <v>538.5</v>
      </c>
      <c r="H793" s="2">
        <f>AVERAGEIFS([3]!players[xp_per_min], [3]!players[name],A793,[3]!players[hero_name],B793)</f>
        <v>591.75</v>
      </c>
    </row>
    <row r="794" spans="1:8" x14ac:dyDescent="0.3">
      <c r="A794" t="str">
        <v>Hellgrove</v>
      </c>
      <c r="B794" t="str">
        <v>Beastmaster</v>
      </c>
      <c r="C794" t="str" cm="1">
        <f t="array" ref="C794">_xlfn.XLOOKUP(1,([3]!players[name]=A794)*([3]!players[hero_name]=B794),[3]!players[lane_name])</f>
        <v>Carry</v>
      </c>
      <c r="D794">
        <f>COUNTIFS([3]!players[name],A794,[3]!players[hero_name],B794)</f>
        <v>1</v>
      </c>
      <c r="E794">
        <f>COUNTIFS([3]!players[name],A794,[3]!players[hero_name],B794, [3]!players[win], 1)</f>
        <v>1</v>
      </c>
      <c r="F794" s="1">
        <f t="shared" si="12"/>
        <v>1</v>
      </c>
      <c r="G794" s="2">
        <f>AVERAGEIFS([3]!players[gold_per_min], [3]!players[name],A794,[3]!players[hero_name],B794)</f>
        <v>821</v>
      </c>
      <c r="H794" s="2">
        <f>AVERAGEIFS([3]!players[xp_per_min], [3]!players[name],A794,[3]!players[hero_name],B794)</f>
        <v>1339</v>
      </c>
    </row>
    <row r="795" spans="1:8" x14ac:dyDescent="0.3">
      <c r="A795" t="str">
        <v>Hellgrove</v>
      </c>
      <c r="B795" t="str">
        <v>Lone Druid</v>
      </c>
      <c r="C795" t="str" cm="1">
        <f t="array" ref="C795">_xlfn.XLOOKUP(1,([3]!players[name]=A795)*([3]!players[hero_name]=B795),[3]!players[lane_name])</f>
        <v>Carry</v>
      </c>
      <c r="D795">
        <f>COUNTIFS([3]!players[name],A795,[3]!players[hero_name],B795)</f>
        <v>2</v>
      </c>
      <c r="E795">
        <f>COUNTIFS([3]!players[name],A795,[3]!players[hero_name],B795, [3]!players[win], 1)</f>
        <v>2</v>
      </c>
      <c r="F795" s="1">
        <f t="shared" si="12"/>
        <v>1</v>
      </c>
      <c r="G795" s="2">
        <f>AVERAGEIFS([3]!players[gold_per_min], [3]!players[name],A795,[3]!players[hero_name],B795)</f>
        <v>778.5</v>
      </c>
      <c r="H795" s="2">
        <f>AVERAGEIFS([3]!players[xp_per_min], [3]!players[name],A795,[3]!players[hero_name],B795)</f>
        <v>996</v>
      </c>
    </row>
    <row r="796" spans="1:8" x14ac:dyDescent="0.3">
      <c r="A796" t="str">
        <v>Hellgrove</v>
      </c>
      <c r="B796" t="str">
        <v>Troll Warlord</v>
      </c>
      <c r="C796" t="str" cm="1">
        <f t="array" ref="C796">_xlfn.XLOOKUP(1,([3]!players[name]=A796)*([3]!players[hero_name]=B796),[3]!players[lane_name])</f>
        <v>Carry</v>
      </c>
      <c r="D796">
        <f>COUNTIFS([3]!players[name],A796,[3]!players[hero_name],B796)</f>
        <v>4</v>
      </c>
      <c r="E796">
        <f>COUNTIFS([3]!players[name],A796,[3]!players[hero_name],B796, [3]!players[win], 1)</f>
        <v>3</v>
      </c>
      <c r="F796" s="1">
        <f t="shared" si="12"/>
        <v>0.75</v>
      </c>
      <c r="G796" s="2">
        <f>AVERAGEIFS([3]!players[gold_per_min], [3]!players[name],A796,[3]!players[hero_name],B796)</f>
        <v>590</v>
      </c>
      <c r="H796" s="2">
        <f>AVERAGEIFS([3]!players[xp_per_min], [3]!players[name],A796,[3]!players[hero_name],B796)</f>
        <v>633.75</v>
      </c>
    </row>
    <row r="797" spans="1:8" x14ac:dyDescent="0.3">
      <c r="A797" t="str">
        <v>Hellgrove</v>
      </c>
      <c r="B797" t="str">
        <v>Phantom Assassin</v>
      </c>
      <c r="C797" t="str" cm="1">
        <f t="array" ref="C797">_xlfn.XLOOKUP(1,([3]!players[name]=A797)*([3]!players[hero_name]=B797),[3]!players[lane_name])</f>
        <v>Carry</v>
      </c>
      <c r="D797">
        <f>COUNTIFS([3]!players[name],A797,[3]!players[hero_name],B797)</f>
        <v>3</v>
      </c>
      <c r="E797">
        <f>COUNTIFS([3]!players[name],A797,[3]!players[hero_name],B797, [3]!players[win], 1)</f>
        <v>2</v>
      </c>
      <c r="F797" s="1">
        <f t="shared" si="12"/>
        <v>0.66666666666666663</v>
      </c>
      <c r="G797" s="2">
        <f>AVERAGEIFS([3]!players[gold_per_min], [3]!players[name],A797,[3]!players[hero_name],B797)</f>
        <v>687.33333333333337</v>
      </c>
      <c r="H797" s="2">
        <f>AVERAGEIFS([3]!players[xp_per_min], [3]!players[name],A797,[3]!players[hero_name],B797)</f>
        <v>830.66666666666663</v>
      </c>
    </row>
    <row r="798" spans="1:8" x14ac:dyDescent="0.3">
      <c r="A798" t="str">
        <v>Hellgrove</v>
      </c>
      <c r="B798" t="str">
        <v>Chaos Knight</v>
      </c>
      <c r="C798" t="str" cm="1">
        <f t="array" ref="C798">_xlfn.XLOOKUP(1,([3]!players[name]=A798)*([3]!players[hero_name]=B798),[3]!players[lane_name])</f>
        <v>Carry</v>
      </c>
      <c r="D798">
        <f>COUNTIFS([3]!players[name],A798,[3]!players[hero_name],B798)</f>
        <v>2</v>
      </c>
      <c r="E798">
        <f>COUNTIFS([3]!players[name],A798,[3]!players[hero_name],B798, [3]!players[win], 1)</f>
        <v>2</v>
      </c>
      <c r="F798" s="1">
        <f t="shared" si="12"/>
        <v>1</v>
      </c>
      <c r="G798" s="2">
        <f>AVERAGEIFS([3]!players[gold_per_min], [3]!players[name],A798,[3]!players[hero_name],B798)</f>
        <v>648.5</v>
      </c>
      <c r="H798" s="2">
        <f>AVERAGEIFS([3]!players[xp_per_min], [3]!players[name],A798,[3]!players[hero_name],B798)</f>
        <v>954.5</v>
      </c>
    </row>
    <row r="799" spans="1:8" x14ac:dyDescent="0.3">
      <c r="A799" t="str">
        <v>Hellgrove</v>
      </c>
      <c r="B799" t="str">
        <v>Monkey King</v>
      </c>
      <c r="C799" t="str" cm="1">
        <f t="array" ref="C799">_xlfn.XLOOKUP(1,([3]!players[name]=A799)*([3]!players[hero_name]=B799),[3]!players[lane_name])</f>
        <v>Carry</v>
      </c>
      <c r="D799">
        <f>COUNTIFS([3]!players[name],A799,[3]!players[hero_name],B799)</f>
        <v>4</v>
      </c>
      <c r="E799">
        <f>COUNTIFS([3]!players[name],A799,[3]!players[hero_name],B799, [3]!players[win], 1)</f>
        <v>2</v>
      </c>
      <c r="F799" s="1">
        <f t="shared" si="12"/>
        <v>0.5</v>
      </c>
      <c r="G799" s="2">
        <f>AVERAGEIFS([3]!players[gold_per_min], [3]!players[name],A799,[3]!players[hero_name],B799)</f>
        <v>610.5</v>
      </c>
      <c r="H799" s="2">
        <f>AVERAGEIFS([3]!players[xp_per_min], [3]!players[name],A799,[3]!players[hero_name],B799)</f>
        <v>758.5</v>
      </c>
    </row>
    <row r="800" spans="1:8" x14ac:dyDescent="0.3">
      <c r="A800" t="str">
        <v>Hellgrove</v>
      </c>
      <c r="B800" t="str">
        <v>Viper</v>
      </c>
      <c r="C800" t="str" cm="1">
        <f t="array" ref="C800">_xlfn.XLOOKUP(1,([3]!players[name]=A800)*([3]!players[hero_name]=B800),[3]!players[lane_name])</f>
        <v>Carry</v>
      </c>
      <c r="D800">
        <f>COUNTIFS([3]!players[name],A800,[3]!players[hero_name],B800)</f>
        <v>2</v>
      </c>
      <c r="E800">
        <f>COUNTIFS([3]!players[name],A800,[3]!players[hero_name],B800, [3]!players[win], 1)</f>
        <v>1</v>
      </c>
      <c r="F800" s="1">
        <f t="shared" si="12"/>
        <v>0.5</v>
      </c>
      <c r="G800" s="2">
        <f>AVERAGEIFS([3]!players[gold_per_min], [3]!players[name],A800,[3]!players[hero_name],B800)</f>
        <v>756</v>
      </c>
      <c r="H800" s="2">
        <f>AVERAGEIFS([3]!players[xp_per_min], [3]!players[name],A800,[3]!players[hero_name],B800)</f>
        <v>956.5</v>
      </c>
    </row>
    <row r="801" spans="1:8" x14ac:dyDescent="0.3">
      <c r="A801" t="str">
        <v>Hellgrove</v>
      </c>
      <c r="B801" t="str">
        <v>Terrorblade</v>
      </c>
      <c r="C801" t="str" cm="1">
        <f t="array" ref="C801">_xlfn.XLOOKUP(1,([3]!players[name]=A801)*([3]!players[hero_name]=B801),[3]!players[lane_name])</f>
        <v>Carry</v>
      </c>
      <c r="D801">
        <f>COUNTIFS([3]!players[name],A801,[3]!players[hero_name],B801)</f>
        <v>2</v>
      </c>
      <c r="E801">
        <f>COUNTIFS([3]!players[name],A801,[3]!players[hero_name],B801, [3]!players[win], 1)</f>
        <v>2</v>
      </c>
      <c r="F801" s="1">
        <f t="shared" si="12"/>
        <v>1</v>
      </c>
      <c r="G801" s="2">
        <f>AVERAGEIFS([3]!players[gold_per_min], [3]!players[name],A801,[3]!players[hero_name],B801)</f>
        <v>590</v>
      </c>
      <c r="H801" s="2">
        <f>AVERAGEIFS([3]!players[xp_per_min], [3]!players[name],A801,[3]!players[hero_name],B801)</f>
        <v>746</v>
      </c>
    </row>
    <row r="802" spans="1:8" x14ac:dyDescent="0.3">
      <c r="A802" t="str">
        <v>Hellgrove</v>
      </c>
      <c r="B802" t="str">
        <v>Razor</v>
      </c>
      <c r="C802" t="str" cm="1">
        <f t="array" ref="C802">_xlfn.XLOOKUP(1,([3]!players[name]=A802)*([3]!players[hero_name]=B802),[3]!players[lane_name])</f>
        <v>Carry</v>
      </c>
      <c r="D802">
        <f>COUNTIFS([3]!players[name],A802,[3]!players[hero_name],B802)</f>
        <v>3</v>
      </c>
      <c r="E802">
        <f>COUNTIFS([3]!players[name],A802,[3]!players[hero_name],B802, [3]!players[win], 1)</f>
        <v>2</v>
      </c>
      <c r="F802" s="1">
        <f t="shared" si="12"/>
        <v>0.66666666666666663</v>
      </c>
      <c r="G802" s="2">
        <f>AVERAGEIFS([3]!players[gold_per_min], [3]!players[name],A802,[3]!players[hero_name],B802)</f>
        <v>667.33333333333337</v>
      </c>
      <c r="H802" s="2">
        <f>AVERAGEIFS([3]!players[xp_per_min], [3]!players[name],A802,[3]!players[hero_name],B802)</f>
        <v>895.33333333333337</v>
      </c>
    </row>
    <row r="803" spans="1:8" x14ac:dyDescent="0.3">
      <c r="A803" t="str">
        <v>Hellgrove</v>
      </c>
      <c r="B803" t="str">
        <v>Faceless Void</v>
      </c>
      <c r="C803" t="str" cm="1">
        <f t="array" ref="C803">_xlfn.XLOOKUP(1,([3]!players[name]=A803)*([3]!players[hero_name]=B803),[3]!players[lane_name])</f>
        <v>Carry</v>
      </c>
      <c r="D803">
        <f>COUNTIFS([3]!players[name],A803,[3]!players[hero_name],B803)</f>
        <v>5</v>
      </c>
      <c r="E803">
        <f>COUNTIFS([3]!players[name],A803,[3]!players[hero_name],B803, [3]!players[win], 1)</f>
        <v>1</v>
      </c>
      <c r="F803" s="1">
        <f t="shared" si="12"/>
        <v>0.2</v>
      </c>
      <c r="G803" s="2">
        <f>AVERAGEIFS([3]!players[gold_per_min], [3]!players[name],A803,[3]!players[hero_name],B803)</f>
        <v>575.20000000000005</v>
      </c>
      <c r="H803" s="2">
        <f>AVERAGEIFS([3]!players[xp_per_min], [3]!players[name],A803,[3]!players[hero_name],B803)</f>
        <v>757.4</v>
      </c>
    </row>
    <row r="804" spans="1:8" x14ac:dyDescent="0.3">
      <c r="A804" t="str">
        <v>Hellgrove</v>
      </c>
      <c r="B804" t="str">
        <v>Dragon Knight</v>
      </c>
      <c r="C804" t="str" cm="1">
        <f t="array" ref="C804">_xlfn.XLOOKUP(1,([3]!players[name]=A804)*([3]!players[hero_name]=B804),[3]!players[lane_name])</f>
        <v>Carry</v>
      </c>
      <c r="D804">
        <f>COUNTIFS([3]!players[name],A804,[3]!players[hero_name],B804)</f>
        <v>1</v>
      </c>
      <c r="E804">
        <f>COUNTIFS([3]!players[name],A804,[3]!players[hero_name],B804, [3]!players[win], 1)</f>
        <v>0</v>
      </c>
      <c r="F804" s="1">
        <f t="shared" si="12"/>
        <v>0</v>
      </c>
      <c r="G804" s="2">
        <f>AVERAGEIFS([3]!players[gold_per_min], [3]!players[name],A804,[3]!players[hero_name],B804)</f>
        <v>573</v>
      </c>
      <c r="H804" s="2">
        <f>AVERAGEIFS([3]!players[xp_per_min], [3]!players[name],A804,[3]!players[hero_name],B804)</f>
        <v>678</v>
      </c>
    </row>
    <row r="805" spans="1:8" x14ac:dyDescent="0.3">
      <c r="A805" t="str">
        <v>Hellgrove</v>
      </c>
      <c r="B805" t="str">
        <v>Huskar</v>
      </c>
      <c r="C805" t="str" cm="1">
        <f t="array" ref="C805">_xlfn.XLOOKUP(1,([3]!players[name]=A805)*([3]!players[hero_name]=B805),[3]!players[lane_name])</f>
        <v>Carry</v>
      </c>
      <c r="D805">
        <f>COUNTIFS([3]!players[name],A805,[3]!players[hero_name],B805)</f>
        <v>1</v>
      </c>
      <c r="E805">
        <f>COUNTIFS([3]!players[name],A805,[3]!players[hero_name],B805, [3]!players[win], 1)</f>
        <v>0</v>
      </c>
      <c r="F805" s="1">
        <f t="shared" si="12"/>
        <v>0</v>
      </c>
      <c r="G805" s="2">
        <f>AVERAGEIFS([3]!players[gold_per_min], [3]!players[name],A805,[3]!players[hero_name],B805)</f>
        <v>526</v>
      </c>
      <c r="H805" s="2">
        <f>AVERAGEIFS([3]!players[xp_per_min], [3]!players[name],A805,[3]!players[hero_name],B805)</f>
        <v>482</v>
      </c>
    </row>
    <row r="806" spans="1:8" x14ac:dyDescent="0.3">
      <c r="A806" t="str">
        <v>Hellgrove</v>
      </c>
      <c r="B806" t="str">
        <v>Muerta</v>
      </c>
      <c r="C806" t="str" cm="1">
        <f t="array" ref="C806">_xlfn.XLOOKUP(1,([3]!players[name]=A806)*([3]!players[hero_name]=B806),[3]!players[lane_name])</f>
        <v>Carry</v>
      </c>
      <c r="D806">
        <f>COUNTIFS([3]!players[name],A806,[3]!players[hero_name],B806)</f>
        <v>3</v>
      </c>
      <c r="E806">
        <f>COUNTIFS([3]!players[name],A806,[3]!players[hero_name],B806, [3]!players[win], 1)</f>
        <v>1</v>
      </c>
      <c r="F806" s="1">
        <f t="shared" si="12"/>
        <v>0.33333333333333331</v>
      </c>
      <c r="G806" s="2">
        <f>AVERAGEIFS([3]!players[gold_per_min], [3]!players[name],A806,[3]!players[hero_name],B806)</f>
        <v>667.33333333333337</v>
      </c>
      <c r="H806" s="2">
        <f>AVERAGEIFS([3]!players[xp_per_min], [3]!players[name],A806,[3]!players[hero_name],B806)</f>
        <v>814.33333333333337</v>
      </c>
    </row>
    <row r="807" spans="1:8" x14ac:dyDescent="0.3">
      <c r="A807" t="str">
        <v>Hellgrove</v>
      </c>
      <c r="B807" t="str">
        <v>Alchemist</v>
      </c>
      <c r="C807" t="str" cm="1">
        <f t="array" ref="C807">_xlfn.XLOOKUP(1,([3]!players[name]=A807)*([3]!players[hero_name]=B807),[3]!players[lane_name])</f>
        <v>Carry</v>
      </c>
      <c r="D807">
        <f>COUNTIFS([3]!players[name],A807,[3]!players[hero_name],B807)</f>
        <v>4</v>
      </c>
      <c r="E807">
        <f>COUNTIFS([3]!players[name],A807,[3]!players[hero_name],B807, [3]!players[win], 1)</f>
        <v>3</v>
      </c>
      <c r="F807" s="1">
        <f t="shared" si="12"/>
        <v>0.75</v>
      </c>
      <c r="G807" s="2">
        <f>AVERAGEIFS([3]!players[gold_per_min], [3]!players[name],A807,[3]!players[hero_name],B807)</f>
        <v>806.5</v>
      </c>
      <c r="H807" s="2">
        <f>AVERAGEIFS([3]!players[xp_per_min], [3]!players[name],A807,[3]!players[hero_name],B807)</f>
        <v>822.75</v>
      </c>
    </row>
    <row r="808" spans="1:8" x14ac:dyDescent="0.3">
      <c r="A808" t="str">
        <v>Hellgrove</v>
      </c>
      <c r="B808" t="str">
        <v>Tiny</v>
      </c>
      <c r="C808" t="str" cm="1">
        <f t="array" ref="C808">_xlfn.XLOOKUP(1,([3]!players[name]=A808)*([3]!players[hero_name]=B808),[3]!players[lane_name])</f>
        <v>Carry</v>
      </c>
      <c r="D808">
        <f>COUNTIFS([3]!players[name],A808,[3]!players[hero_name],B808)</f>
        <v>1</v>
      </c>
      <c r="E808">
        <f>COUNTIFS([3]!players[name],A808,[3]!players[hero_name],B808, [3]!players[win], 1)</f>
        <v>1</v>
      </c>
      <c r="F808" s="1">
        <f t="shared" si="12"/>
        <v>1</v>
      </c>
      <c r="G808" s="2">
        <f>AVERAGEIFS([3]!players[gold_per_min], [3]!players[name],A808,[3]!players[hero_name],B808)</f>
        <v>871</v>
      </c>
      <c r="H808" s="2">
        <f>AVERAGEIFS([3]!players[xp_per_min], [3]!players[name],A808,[3]!players[hero_name],B808)</f>
        <v>1243</v>
      </c>
    </row>
    <row r="809" spans="1:8" x14ac:dyDescent="0.3">
      <c r="A809" t="str">
        <v>Hellgrove</v>
      </c>
      <c r="B809" t="str">
        <v>Lich</v>
      </c>
      <c r="C809" t="str" cm="1">
        <f t="array" ref="C809">_xlfn.XLOOKUP(1,([3]!players[name]=A809)*([3]!players[hero_name]=B809),[3]!players[lane_name])</f>
        <v>Hard Support</v>
      </c>
      <c r="D809">
        <f>COUNTIFS([3]!players[name],A809,[3]!players[hero_name],B809)</f>
        <v>1</v>
      </c>
      <c r="E809">
        <f>COUNTIFS([3]!players[name],A809,[3]!players[hero_name],B809, [3]!players[win], 1)</f>
        <v>0</v>
      </c>
      <c r="F809" s="1">
        <f t="shared" si="12"/>
        <v>0</v>
      </c>
      <c r="G809" s="2">
        <f>AVERAGEIFS([3]!players[gold_per_min], [3]!players[name],A809,[3]!players[hero_name],B809)</f>
        <v>192</v>
      </c>
      <c r="H809" s="2">
        <f>AVERAGEIFS([3]!players[xp_per_min], [3]!players[name],A809,[3]!players[hero_name],B809)</f>
        <v>366</v>
      </c>
    </row>
    <row r="810" spans="1:8" x14ac:dyDescent="0.3">
      <c r="A810" t="str">
        <v>Hellgrove</v>
      </c>
      <c r="B810" t="str">
        <v>Spectre</v>
      </c>
      <c r="C810" t="str" cm="1">
        <f t="array" ref="C810">_xlfn.XLOOKUP(1,([3]!players[name]=A810)*([3]!players[hero_name]=B810),[3]!players[lane_name])</f>
        <v>Carry</v>
      </c>
      <c r="D810">
        <f>COUNTIFS([3]!players[name],A810,[3]!players[hero_name],B810)</f>
        <v>1</v>
      </c>
      <c r="E810">
        <f>COUNTIFS([3]!players[name],A810,[3]!players[hero_name],B810, [3]!players[win], 1)</f>
        <v>0</v>
      </c>
      <c r="F810" s="1">
        <f t="shared" si="12"/>
        <v>0</v>
      </c>
      <c r="G810" s="2">
        <f>AVERAGEIFS([3]!players[gold_per_min], [3]!players[name],A810,[3]!players[hero_name],B810)</f>
        <v>440</v>
      </c>
      <c r="H810" s="2">
        <f>AVERAGEIFS([3]!players[xp_per_min], [3]!players[name],A810,[3]!players[hero_name],B810)</f>
        <v>580</v>
      </c>
    </row>
    <row r="811" spans="1:8" x14ac:dyDescent="0.3">
      <c r="A811" t="str">
        <v>Hellgrove</v>
      </c>
      <c r="B811" t="str">
        <v>Phantom Lancer</v>
      </c>
      <c r="C811" t="str" cm="1">
        <f t="array" ref="C811">_xlfn.XLOOKUP(1,([3]!players[name]=A811)*([3]!players[hero_name]=B811),[3]!players[lane_name])</f>
        <v>Carry</v>
      </c>
      <c r="D811">
        <f>COUNTIFS([3]!players[name],A811,[3]!players[hero_name],B811)</f>
        <v>1</v>
      </c>
      <c r="E811">
        <f>COUNTIFS([3]!players[name],A811,[3]!players[hero_name],B811, [3]!players[win], 1)</f>
        <v>0</v>
      </c>
      <c r="F811" s="1">
        <f t="shared" si="12"/>
        <v>0</v>
      </c>
      <c r="G811" s="2">
        <f>AVERAGEIFS([3]!players[gold_per_min], [3]!players[name],A811,[3]!players[hero_name],B811)</f>
        <v>597</v>
      </c>
      <c r="H811" s="2">
        <f>AVERAGEIFS([3]!players[xp_per_min], [3]!players[name],A811,[3]!players[hero_name],B811)</f>
        <v>720</v>
      </c>
    </row>
    <row r="812" spans="1:8" x14ac:dyDescent="0.3">
      <c r="A812" t="str">
        <v>Hellscream</v>
      </c>
      <c r="B812" t="str">
        <v>Keeper of the Light</v>
      </c>
      <c r="C812" t="str" cm="1">
        <f t="array" ref="C812">_xlfn.XLOOKUP(1,([3]!players[name]=A812)*([3]!players[hero_name]=B812),[3]!players[lane_name])</f>
        <v>Roam</v>
      </c>
      <c r="D812">
        <f>COUNTIFS([3]!players[name],A812,[3]!players[hero_name],B812)</f>
        <v>1</v>
      </c>
      <c r="E812">
        <f>COUNTIFS([3]!players[name],A812,[3]!players[hero_name],B812, [3]!players[win], 1)</f>
        <v>0</v>
      </c>
      <c r="F812" s="1">
        <f t="shared" si="12"/>
        <v>0</v>
      </c>
      <c r="G812" s="2">
        <f>AVERAGEIFS([3]!players[gold_per_min], [3]!players[name],A812,[3]!players[hero_name],B812)</f>
        <v>314</v>
      </c>
      <c r="H812" s="2">
        <f>AVERAGEIFS([3]!players[xp_per_min], [3]!players[name],A812,[3]!players[hero_name],B812)</f>
        <v>341</v>
      </c>
    </row>
    <row r="813" spans="1:8" x14ac:dyDescent="0.3">
      <c r="A813" t="str">
        <v>Hellscream</v>
      </c>
      <c r="B813" t="str">
        <v>Rubick</v>
      </c>
      <c r="C813" t="str" cm="1">
        <f t="array" ref="C813">_xlfn.XLOOKUP(1,([3]!players[name]=A813)*([3]!players[hero_name]=B813),[3]!players[lane_name])</f>
        <v>Hard Support</v>
      </c>
      <c r="D813">
        <f>COUNTIFS([3]!players[name],A813,[3]!players[hero_name],B813)</f>
        <v>9</v>
      </c>
      <c r="E813">
        <f>COUNTIFS([3]!players[name],A813,[3]!players[hero_name],B813, [3]!players[win], 1)</f>
        <v>3</v>
      </c>
      <c r="F813" s="1">
        <f t="shared" si="12"/>
        <v>0.33333333333333331</v>
      </c>
      <c r="G813" s="2">
        <f>AVERAGEIFS([3]!players[gold_per_min], [3]!players[name],A813,[3]!players[hero_name],B813)</f>
        <v>319</v>
      </c>
      <c r="H813" s="2">
        <f>AVERAGEIFS([3]!players[xp_per_min], [3]!players[name],A813,[3]!players[hero_name],B813)</f>
        <v>429.33333333333331</v>
      </c>
    </row>
    <row r="814" spans="1:8" x14ac:dyDescent="0.3">
      <c r="A814" t="str">
        <v>Hellscream</v>
      </c>
      <c r="B814" t="str">
        <v>Earth Spirit</v>
      </c>
      <c r="C814" t="str" cm="1">
        <f t="array" ref="C814">_xlfn.XLOOKUP(1,([3]!players[name]=A814)*([3]!players[hero_name]=B814),[3]!players[lane_name])</f>
        <v>Roam</v>
      </c>
      <c r="D814">
        <f>COUNTIFS([3]!players[name],A814,[3]!players[hero_name],B814)</f>
        <v>2</v>
      </c>
      <c r="E814">
        <f>COUNTIFS([3]!players[name],A814,[3]!players[hero_name],B814, [3]!players[win], 1)</f>
        <v>2</v>
      </c>
      <c r="F814" s="1">
        <f t="shared" si="12"/>
        <v>1</v>
      </c>
      <c r="G814" s="2">
        <f>AVERAGEIFS([3]!players[gold_per_min], [3]!players[name],A814,[3]!players[hero_name],B814)</f>
        <v>360.5</v>
      </c>
      <c r="H814" s="2">
        <f>AVERAGEIFS([3]!players[xp_per_min], [3]!players[name],A814,[3]!players[hero_name],B814)</f>
        <v>542.5</v>
      </c>
    </row>
    <row r="815" spans="1:8" x14ac:dyDescent="0.3">
      <c r="A815" t="str">
        <v>Hellscream</v>
      </c>
      <c r="B815" t="str">
        <v>Shadow Demon</v>
      </c>
      <c r="C815" t="str" cm="1">
        <f t="array" ref="C815">_xlfn.XLOOKUP(1,([3]!players[name]=A815)*([3]!players[hero_name]=B815),[3]!players[lane_name])</f>
        <v>Hard Support</v>
      </c>
      <c r="D815">
        <f>COUNTIFS([3]!players[name],A815,[3]!players[hero_name],B815)</f>
        <v>1</v>
      </c>
      <c r="E815">
        <f>COUNTIFS([3]!players[name],A815,[3]!players[hero_name],B815, [3]!players[win], 1)</f>
        <v>1</v>
      </c>
      <c r="F815" s="1">
        <f t="shared" si="12"/>
        <v>1</v>
      </c>
      <c r="G815" s="2">
        <f>AVERAGEIFS([3]!players[gold_per_min], [3]!players[name],A815,[3]!players[hero_name],B815)</f>
        <v>338</v>
      </c>
      <c r="H815" s="2">
        <f>AVERAGEIFS([3]!players[xp_per_min], [3]!players[name],A815,[3]!players[hero_name],B815)</f>
        <v>517</v>
      </c>
    </row>
    <row r="816" spans="1:8" x14ac:dyDescent="0.3">
      <c r="A816" t="str">
        <v>Hellscream</v>
      </c>
      <c r="B816" t="str">
        <v>Lion</v>
      </c>
      <c r="C816" t="str" cm="1">
        <f t="array" ref="C816">_xlfn.XLOOKUP(1,([3]!players[name]=A816)*([3]!players[hero_name]=B816),[3]!players[lane_name])</f>
        <v>Soft Support</v>
      </c>
      <c r="D816">
        <f>COUNTIFS([3]!players[name],A816,[3]!players[hero_name],B816)</f>
        <v>1</v>
      </c>
      <c r="E816">
        <f>COUNTIFS([3]!players[name],A816,[3]!players[hero_name],B816, [3]!players[win], 1)</f>
        <v>1</v>
      </c>
      <c r="F816" s="1">
        <f t="shared" si="12"/>
        <v>1</v>
      </c>
      <c r="G816" s="2">
        <f>AVERAGEIFS([3]!players[gold_per_min], [3]!players[name],A816,[3]!players[hero_name],B816)</f>
        <v>392</v>
      </c>
      <c r="H816" s="2">
        <f>AVERAGEIFS([3]!players[xp_per_min], [3]!players[name],A816,[3]!players[hero_name],B816)</f>
        <v>545</v>
      </c>
    </row>
    <row r="817" spans="1:8" x14ac:dyDescent="0.3">
      <c r="A817" t="str">
        <v>Hellscream</v>
      </c>
      <c r="B817" t="str">
        <v>Batrider</v>
      </c>
      <c r="C817" t="str" cm="1">
        <f t="array" ref="C817">_xlfn.XLOOKUP(1,([3]!players[name]=A817)*([3]!players[hero_name]=B817),[3]!players[lane_name])</f>
        <v>Roam</v>
      </c>
      <c r="D817">
        <f>COUNTIFS([3]!players[name],A817,[3]!players[hero_name],B817)</f>
        <v>1</v>
      </c>
      <c r="E817">
        <f>COUNTIFS([3]!players[name],A817,[3]!players[hero_name],B817, [3]!players[win], 1)</f>
        <v>0</v>
      </c>
      <c r="F817" s="1">
        <f t="shared" si="12"/>
        <v>0</v>
      </c>
      <c r="G817" s="2">
        <f>AVERAGEIFS([3]!players[gold_per_min], [3]!players[name],A817,[3]!players[hero_name],B817)</f>
        <v>256</v>
      </c>
      <c r="H817" s="2">
        <f>AVERAGEIFS([3]!players[xp_per_min], [3]!players[name],A817,[3]!players[hero_name],B817)</f>
        <v>251</v>
      </c>
    </row>
    <row r="818" spans="1:8" x14ac:dyDescent="0.3">
      <c r="A818" t="str">
        <v>Hellscream</v>
      </c>
      <c r="B818" t="str">
        <v>Marci</v>
      </c>
      <c r="C818" t="str" cm="1">
        <f t="array" ref="C818">_xlfn.XLOOKUP(1,([3]!players[name]=A818)*([3]!players[hero_name]=B818),[3]!players[lane_name])</f>
        <v>Roam</v>
      </c>
      <c r="D818">
        <f>COUNTIFS([3]!players[name],A818,[3]!players[hero_name],B818)</f>
        <v>1</v>
      </c>
      <c r="E818">
        <f>COUNTIFS([3]!players[name],A818,[3]!players[hero_name],B818, [3]!players[win], 1)</f>
        <v>0</v>
      </c>
      <c r="F818" s="1">
        <f t="shared" si="12"/>
        <v>0</v>
      </c>
      <c r="G818" s="2">
        <f>AVERAGEIFS([3]!players[gold_per_min], [3]!players[name],A818,[3]!players[hero_name],B818)</f>
        <v>248</v>
      </c>
      <c r="H818" s="2">
        <f>AVERAGEIFS([3]!players[xp_per_min], [3]!players[name],A818,[3]!players[hero_name],B818)</f>
        <v>366</v>
      </c>
    </row>
    <row r="819" spans="1:8" x14ac:dyDescent="0.3">
      <c r="A819" t="str">
        <v>Hellscream</v>
      </c>
      <c r="B819" t="str">
        <v>Tusk</v>
      </c>
      <c r="C819" t="str" cm="1">
        <f t="array" ref="C819">_xlfn.XLOOKUP(1,([3]!players[name]=A819)*([3]!players[hero_name]=B819),[3]!players[lane_name])</f>
        <v>Hard Support</v>
      </c>
      <c r="D819">
        <f>COUNTIFS([3]!players[name],A819,[3]!players[hero_name],B819)</f>
        <v>3</v>
      </c>
      <c r="E819">
        <f>COUNTIFS([3]!players[name],A819,[3]!players[hero_name],B819, [3]!players[win], 1)</f>
        <v>3</v>
      </c>
      <c r="F819" s="1">
        <f t="shared" si="12"/>
        <v>1</v>
      </c>
      <c r="G819" s="2">
        <f>AVERAGEIFS([3]!players[gold_per_min], [3]!players[name],A819,[3]!players[hero_name],B819)</f>
        <v>353</v>
      </c>
      <c r="H819" s="2">
        <f>AVERAGEIFS([3]!players[xp_per_min], [3]!players[name],A819,[3]!players[hero_name],B819)</f>
        <v>552</v>
      </c>
    </row>
    <row r="820" spans="1:8" x14ac:dyDescent="0.3">
      <c r="A820" t="str">
        <v>Hellscream</v>
      </c>
      <c r="B820" t="str">
        <v>Hoodwink</v>
      </c>
      <c r="C820" t="str" cm="1">
        <f t="array" ref="C820">_xlfn.XLOOKUP(1,([3]!players[name]=A820)*([3]!players[hero_name]=B820),[3]!players[lane_name])</f>
        <v>Soft Support</v>
      </c>
      <c r="D820">
        <f>COUNTIFS([3]!players[name],A820,[3]!players[hero_name],B820)</f>
        <v>4</v>
      </c>
      <c r="E820">
        <f>COUNTIFS([3]!players[name],A820,[3]!players[hero_name],B820, [3]!players[win], 1)</f>
        <v>2</v>
      </c>
      <c r="F820" s="1">
        <f t="shared" si="12"/>
        <v>0.5</v>
      </c>
      <c r="G820" s="2">
        <f>AVERAGEIFS([3]!players[gold_per_min], [3]!players[name],A820,[3]!players[hero_name],B820)</f>
        <v>313</v>
      </c>
      <c r="H820" s="2">
        <f>AVERAGEIFS([3]!players[xp_per_min], [3]!players[name],A820,[3]!players[hero_name],B820)</f>
        <v>441.75</v>
      </c>
    </row>
    <row r="821" spans="1:8" x14ac:dyDescent="0.3">
      <c r="A821" t="str">
        <v>Hellscream</v>
      </c>
      <c r="B821" t="str">
        <v>Leshrac</v>
      </c>
      <c r="C821" t="str" cm="1">
        <f t="array" ref="C821">_xlfn.XLOOKUP(1,([3]!players[name]=A821)*([3]!players[hero_name]=B821),[3]!players[lane_name])</f>
        <v>Soft Support</v>
      </c>
      <c r="D821">
        <f>COUNTIFS([3]!players[name],A821,[3]!players[hero_name],B821)</f>
        <v>1</v>
      </c>
      <c r="E821">
        <f>COUNTIFS([3]!players[name],A821,[3]!players[hero_name],B821, [3]!players[win], 1)</f>
        <v>0</v>
      </c>
      <c r="F821" s="1">
        <f t="shared" si="12"/>
        <v>0</v>
      </c>
      <c r="G821" s="2">
        <f>AVERAGEIFS([3]!players[gold_per_min], [3]!players[name],A821,[3]!players[hero_name],B821)</f>
        <v>326</v>
      </c>
      <c r="H821" s="2">
        <f>AVERAGEIFS([3]!players[xp_per_min], [3]!players[name],A821,[3]!players[hero_name],B821)</f>
        <v>342</v>
      </c>
    </row>
    <row r="822" spans="1:8" x14ac:dyDescent="0.3">
      <c r="A822" t="str">
        <v>Hellscream</v>
      </c>
      <c r="B822" t="str">
        <v>Grimstroke</v>
      </c>
      <c r="C822" t="str" cm="1">
        <f t="array" ref="C822">_xlfn.XLOOKUP(1,([3]!players[name]=A822)*([3]!players[hero_name]=B822),[3]!players[lane_name])</f>
        <v>Soft Support</v>
      </c>
      <c r="D822">
        <f>COUNTIFS([3]!players[name],A822,[3]!players[hero_name],B822)</f>
        <v>3</v>
      </c>
      <c r="E822">
        <f>COUNTIFS([3]!players[name],A822,[3]!players[hero_name],B822, [3]!players[win], 1)</f>
        <v>0</v>
      </c>
      <c r="F822" s="1">
        <f t="shared" si="12"/>
        <v>0</v>
      </c>
      <c r="G822" s="2">
        <f>AVERAGEIFS([3]!players[gold_per_min], [3]!players[name],A822,[3]!players[hero_name],B822)</f>
        <v>308.33333333333331</v>
      </c>
      <c r="H822" s="2">
        <f>AVERAGEIFS([3]!players[xp_per_min], [3]!players[name],A822,[3]!players[hero_name],B822)</f>
        <v>375</v>
      </c>
    </row>
    <row r="823" spans="1:8" x14ac:dyDescent="0.3">
      <c r="A823" t="str">
        <v>Hermit</v>
      </c>
      <c r="B823" t="str">
        <v>Tidehunter</v>
      </c>
      <c r="C823" t="str" cm="1">
        <f t="array" ref="C823">_xlfn.XLOOKUP(1,([3]!players[name]=A823)*([3]!players[hero_name]=B823),[3]!players[lane_name])</f>
        <v>Off Lane</v>
      </c>
      <c r="D823">
        <f>COUNTIFS([3]!players[name],A823,[3]!players[hero_name],B823)</f>
        <v>3</v>
      </c>
      <c r="E823">
        <f>COUNTIFS([3]!players[name],A823,[3]!players[hero_name],B823, [3]!players[win], 1)</f>
        <v>1</v>
      </c>
      <c r="F823" s="1">
        <f t="shared" si="12"/>
        <v>0.33333333333333331</v>
      </c>
      <c r="G823" s="2">
        <f>AVERAGEIFS([3]!players[gold_per_min], [3]!players[name],A823,[3]!players[hero_name],B823)</f>
        <v>503.66666666666669</v>
      </c>
      <c r="H823" s="2">
        <f>AVERAGEIFS([3]!players[xp_per_min], [3]!players[name],A823,[3]!players[hero_name],B823)</f>
        <v>627</v>
      </c>
    </row>
    <row r="824" spans="1:8" x14ac:dyDescent="0.3">
      <c r="A824" t="str">
        <v>Hermit</v>
      </c>
      <c r="B824" t="str">
        <v>Brewmaster</v>
      </c>
      <c r="C824" t="str" cm="1">
        <f t="array" ref="C824">_xlfn.XLOOKUP(1,([3]!players[name]=A824)*([3]!players[hero_name]=B824),[3]!players[lane_name])</f>
        <v>Off Lane</v>
      </c>
      <c r="D824">
        <f>COUNTIFS([3]!players[name],A824,[3]!players[hero_name],B824)</f>
        <v>3</v>
      </c>
      <c r="E824">
        <f>COUNTIFS([3]!players[name],A824,[3]!players[hero_name],B824, [3]!players[win], 1)</f>
        <v>0</v>
      </c>
      <c r="F824" s="1">
        <f t="shared" si="12"/>
        <v>0</v>
      </c>
      <c r="G824" s="2">
        <f>AVERAGEIFS([3]!players[gold_per_min], [3]!players[name],A824,[3]!players[hero_name],B824)</f>
        <v>446.33333333333331</v>
      </c>
      <c r="H824" s="2">
        <f>AVERAGEIFS([3]!players[xp_per_min], [3]!players[name],A824,[3]!players[hero_name],B824)</f>
        <v>621.66666666666663</v>
      </c>
    </row>
    <row r="825" spans="1:8" x14ac:dyDescent="0.3">
      <c r="A825" t="str">
        <v>Hermit</v>
      </c>
      <c r="B825" t="str">
        <v>Underlord</v>
      </c>
      <c r="C825" t="str" cm="1">
        <f t="array" ref="C825">_xlfn.XLOOKUP(1,([3]!players[name]=A825)*([3]!players[hero_name]=B825),[3]!players[lane_name])</f>
        <v>Off Lane</v>
      </c>
      <c r="D825">
        <f>COUNTIFS([3]!players[name],A825,[3]!players[hero_name],B825)</f>
        <v>1</v>
      </c>
      <c r="E825">
        <f>COUNTIFS([3]!players[name],A825,[3]!players[hero_name],B825, [3]!players[win], 1)</f>
        <v>0</v>
      </c>
      <c r="F825" s="1">
        <f t="shared" si="12"/>
        <v>0</v>
      </c>
      <c r="G825" s="2">
        <f>AVERAGEIFS([3]!players[gold_per_min], [3]!players[name],A825,[3]!players[hero_name],B825)</f>
        <v>453</v>
      </c>
      <c r="H825" s="2">
        <f>AVERAGEIFS([3]!players[xp_per_min], [3]!players[name],A825,[3]!players[hero_name],B825)</f>
        <v>561</v>
      </c>
    </row>
    <row r="826" spans="1:8" x14ac:dyDescent="0.3">
      <c r="A826" t="str">
        <v>Hermit</v>
      </c>
      <c r="B826" t="str">
        <v>Slardar</v>
      </c>
      <c r="C826" t="str" cm="1">
        <f t="array" ref="C826">_xlfn.XLOOKUP(1,([3]!players[name]=A826)*([3]!players[hero_name]=B826),[3]!players[lane_name])</f>
        <v>Off Lane</v>
      </c>
      <c r="D826">
        <f>COUNTIFS([3]!players[name],A826,[3]!players[hero_name],B826)</f>
        <v>3</v>
      </c>
      <c r="E826">
        <f>COUNTIFS([3]!players[name],A826,[3]!players[hero_name],B826, [3]!players[win], 1)</f>
        <v>2</v>
      </c>
      <c r="F826" s="1">
        <f t="shared" si="12"/>
        <v>0.66666666666666663</v>
      </c>
      <c r="G826" s="2">
        <f>AVERAGEIFS([3]!players[gold_per_min], [3]!players[name],A826,[3]!players[hero_name],B826)</f>
        <v>491.33333333333331</v>
      </c>
      <c r="H826" s="2">
        <f>AVERAGEIFS([3]!players[xp_per_min], [3]!players[name],A826,[3]!players[hero_name],B826)</f>
        <v>597</v>
      </c>
    </row>
    <row r="827" spans="1:8" x14ac:dyDescent="0.3">
      <c r="A827" t="str">
        <v>Hermit</v>
      </c>
      <c r="B827" t="str">
        <v>Lycan</v>
      </c>
      <c r="C827" t="str" cm="1">
        <f t="array" ref="C827">_xlfn.XLOOKUP(1,([3]!players[name]=A827)*([3]!players[hero_name]=B827),[3]!players[lane_name])</f>
        <v>Off Lane</v>
      </c>
      <c r="D827">
        <f>COUNTIFS([3]!players[name],A827,[3]!players[hero_name],B827)</f>
        <v>1</v>
      </c>
      <c r="E827">
        <f>COUNTIFS([3]!players[name],A827,[3]!players[hero_name],B827, [3]!players[win], 1)</f>
        <v>1</v>
      </c>
      <c r="F827" s="1">
        <f t="shared" si="12"/>
        <v>1</v>
      </c>
      <c r="G827" s="2">
        <f>AVERAGEIFS([3]!players[gold_per_min], [3]!players[name],A827,[3]!players[hero_name],B827)</f>
        <v>566</v>
      </c>
      <c r="H827" s="2">
        <f>AVERAGEIFS([3]!players[xp_per_min], [3]!players[name],A827,[3]!players[hero_name],B827)</f>
        <v>543</v>
      </c>
    </row>
    <row r="828" spans="1:8" x14ac:dyDescent="0.3">
      <c r="A828" t="str">
        <v>Hermit</v>
      </c>
      <c r="B828" t="str">
        <v>Beastmaster</v>
      </c>
      <c r="C828" t="str" cm="1">
        <f t="array" ref="C828">_xlfn.XLOOKUP(1,([3]!players[name]=A828)*([3]!players[hero_name]=B828),[3]!players[lane_name])</f>
        <v>Off Lane</v>
      </c>
      <c r="D828">
        <f>COUNTIFS([3]!players[name],A828,[3]!players[hero_name],B828)</f>
        <v>1</v>
      </c>
      <c r="E828">
        <f>COUNTIFS([3]!players[name],A828,[3]!players[hero_name],B828, [3]!players[win], 1)</f>
        <v>1</v>
      </c>
      <c r="F828" s="1">
        <f t="shared" si="12"/>
        <v>1</v>
      </c>
      <c r="G828" s="2">
        <f>AVERAGEIFS([3]!players[gold_per_min], [3]!players[name],A828,[3]!players[hero_name],B828)</f>
        <v>687</v>
      </c>
      <c r="H828" s="2">
        <f>AVERAGEIFS([3]!players[xp_per_min], [3]!players[name],A828,[3]!players[hero_name],B828)</f>
        <v>619</v>
      </c>
    </row>
    <row r="829" spans="1:8" x14ac:dyDescent="0.3">
      <c r="A829" t="str">
        <v>Hyuga</v>
      </c>
      <c r="B829" t="str">
        <v>Jakiro</v>
      </c>
      <c r="C829" t="str" cm="1">
        <f t="array" ref="C829">_xlfn.XLOOKUP(1,([3]!players[name]=A829)*([3]!players[hero_name]=B829),[3]!players[lane_name])</f>
        <v>Soft Support</v>
      </c>
      <c r="D829">
        <f>COUNTIFS([3]!players[name],A829,[3]!players[hero_name],B829)</f>
        <v>3</v>
      </c>
      <c r="E829">
        <f>COUNTIFS([3]!players[name],A829,[3]!players[hero_name],B829, [3]!players[win], 1)</f>
        <v>1</v>
      </c>
      <c r="F829" s="1">
        <f t="shared" si="12"/>
        <v>0.33333333333333331</v>
      </c>
      <c r="G829" s="2">
        <f>AVERAGEIFS([3]!players[gold_per_min], [3]!players[name],A829,[3]!players[hero_name],B829)</f>
        <v>301</v>
      </c>
      <c r="H829" s="2">
        <f>AVERAGEIFS([3]!players[xp_per_min], [3]!players[name],A829,[3]!players[hero_name],B829)</f>
        <v>343.66666666666669</v>
      </c>
    </row>
    <row r="830" spans="1:8" x14ac:dyDescent="0.3">
      <c r="A830" t="str">
        <v>Hyuga</v>
      </c>
      <c r="B830" t="str">
        <v>Enchantress</v>
      </c>
      <c r="C830" t="str" cm="1">
        <f t="array" ref="C830">_xlfn.XLOOKUP(1,([3]!players[name]=A830)*([3]!players[hero_name]=B830),[3]!players[lane_name])</f>
        <v>Soft Support</v>
      </c>
      <c r="D830">
        <f>COUNTIFS([3]!players[name],A830,[3]!players[hero_name],B830)</f>
        <v>2</v>
      </c>
      <c r="E830">
        <f>COUNTIFS([3]!players[name],A830,[3]!players[hero_name],B830, [3]!players[win], 1)</f>
        <v>1</v>
      </c>
      <c r="F830" s="1">
        <f t="shared" si="12"/>
        <v>0.5</v>
      </c>
      <c r="G830" s="2">
        <f>AVERAGEIFS([3]!players[gold_per_min], [3]!players[name],A830,[3]!players[hero_name],B830)</f>
        <v>314</v>
      </c>
      <c r="H830" s="2">
        <f>AVERAGEIFS([3]!players[xp_per_min], [3]!players[name],A830,[3]!players[hero_name],B830)</f>
        <v>398.5</v>
      </c>
    </row>
    <row r="831" spans="1:8" x14ac:dyDescent="0.3">
      <c r="A831" t="str">
        <v>Hyuga</v>
      </c>
      <c r="B831" t="str">
        <v>Venomancer</v>
      </c>
      <c r="C831" t="str" cm="1">
        <f t="array" ref="C831">_xlfn.XLOOKUP(1,([3]!players[name]=A831)*([3]!players[hero_name]=B831),[3]!players[lane_name])</f>
        <v>Roam</v>
      </c>
      <c r="D831">
        <f>COUNTIFS([3]!players[name],A831,[3]!players[hero_name],B831)</f>
        <v>3</v>
      </c>
      <c r="E831">
        <f>COUNTIFS([3]!players[name],A831,[3]!players[hero_name],B831, [3]!players[win], 1)</f>
        <v>2</v>
      </c>
      <c r="F831" s="1">
        <f t="shared" si="12"/>
        <v>0.66666666666666663</v>
      </c>
      <c r="G831" s="2">
        <f>AVERAGEIFS([3]!players[gold_per_min], [3]!players[name],A831,[3]!players[hero_name],B831)</f>
        <v>340.33333333333331</v>
      </c>
      <c r="H831" s="2">
        <f>AVERAGEIFS([3]!players[xp_per_min], [3]!players[name],A831,[3]!players[hero_name],B831)</f>
        <v>401</v>
      </c>
    </row>
    <row r="832" spans="1:8" x14ac:dyDescent="0.3">
      <c r="A832" t="str">
        <v>Hyuga</v>
      </c>
      <c r="B832" t="str">
        <v>Disruptor</v>
      </c>
      <c r="C832" t="str" cm="1">
        <f t="array" ref="C832">_xlfn.XLOOKUP(1,([3]!players[name]=A832)*([3]!players[hero_name]=B832),[3]!players[lane_name])</f>
        <v>Soft Support</v>
      </c>
      <c r="D832">
        <f>COUNTIFS([3]!players[name],A832,[3]!players[hero_name],B832)</f>
        <v>4</v>
      </c>
      <c r="E832">
        <f>COUNTIFS([3]!players[name],A832,[3]!players[hero_name],B832, [3]!players[win], 1)</f>
        <v>0</v>
      </c>
      <c r="F832" s="1">
        <f t="shared" si="12"/>
        <v>0</v>
      </c>
      <c r="G832" s="2">
        <f>AVERAGEIFS([3]!players[gold_per_min], [3]!players[name],A832,[3]!players[hero_name],B832)</f>
        <v>249.5</v>
      </c>
      <c r="H832" s="2">
        <f>AVERAGEIFS([3]!players[xp_per_min], [3]!players[name],A832,[3]!players[hero_name],B832)</f>
        <v>313</v>
      </c>
    </row>
    <row r="833" spans="1:8" x14ac:dyDescent="0.3">
      <c r="A833" t="str">
        <v>Hyuga</v>
      </c>
      <c r="B833" t="str">
        <v>Shadow Demon</v>
      </c>
      <c r="C833" t="str" cm="1">
        <f t="array" ref="C833">_xlfn.XLOOKUP(1,([3]!players[name]=A833)*([3]!players[hero_name]=B833),[3]!players[lane_name])</f>
        <v>Hard Support</v>
      </c>
      <c r="D833">
        <f>COUNTIFS([3]!players[name],A833,[3]!players[hero_name],B833)</f>
        <v>2</v>
      </c>
      <c r="E833">
        <f>COUNTIFS([3]!players[name],A833,[3]!players[hero_name],B833, [3]!players[win], 1)</f>
        <v>0</v>
      </c>
      <c r="F833" s="1">
        <f t="shared" si="12"/>
        <v>0</v>
      </c>
      <c r="G833" s="2">
        <f>AVERAGEIFS([3]!players[gold_per_min], [3]!players[name],A833,[3]!players[hero_name],B833)</f>
        <v>235</v>
      </c>
      <c r="H833" s="2">
        <f>AVERAGEIFS([3]!players[xp_per_min], [3]!players[name],A833,[3]!players[hero_name],B833)</f>
        <v>260.5</v>
      </c>
    </row>
    <row r="834" spans="1:8" x14ac:dyDescent="0.3">
      <c r="A834" t="str">
        <v>Hyuga</v>
      </c>
      <c r="B834" t="str">
        <v>Bane</v>
      </c>
      <c r="C834" t="str" cm="1">
        <f t="array" ref="C834">_xlfn.XLOOKUP(1,([3]!players[name]=A834)*([3]!players[hero_name]=B834),[3]!players[lane_name])</f>
        <v>Hard Support</v>
      </c>
      <c r="D834">
        <f>COUNTIFS([3]!players[name],A834,[3]!players[hero_name],B834)</f>
        <v>1</v>
      </c>
      <c r="E834">
        <f>COUNTIFS([3]!players[name],A834,[3]!players[hero_name],B834, [3]!players[win], 1)</f>
        <v>1</v>
      </c>
      <c r="F834" s="1">
        <f t="shared" si="12"/>
        <v>1</v>
      </c>
      <c r="G834" s="2">
        <f>AVERAGEIFS([3]!players[gold_per_min], [3]!players[name],A834,[3]!players[hero_name],B834)</f>
        <v>296</v>
      </c>
      <c r="H834" s="2">
        <f>AVERAGEIFS([3]!players[xp_per_min], [3]!players[name],A834,[3]!players[hero_name],B834)</f>
        <v>533</v>
      </c>
    </row>
    <row r="835" spans="1:8" x14ac:dyDescent="0.3">
      <c r="A835" t="str">
        <v>Hyuga</v>
      </c>
      <c r="B835" t="str">
        <v>Winter Wyvern</v>
      </c>
      <c r="C835" t="str" cm="1">
        <f t="array" ref="C835">_xlfn.XLOOKUP(1,([3]!players[name]=A835)*([3]!players[hero_name]=B835),[3]!players[lane_name])</f>
        <v>Hard Support</v>
      </c>
      <c r="D835">
        <f>COUNTIFS([3]!players[name],A835,[3]!players[hero_name],B835)</f>
        <v>1</v>
      </c>
      <c r="E835">
        <f>COUNTIFS([3]!players[name],A835,[3]!players[hero_name],B835, [3]!players[win], 1)</f>
        <v>1</v>
      </c>
      <c r="F835" s="1">
        <f t="shared" ref="F835:F898" si="13">E835/D835</f>
        <v>1</v>
      </c>
      <c r="G835" s="2">
        <f>AVERAGEIFS([3]!players[gold_per_min], [3]!players[name],A835,[3]!players[hero_name],B835)</f>
        <v>369</v>
      </c>
      <c r="H835" s="2">
        <f>AVERAGEIFS([3]!players[xp_per_min], [3]!players[name],A835,[3]!players[hero_name],B835)</f>
        <v>498</v>
      </c>
    </row>
    <row r="836" spans="1:8" x14ac:dyDescent="0.3">
      <c r="A836" t="str">
        <v>Î±ce</v>
      </c>
      <c r="B836" t="str">
        <v>Tusk</v>
      </c>
      <c r="C836" t="str" cm="1">
        <f t="array" ref="C836">_xlfn.XLOOKUP(1,([3]!players[name]=A836)*([3]!players[hero_name]=B836),[3]!players[lane_name])</f>
        <v>Roam</v>
      </c>
      <c r="D836">
        <f>COUNTIFS([3]!players[name],A836,[3]!players[hero_name],B836)</f>
        <v>2</v>
      </c>
      <c r="E836">
        <f>COUNTIFS([3]!players[name],A836,[3]!players[hero_name],B836, [3]!players[win], 1)</f>
        <v>1</v>
      </c>
      <c r="F836" s="1">
        <f t="shared" si="13"/>
        <v>0.5</v>
      </c>
      <c r="G836" s="2">
        <f>AVERAGEIFS([3]!players[gold_per_min], [3]!players[name],A836,[3]!players[hero_name],B836)</f>
        <v>299</v>
      </c>
      <c r="H836" s="2">
        <f>AVERAGEIFS([3]!players[xp_per_min], [3]!players[name],A836,[3]!players[hero_name],B836)</f>
        <v>456</v>
      </c>
    </row>
    <row r="837" spans="1:8" x14ac:dyDescent="0.3">
      <c r="A837" t="str">
        <v>Î±ce</v>
      </c>
      <c r="B837" t="str">
        <v>Hoodwink</v>
      </c>
      <c r="C837" t="str" cm="1">
        <f t="array" ref="C837">_xlfn.XLOOKUP(1,([3]!players[name]=A837)*([3]!players[hero_name]=B837),[3]!players[lane_name])</f>
        <v>Soft Support</v>
      </c>
      <c r="D837">
        <f>COUNTIFS([3]!players[name],A837,[3]!players[hero_name],B837)</f>
        <v>12</v>
      </c>
      <c r="E837">
        <f>COUNTIFS([3]!players[name],A837,[3]!players[hero_name],B837, [3]!players[win], 1)</f>
        <v>8</v>
      </c>
      <c r="F837" s="1">
        <f t="shared" si="13"/>
        <v>0.66666666666666663</v>
      </c>
      <c r="G837" s="2">
        <f>AVERAGEIFS([3]!players[gold_per_min], [3]!players[name],A837,[3]!players[hero_name],B837)</f>
        <v>352.91666666666669</v>
      </c>
      <c r="H837" s="2">
        <f>AVERAGEIFS([3]!players[xp_per_min], [3]!players[name],A837,[3]!players[hero_name],B837)</f>
        <v>513.75</v>
      </c>
    </row>
    <row r="838" spans="1:8" x14ac:dyDescent="0.3">
      <c r="A838" t="str">
        <v>Î±ce</v>
      </c>
      <c r="B838" t="str">
        <v>Shadow Demon</v>
      </c>
      <c r="C838" t="str" cm="1">
        <f t="array" ref="C838">_xlfn.XLOOKUP(1,([3]!players[name]=A838)*([3]!players[hero_name]=B838),[3]!players[lane_name])</f>
        <v>Roam</v>
      </c>
      <c r="D838">
        <f>COUNTIFS([3]!players[name],A838,[3]!players[hero_name],B838)</f>
        <v>7</v>
      </c>
      <c r="E838">
        <f>COUNTIFS([3]!players[name],A838,[3]!players[hero_name],B838, [3]!players[win], 1)</f>
        <v>4</v>
      </c>
      <c r="F838" s="1">
        <f t="shared" si="13"/>
        <v>0.5714285714285714</v>
      </c>
      <c r="G838" s="2">
        <f>AVERAGEIFS([3]!players[gold_per_min], [3]!players[name],A838,[3]!players[hero_name],B838)</f>
        <v>329.42857142857144</v>
      </c>
      <c r="H838" s="2">
        <f>AVERAGEIFS([3]!players[xp_per_min], [3]!players[name],A838,[3]!players[hero_name],B838)</f>
        <v>454.71428571428572</v>
      </c>
    </row>
    <row r="839" spans="1:8" x14ac:dyDescent="0.3">
      <c r="A839" t="str">
        <v>Î±ce</v>
      </c>
      <c r="B839" t="str">
        <v>Shadow Shaman</v>
      </c>
      <c r="C839" t="str" cm="1">
        <f t="array" ref="C839">_xlfn.XLOOKUP(1,([3]!players[name]=A839)*([3]!players[hero_name]=B839),[3]!players[lane_name])</f>
        <v>Roam</v>
      </c>
      <c r="D839">
        <f>COUNTIFS([3]!players[name],A839,[3]!players[hero_name],B839)</f>
        <v>2</v>
      </c>
      <c r="E839">
        <f>COUNTIFS([3]!players[name],A839,[3]!players[hero_name],B839, [3]!players[win], 1)</f>
        <v>2</v>
      </c>
      <c r="F839" s="1">
        <f t="shared" si="13"/>
        <v>1</v>
      </c>
      <c r="G839" s="2">
        <f>AVERAGEIFS([3]!players[gold_per_min], [3]!players[name],A839,[3]!players[hero_name],B839)</f>
        <v>354.5</v>
      </c>
      <c r="H839" s="2">
        <f>AVERAGEIFS([3]!players[xp_per_min], [3]!players[name],A839,[3]!players[hero_name],B839)</f>
        <v>496</v>
      </c>
    </row>
    <row r="840" spans="1:8" x14ac:dyDescent="0.3">
      <c r="A840" t="str">
        <v>Î±ce</v>
      </c>
      <c r="B840" t="str">
        <v>Dark Willow</v>
      </c>
      <c r="C840" t="str" cm="1">
        <f t="array" ref="C840">_xlfn.XLOOKUP(1,([3]!players[name]=A840)*([3]!players[hero_name]=B840),[3]!players[lane_name])</f>
        <v>Hard Support</v>
      </c>
      <c r="D840">
        <f>COUNTIFS([3]!players[name],A840,[3]!players[hero_name],B840)</f>
        <v>2</v>
      </c>
      <c r="E840">
        <f>COUNTIFS([3]!players[name],A840,[3]!players[hero_name],B840, [3]!players[win], 1)</f>
        <v>1</v>
      </c>
      <c r="F840" s="1">
        <f t="shared" si="13"/>
        <v>0.5</v>
      </c>
      <c r="G840" s="2">
        <f>AVERAGEIFS([3]!players[gold_per_min], [3]!players[name],A840,[3]!players[hero_name],B840)</f>
        <v>328.5</v>
      </c>
      <c r="H840" s="2">
        <f>AVERAGEIFS([3]!players[xp_per_min], [3]!players[name],A840,[3]!players[hero_name],B840)</f>
        <v>520.5</v>
      </c>
    </row>
    <row r="841" spans="1:8" x14ac:dyDescent="0.3">
      <c r="A841" t="str">
        <v>Î±ce</v>
      </c>
      <c r="B841" t="str">
        <v>Skywrath Mage</v>
      </c>
      <c r="C841" t="str" cm="1">
        <f t="array" ref="C841">_xlfn.XLOOKUP(1,([3]!players[name]=A841)*([3]!players[hero_name]=B841),[3]!players[lane_name])</f>
        <v>Soft Support</v>
      </c>
      <c r="D841">
        <f>COUNTIFS([3]!players[name],A841,[3]!players[hero_name],B841)</f>
        <v>2</v>
      </c>
      <c r="E841">
        <f>COUNTIFS([3]!players[name],A841,[3]!players[hero_name],B841, [3]!players[win], 1)</f>
        <v>1</v>
      </c>
      <c r="F841" s="1">
        <f t="shared" si="13"/>
        <v>0.5</v>
      </c>
      <c r="G841" s="2">
        <f>AVERAGEIFS([3]!players[gold_per_min], [3]!players[name],A841,[3]!players[hero_name],B841)</f>
        <v>348.5</v>
      </c>
      <c r="H841" s="2">
        <f>AVERAGEIFS([3]!players[xp_per_min], [3]!players[name],A841,[3]!players[hero_name],B841)</f>
        <v>446.5</v>
      </c>
    </row>
    <row r="842" spans="1:8" x14ac:dyDescent="0.3">
      <c r="A842" t="str">
        <v>Î±ce</v>
      </c>
      <c r="B842" t="str">
        <v>Rubick</v>
      </c>
      <c r="C842" t="str" cm="1">
        <f t="array" ref="C842">_xlfn.XLOOKUP(1,([3]!players[name]=A842)*([3]!players[hero_name]=B842),[3]!players[lane_name])</f>
        <v>Hard Support</v>
      </c>
      <c r="D842">
        <f>COUNTIFS([3]!players[name],A842,[3]!players[hero_name],B842)</f>
        <v>5</v>
      </c>
      <c r="E842">
        <f>COUNTIFS([3]!players[name],A842,[3]!players[hero_name],B842, [3]!players[win], 1)</f>
        <v>1</v>
      </c>
      <c r="F842" s="1">
        <f t="shared" si="13"/>
        <v>0.2</v>
      </c>
      <c r="G842" s="2">
        <f>AVERAGEIFS([3]!players[gold_per_min], [3]!players[name],A842,[3]!players[hero_name],B842)</f>
        <v>298</v>
      </c>
      <c r="H842" s="2">
        <f>AVERAGEIFS([3]!players[xp_per_min], [3]!players[name],A842,[3]!players[hero_name],B842)</f>
        <v>420.2</v>
      </c>
    </row>
    <row r="843" spans="1:8" x14ac:dyDescent="0.3">
      <c r="A843" t="str">
        <v>Î±ce</v>
      </c>
      <c r="B843" t="str">
        <v>Keeper of the Light</v>
      </c>
      <c r="C843" t="str" cm="1">
        <f t="array" ref="C843">_xlfn.XLOOKUP(1,([3]!players[name]=A843)*([3]!players[hero_name]=B843),[3]!players[lane_name])</f>
        <v>Soft Support</v>
      </c>
      <c r="D843">
        <f>COUNTIFS([3]!players[name],A843,[3]!players[hero_name],B843)</f>
        <v>3</v>
      </c>
      <c r="E843">
        <f>COUNTIFS([3]!players[name],A843,[3]!players[hero_name],B843, [3]!players[win], 1)</f>
        <v>3</v>
      </c>
      <c r="F843" s="1">
        <f t="shared" si="13"/>
        <v>1</v>
      </c>
      <c r="G843" s="2">
        <f>AVERAGEIFS([3]!players[gold_per_min], [3]!players[name],A843,[3]!players[hero_name],B843)</f>
        <v>421.66666666666669</v>
      </c>
      <c r="H843" s="2">
        <f>AVERAGEIFS([3]!players[xp_per_min], [3]!players[name],A843,[3]!players[hero_name],B843)</f>
        <v>545.33333333333337</v>
      </c>
    </row>
    <row r="844" spans="1:8" x14ac:dyDescent="0.3">
      <c r="A844" t="str">
        <v>inYourdreaM</v>
      </c>
      <c r="B844" t="str">
        <v>Pangolier</v>
      </c>
      <c r="C844" t="str" cm="1">
        <f t="array" ref="C844">_xlfn.XLOOKUP(1,([3]!players[name]=A844)*([3]!players[hero_name]=B844),[3]!players[lane_name])</f>
        <v>Mid</v>
      </c>
      <c r="D844">
        <f>COUNTIFS([3]!players[name],A844,[3]!players[hero_name],B844)</f>
        <v>3</v>
      </c>
      <c r="E844">
        <f>COUNTIFS([3]!players[name],A844,[3]!players[hero_name],B844, [3]!players[win], 1)</f>
        <v>2</v>
      </c>
      <c r="F844" s="1">
        <f t="shared" si="13"/>
        <v>0.66666666666666663</v>
      </c>
      <c r="G844" s="2">
        <f>AVERAGEIFS([3]!players[gold_per_min], [3]!players[name],A844,[3]!players[hero_name],B844)</f>
        <v>576.33333333333337</v>
      </c>
      <c r="H844" s="2">
        <f>AVERAGEIFS([3]!players[xp_per_min], [3]!players[name],A844,[3]!players[hero_name],B844)</f>
        <v>669.66666666666663</v>
      </c>
    </row>
    <row r="845" spans="1:8" x14ac:dyDescent="0.3">
      <c r="A845" t="str">
        <v>inYourdreaM</v>
      </c>
      <c r="B845" t="str">
        <v>Sand King</v>
      </c>
      <c r="C845" t="str" cm="1">
        <f t="array" ref="C845">_xlfn.XLOOKUP(1,([3]!players[name]=A845)*([3]!players[hero_name]=B845),[3]!players[lane_name])</f>
        <v>Mid</v>
      </c>
      <c r="D845">
        <f>COUNTIFS([3]!players[name],A845,[3]!players[hero_name],B845)</f>
        <v>5</v>
      </c>
      <c r="E845">
        <f>COUNTIFS([3]!players[name],A845,[3]!players[hero_name],B845, [3]!players[win], 1)</f>
        <v>5</v>
      </c>
      <c r="F845" s="1">
        <f t="shared" si="13"/>
        <v>1</v>
      </c>
      <c r="G845" s="2">
        <f>AVERAGEIFS([3]!players[gold_per_min], [3]!players[name],A845,[3]!players[hero_name],B845)</f>
        <v>605.6</v>
      </c>
      <c r="H845" s="2">
        <f>AVERAGEIFS([3]!players[xp_per_min], [3]!players[name],A845,[3]!players[hero_name],B845)</f>
        <v>847.8</v>
      </c>
    </row>
    <row r="846" spans="1:8" x14ac:dyDescent="0.3">
      <c r="A846" t="str">
        <v>inYourdreaM</v>
      </c>
      <c r="B846" t="str">
        <v>Monkey King</v>
      </c>
      <c r="C846" t="str" cm="1">
        <f t="array" ref="C846">_xlfn.XLOOKUP(1,([3]!players[name]=A846)*([3]!players[hero_name]=B846),[3]!players[lane_name])</f>
        <v>Mid</v>
      </c>
      <c r="D846">
        <f>COUNTIFS([3]!players[name],A846,[3]!players[hero_name],B846)</f>
        <v>2</v>
      </c>
      <c r="E846">
        <f>COUNTIFS([3]!players[name],A846,[3]!players[hero_name],B846, [3]!players[win], 1)</f>
        <v>0</v>
      </c>
      <c r="F846" s="1">
        <f t="shared" si="13"/>
        <v>0</v>
      </c>
      <c r="G846" s="2">
        <f>AVERAGEIFS([3]!players[gold_per_min], [3]!players[name],A846,[3]!players[hero_name],B846)</f>
        <v>511</v>
      </c>
      <c r="H846" s="2">
        <f>AVERAGEIFS([3]!players[xp_per_min], [3]!players[name],A846,[3]!players[hero_name],B846)</f>
        <v>591</v>
      </c>
    </row>
    <row r="847" spans="1:8" x14ac:dyDescent="0.3">
      <c r="A847" t="str">
        <v>inYourdreaM</v>
      </c>
      <c r="B847" t="str">
        <v>Void Spirit</v>
      </c>
      <c r="C847" t="str" cm="1">
        <f t="array" ref="C847">_xlfn.XLOOKUP(1,([3]!players[name]=A847)*([3]!players[hero_name]=B847),[3]!players[lane_name])</f>
        <v>Mid</v>
      </c>
      <c r="D847">
        <f>COUNTIFS([3]!players[name],A847,[3]!players[hero_name],B847)</f>
        <v>1</v>
      </c>
      <c r="E847">
        <f>COUNTIFS([3]!players[name],A847,[3]!players[hero_name],B847, [3]!players[win], 1)</f>
        <v>0</v>
      </c>
      <c r="F847" s="1">
        <f t="shared" si="13"/>
        <v>0</v>
      </c>
      <c r="G847" s="2">
        <f>AVERAGEIFS([3]!players[gold_per_min], [3]!players[name],A847,[3]!players[hero_name],B847)</f>
        <v>456</v>
      </c>
      <c r="H847" s="2">
        <f>AVERAGEIFS([3]!players[xp_per_min], [3]!players[name],A847,[3]!players[hero_name],B847)</f>
        <v>554</v>
      </c>
    </row>
    <row r="848" spans="1:8" x14ac:dyDescent="0.3">
      <c r="A848" t="str">
        <v>inYourdreaM</v>
      </c>
      <c r="B848" t="str">
        <v>Storm Spirit</v>
      </c>
      <c r="C848" t="str" cm="1">
        <f t="array" ref="C848">_xlfn.XLOOKUP(1,([3]!players[name]=A848)*([3]!players[hero_name]=B848),[3]!players[lane_name])</f>
        <v>Mid</v>
      </c>
      <c r="D848">
        <f>COUNTIFS([3]!players[name],A848,[3]!players[hero_name],B848)</f>
        <v>1</v>
      </c>
      <c r="E848">
        <f>COUNTIFS([3]!players[name],A848,[3]!players[hero_name],B848, [3]!players[win], 1)</f>
        <v>0</v>
      </c>
      <c r="F848" s="1">
        <f t="shared" si="13"/>
        <v>0</v>
      </c>
      <c r="G848" s="2">
        <f>AVERAGEIFS([3]!players[gold_per_min], [3]!players[name],A848,[3]!players[hero_name],B848)</f>
        <v>442</v>
      </c>
      <c r="H848" s="2">
        <f>AVERAGEIFS([3]!players[xp_per_min], [3]!players[name],A848,[3]!players[hero_name],B848)</f>
        <v>510</v>
      </c>
    </row>
    <row r="849" spans="1:8" x14ac:dyDescent="0.3">
      <c r="A849" t="str">
        <v>inYourdreaM</v>
      </c>
      <c r="B849" t="str">
        <v>Slardar</v>
      </c>
      <c r="C849" t="str" cm="1">
        <f t="array" ref="C849">_xlfn.XLOOKUP(1,([3]!players[name]=A849)*([3]!players[hero_name]=B849),[3]!players[lane_name])</f>
        <v>Mid</v>
      </c>
      <c r="D849">
        <f>COUNTIFS([3]!players[name],A849,[3]!players[hero_name],B849)</f>
        <v>2</v>
      </c>
      <c r="E849">
        <f>COUNTIFS([3]!players[name],A849,[3]!players[hero_name],B849, [3]!players[win], 1)</f>
        <v>2</v>
      </c>
      <c r="F849" s="1">
        <f t="shared" si="13"/>
        <v>1</v>
      </c>
      <c r="G849" s="2">
        <f>AVERAGEIFS([3]!players[gold_per_min], [3]!players[name],A849,[3]!players[hero_name],B849)</f>
        <v>541</v>
      </c>
      <c r="H849" s="2">
        <f>AVERAGEIFS([3]!players[xp_per_min], [3]!players[name],A849,[3]!players[hero_name],B849)</f>
        <v>707</v>
      </c>
    </row>
    <row r="850" spans="1:8" x14ac:dyDescent="0.3">
      <c r="A850" t="str">
        <v>inYourdreaM</v>
      </c>
      <c r="B850" t="str">
        <v>Ember Spirit</v>
      </c>
      <c r="C850" t="str" cm="1">
        <f t="array" ref="C850">_xlfn.XLOOKUP(1,([3]!players[name]=A850)*([3]!players[hero_name]=B850),[3]!players[lane_name])</f>
        <v>Mid</v>
      </c>
      <c r="D850">
        <f>COUNTIFS([3]!players[name],A850,[3]!players[hero_name],B850)</f>
        <v>4</v>
      </c>
      <c r="E850">
        <f>COUNTIFS([3]!players[name],A850,[3]!players[hero_name],B850, [3]!players[win], 1)</f>
        <v>4</v>
      </c>
      <c r="F850" s="1">
        <f t="shared" si="13"/>
        <v>1</v>
      </c>
      <c r="G850" s="2">
        <f>AVERAGEIFS([3]!players[gold_per_min], [3]!players[name],A850,[3]!players[hero_name],B850)</f>
        <v>653</v>
      </c>
      <c r="H850" s="2">
        <f>AVERAGEIFS([3]!players[xp_per_min], [3]!players[name],A850,[3]!players[hero_name],B850)</f>
        <v>835.75</v>
      </c>
    </row>
    <row r="851" spans="1:8" x14ac:dyDescent="0.3">
      <c r="A851" t="str">
        <v>inYourdreaM</v>
      </c>
      <c r="B851" t="str">
        <v>Puck</v>
      </c>
      <c r="C851" t="str" cm="1">
        <f t="array" ref="C851">_xlfn.XLOOKUP(1,([3]!players[name]=A851)*([3]!players[hero_name]=B851),[3]!players[lane_name])</f>
        <v>Mid</v>
      </c>
      <c r="D851">
        <f>COUNTIFS([3]!players[name],A851,[3]!players[hero_name],B851)</f>
        <v>2</v>
      </c>
      <c r="E851">
        <f>COUNTIFS([3]!players[name],A851,[3]!players[hero_name],B851, [3]!players[win], 1)</f>
        <v>2</v>
      </c>
      <c r="F851" s="1">
        <f t="shared" si="13"/>
        <v>1</v>
      </c>
      <c r="G851" s="2">
        <f>AVERAGEIFS([3]!players[gold_per_min], [3]!players[name],A851,[3]!players[hero_name],B851)</f>
        <v>653</v>
      </c>
      <c r="H851" s="2">
        <f>AVERAGEIFS([3]!players[xp_per_min], [3]!players[name],A851,[3]!players[hero_name],B851)</f>
        <v>816.5</v>
      </c>
    </row>
    <row r="852" spans="1:8" x14ac:dyDescent="0.3">
      <c r="A852" t="str">
        <v>inYourdreaM</v>
      </c>
      <c r="B852" t="str">
        <v>Queen of Pain</v>
      </c>
      <c r="C852" t="str" cm="1">
        <f t="array" ref="C852">_xlfn.XLOOKUP(1,([3]!players[name]=A852)*([3]!players[hero_name]=B852),[3]!players[lane_name])</f>
        <v>Mid</v>
      </c>
      <c r="D852">
        <f>COUNTIFS([3]!players[name],A852,[3]!players[hero_name],B852)</f>
        <v>1</v>
      </c>
      <c r="E852">
        <f>COUNTIFS([3]!players[name],A852,[3]!players[hero_name],B852, [3]!players[win], 1)</f>
        <v>0</v>
      </c>
      <c r="F852" s="1">
        <f t="shared" si="13"/>
        <v>0</v>
      </c>
      <c r="G852" s="2">
        <f>AVERAGEIFS([3]!players[gold_per_min], [3]!players[name],A852,[3]!players[hero_name],B852)</f>
        <v>516</v>
      </c>
      <c r="H852" s="2">
        <f>AVERAGEIFS([3]!players[xp_per_min], [3]!players[name],A852,[3]!players[hero_name],B852)</f>
        <v>621</v>
      </c>
    </row>
    <row r="853" spans="1:8" x14ac:dyDescent="0.3">
      <c r="A853" t="str">
        <v>Jabz</v>
      </c>
      <c r="B853" t="str">
        <v>Largo</v>
      </c>
      <c r="C853" t="str" cm="1">
        <f t="array" ref="C853">_xlfn.XLOOKUP(1,([3]!players[name]=A853)*([3]!players[hero_name]=B853),[3]!players[lane_name])</f>
        <v>Off Lane</v>
      </c>
      <c r="D853">
        <f>COUNTIFS([3]!players[name],A853,[3]!players[hero_name],B853)</f>
        <v>2</v>
      </c>
      <c r="E853">
        <f>COUNTIFS([3]!players[name],A853,[3]!players[hero_name],B853, [3]!players[win], 1)</f>
        <v>2</v>
      </c>
      <c r="F853" s="1">
        <f t="shared" si="13"/>
        <v>1</v>
      </c>
      <c r="G853" s="2">
        <f>AVERAGEIFS([3]!players[gold_per_min], [3]!players[name],A853,[3]!players[hero_name],B853)</f>
        <v>637</v>
      </c>
      <c r="H853" s="2">
        <f>AVERAGEIFS([3]!players[xp_per_min], [3]!players[name],A853,[3]!players[hero_name],B853)</f>
        <v>939.5</v>
      </c>
    </row>
    <row r="854" spans="1:8" x14ac:dyDescent="0.3">
      <c r="A854" t="str">
        <v>Jabz</v>
      </c>
      <c r="B854" t="str">
        <v>Pangolier</v>
      </c>
      <c r="C854" t="str" cm="1">
        <f t="array" ref="C854">_xlfn.XLOOKUP(1,([3]!players[name]=A854)*([3]!players[hero_name]=B854),[3]!players[lane_name])</f>
        <v>Off Lane</v>
      </c>
      <c r="D854">
        <f>COUNTIFS([3]!players[name],A854,[3]!players[hero_name],B854)</f>
        <v>3</v>
      </c>
      <c r="E854">
        <f>COUNTIFS([3]!players[name],A854,[3]!players[hero_name],B854, [3]!players[win], 1)</f>
        <v>2</v>
      </c>
      <c r="F854" s="1">
        <f t="shared" si="13"/>
        <v>0.66666666666666663</v>
      </c>
      <c r="G854" s="2">
        <f>AVERAGEIFS([3]!players[gold_per_min], [3]!players[name],A854,[3]!players[hero_name],B854)</f>
        <v>515.66666666666663</v>
      </c>
      <c r="H854" s="2">
        <f>AVERAGEIFS([3]!players[xp_per_min], [3]!players[name],A854,[3]!players[hero_name],B854)</f>
        <v>752</v>
      </c>
    </row>
    <row r="855" spans="1:8" x14ac:dyDescent="0.3">
      <c r="A855" t="str">
        <v>Jabz</v>
      </c>
      <c r="B855" t="str">
        <v>Sand King</v>
      </c>
      <c r="C855" t="str" cm="1">
        <f t="array" ref="C855">_xlfn.XLOOKUP(1,([3]!players[name]=A855)*([3]!players[hero_name]=B855),[3]!players[lane_name])</f>
        <v>Off Lane</v>
      </c>
      <c r="D855">
        <f>COUNTIFS([3]!players[name],A855,[3]!players[hero_name],B855)</f>
        <v>1</v>
      </c>
      <c r="E855">
        <f>COUNTIFS([3]!players[name],A855,[3]!players[hero_name],B855, [3]!players[win], 1)</f>
        <v>0</v>
      </c>
      <c r="F855" s="1">
        <f t="shared" si="13"/>
        <v>0</v>
      </c>
      <c r="G855" s="2">
        <f>AVERAGEIFS([3]!players[gold_per_min], [3]!players[name],A855,[3]!players[hero_name],B855)</f>
        <v>524</v>
      </c>
      <c r="H855" s="2">
        <f>AVERAGEIFS([3]!players[xp_per_min], [3]!players[name],A855,[3]!players[hero_name],B855)</f>
        <v>735</v>
      </c>
    </row>
    <row r="856" spans="1:8" x14ac:dyDescent="0.3">
      <c r="A856" t="str">
        <v>Jabz</v>
      </c>
      <c r="B856" t="str">
        <v>Timbersaw</v>
      </c>
      <c r="C856" t="str" cm="1">
        <f t="array" ref="C856">_xlfn.XLOOKUP(1,([3]!players[name]=A856)*([3]!players[hero_name]=B856),[3]!players[lane_name])</f>
        <v>Off Lane</v>
      </c>
      <c r="D856">
        <f>COUNTIFS([3]!players[name],A856,[3]!players[hero_name],B856)</f>
        <v>1</v>
      </c>
      <c r="E856">
        <f>COUNTIFS([3]!players[name],A856,[3]!players[hero_name],B856, [3]!players[win], 1)</f>
        <v>1</v>
      </c>
      <c r="F856" s="1">
        <f t="shared" si="13"/>
        <v>1</v>
      </c>
      <c r="G856" s="2">
        <f>AVERAGEIFS([3]!players[gold_per_min], [3]!players[name],A856,[3]!players[hero_name],B856)</f>
        <v>704</v>
      </c>
      <c r="H856" s="2">
        <f>AVERAGEIFS([3]!players[xp_per_min], [3]!players[name],A856,[3]!players[hero_name],B856)</f>
        <v>900</v>
      </c>
    </row>
    <row r="857" spans="1:8" x14ac:dyDescent="0.3">
      <c r="A857" t="str">
        <v>Jabz</v>
      </c>
      <c r="B857" t="str">
        <v>Mars</v>
      </c>
      <c r="C857" t="str" cm="1">
        <f t="array" ref="C857">_xlfn.XLOOKUP(1,([3]!players[name]=A857)*([3]!players[hero_name]=B857),[3]!players[lane_name])</f>
        <v>Off Lane</v>
      </c>
      <c r="D857">
        <f>COUNTIFS([3]!players[name],A857,[3]!players[hero_name],B857)</f>
        <v>1</v>
      </c>
      <c r="E857">
        <f>COUNTIFS([3]!players[name],A857,[3]!players[hero_name],B857, [3]!players[win], 1)</f>
        <v>0</v>
      </c>
      <c r="F857" s="1">
        <f t="shared" si="13"/>
        <v>0</v>
      </c>
      <c r="G857" s="2">
        <f>AVERAGEIFS([3]!players[gold_per_min], [3]!players[name],A857,[3]!players[hero_name],B857)</f>
        <v>446</v>
      </c>
      <c r="H857" s="2">
        <f>AVERAGEIFS([3]!players[xp_per_min], [3]!players[name],A857,[3]!players[hero_name],B857)</f>
        <v>593</v>
      </c>
    </row>
    <row r="858" spans="1:8" x14ac:dyDescent="0.3">
      <c r="A858" t="str">
        <v>Jabz</v>
      </c>
      <c r="B858" t="str">
        <v>Slardar</v>
      </c>
      <c r="C858" t="str" cm="1">
        <f t="array" ref="C858">_xlfn.XLOOKUP(1,([3]!players[name]=A858)*([3]!players[hero_name]=B858),[3]!players[lane_name])</f>
        <v>Off Lane</v>
      </c>
      <c r="D858">
        <f>COUNTIFS([3]!players[name],A858,[3]!players[hero_name],B858)</f>
        <v>6</v>
      </c>
      <c r="E858">
        <f>COUNTIFS([3]!players[name],A858,[3]!players[hero_name],B858, [3]!players[win], 1)</f>
        <v>6</v>
      </c>
      <c r="F858" s="1">
        <f t="shared" si="13"/>
        <v>1</v>
      </c>
      <c r="G858" s="2">
        <f>AVERAGEIFS([3]!players[gold_per_min], [3]!players[name],A858,[3]!players[hero_name],B858)</f>
        <v>534.66666666666663</v>
      </c>
      <c r="H858" s="2">
        <f>AVERAGEIFS([3]!players[xp_per_min], [3]!players[name],A858,[3]!players[hero_name],B858)</f>
        <v>757.83333333333337</v>
      </c>
    </row>
    <row r="859" spans="1:8" x14ac:dyDescent="0.3">
      <c r="A859" t="str">
        <v>Jabz</v>
      </c>
      <c r="B859" t="str">
        <v>Underlord</v>
      </c>
      <c r="C859" t="str" cm="1">
        <f t="array" ref="C859">_xlfn.XLOOKUP(1,([3]!players[name]=A859)*([3]!players[hero_name]=B859),[3]!players[lane_name])</f>
        <v>Off Lane</v>
      </c>
      <c r="D859">
        <f>COUNTIFS([3]!players[name],A859,[3]!players[hero_name],B859)</f>
        <v>2</v>
      </c>
      <c r="E859">
        <f>COUNTIFS([3]!players[name],A859,[3]!players[hero_name],B859, [3]!players[win], 1)</f>
        <v>1</v>
      </c>
      <c r="F859" s="1">
        <f t="shared" si="13"/>
        <v>0.5</v>
      </c>
      <c r="G859" s="2">
        <f>AVERAGEIFS([3]!players[gold_per_min], [3]!players[name],A859,[3]!players[hero_name],B859)</f>
        <v>521.5</v>
      </c>
      <c r="H859" s="2">
        <f>AVERAGEIFS([3]!players[xp_per_min], [3]!players[name],A859,[3]!players[hero_name],B859)</f>
        <v>745</v>
      </c>
    </row>
    <row r="860" spans="1:8" x14ac:dyDescent="0.3">
      <c r="A860" t="str">
        <v>Jabz</v>
      </c>
      <c r="B860" t="str">
        <v>Brewmaster</v>
      </c>
      <c r="C860" t="str" cm="1">
        <f t="array" ref="C860">_xlfn.XLOOKUP(1,([3]!players[name]=A860)*([3]!players[hero_name]=B860),[3]!players[lane_name])</f>
        <v>Off Lane</v>
      </c>
      <c r="D860">
        <f>COUNTIFS([3]!players[name],A860,[3]!players[hero_name],B860)</f>
        <v>1</v>
      </c>
      <c r="E860">
        <f>COUNTIFS([3]!players[name],A860,[3]!players[hero_name],B860, [3]!players[win], 1)</f>
        <v>0</v>
      </c>
      <c r="F860" s="1">
        <f t="shared" si="13"/>
        <v>0</v>
      </c>
      <c r="G860" s="2">
        <f>AVERAGEIFS([3]!players[gold_per_min], [3]!players[name],A860,[3]!players[hero_name],B860)</f>
        <v>495</v>
      </c>
      <c r="H860" s="2">
        <f>AVERAGEIFS([3]!players[xp_per_min], [3]!players[name],A860,[3]!players[hero_name],B860)</f>
        <v>492</v>
      </c>
    </row>
    <row r="861" spans="1:8" x14ac:dyDescent="0.3">
      <c r="A861" t="str">
        <v>Jabz</v>
      </c>
      <c r="B861" t="str">
        <v>Primal Beast</v>
      </c>
      <c r="C861" t="str" cm="1">
        <f t="array" ref="C861">_xlfn.XLOOKUP(1,([3]!players[name]=A861)*([3]!players[hero_name]=B861),[3]!players[lane_name])</f>
        <v>Off Lane</v>
      </c>
      <c r="D861">
        <f>COUNTIFS([3]!players[name],A861,[3]!players[hero_name],B861)</f>
        <v>1</v>
      </c>
      <c r="E861">
        <f>COUNTIFS([3]!players[name],A861,[3]!players[hero_name],B861, [3]!players[win], 1)</f>
        <v>0</v>
      </c>
      <c r="F861" s="1">
        <f t="shared" si="13"/>
        <v>0</v>
      </c>
      <c r="G861" s="2">
        <f>AVERAGEIFS([3]!players[gold_per_min], [3]!players[name],A861,[3]!players[hero_name],B861)</f>
        <v>471</v>
      </c>
      <c r="H861" s="2">
        <f>AVERAGEIFS([3]!players[xp_per_min], [3]!players[name],A861,[3]!players[hero_name],B861)</f>
        <v>532</v>
      </c>
    </row>
    <row r="862" spans="1:8" x14ac:dyDescent="0.3">
      <c r="A862" t="str">
        <v>JACKBOYS</v>
      </c>
      <c r="B862" t="str">
        <v>Kez</v>
      </c>
      <c r="C862" t="str" cm="1">
        <f t="array" ref="C862">_xlfn.XLOOKUP(1,([3]!players[name]=A862)*([3]!players[hero_name]=B862),[3]!players[lane_name])</f>
        <v>Carry</v>
      </c>
      <c r="D862">
        <f>COUNTIFS([3]!players[name],A862,[3]!players[hero_name],B862)</f>
        <v>7</v>
      </c>
      <c r="E862">
        <f>COUNTIFS([3]!players[name],A862,[3]!players[hero_name],B862, [3]!players[win], 1)</f>
        <v>6</v>
      </c>
      <c r="F862" s="1">
        <f t="shared" si="13"/>
        <v>0.8571428571428571</v>
      </c>
      <c r="G862" s="2">
        <f>AVERAGEIFS([3]!players[gold_per_min], [3]!players[name],A862,[3]!players[hero_name],B862)</f>
        <v>778.14285714285711</v>
      </c>
      <c r="H862" s="2">
        <f>AVERAGEIFS([3]!players[xp_per_min], [3]!players[name],A862,[3]!players[hero_name],B862)</f>
        <v>909.71428571428567</v>
      </c>
    </row>
    <row r="863" spans="1:8" x14ac:dyDescent="0.3">
      <c r="A863" t="str">
        <v>JACKBOYS</v>
      </c>
      <c r="B863" t="str">
        <v>Gyrocopter</v>
      </c>
      <c r="C863" t="str" cm="1">
        <f t="array" ref="C863">_xlfn.XLOOKUP(1,([3]!players[name]=A863)*([3]!players[hero_name]=B863),[3]!players[lane_name])</f>
        <v>Carry</v>
      </c>
      <c r="D863">
        <f>COUNTIFS([3]!players[name],A863,[3]!players[hero_name],B863)</f>
        <v>4</v>
      </c>
      <c r="E863">
        <f>COUNTIFS([3]!players[name],A863,[3]!players[hero_name],B863, [3]!players[win], 1)</f>
        <v>2</v>
      </c>
      <c r="F863" s="1">
        <f t="shared" si="13"/>
        <v>0.5</v>
      </c>
      <c r="G863" s="2">
        <f>AVERAGEIFS([3]!players[gold_per_min], [3]!players[name],A863,[3]!players[hero_name],B863)</f>
        <v>766.5</v>
      </c>
      <c r="H863" s="2">
        <f>AVERAGEIFS([3]!players[xp_per_min], [3]!players[name],A863,[3]!players[hero_name],B863)</f>
        <v>956.75</v>
      </c>
    </row>
    <row r="864" spans="1:8" x14ac:dyDescent="0.3">
      <c r="A864" t="str">
        <v>JACKBOYS</v>
      </c>
      <c r="B864" t="str">
        <v>Templar Assassin</v>
      </c>
      <c r="C864" t="str" cm="1">
        <f t="array" ref="C864">_xlfn.XLOOKUP(1,([3]!players[name]=A864)*([3]!players[hero_name]=B864),[3]!players[lane_name])</f>
        <v>Carry</v>
      </c>
      <c r="D864">
        <f>COUNTIFS([3]!players[name],A864,[3]!players[hero_name],B864)</f>
        <v>2</v>
      </c>
      <c r="E864">
        <f>COUNTIFS([3]!players[name],A864,[3]!players[hero_name],B864, [3]!players[win], 1)</f>
        <v>1</v>
      </c>
      <c r="F864" s="1">
        <f t="shared" si="13"/>
        <v>0.5</v>
      </c>
      <c r="G864" s="2">
        <f>AVERAGEIFS([3]!players[gold_per_min], [3]!players[name],A864,[3]!players[hero_name],B864)</f>
        <v>728.5</v>
      </c>
      <c r="H864" s="2">
        <f>AVERAGEIFS([3]!players[xp_per_min], [3]!players[name],A864,[3]!players[hero_name],B864)</f>
        <v>880.5</v>
      </c>
    </row>
    <row r="865" spans="1:8" x14ac:dyDescent="0.3">
      <c r="A865" t="str">
        <v>JACKBOYS</v>
      </c>
      <c r="B865" t="str">
        <v>Alchemist</v>
      </c>
      <c r="C865" t="str" cm="1">
        <f t="array" ref="C865">_xlfn.XLOOKUP(1,([3]!players[name]=A865)*([3]!players[hero_name]=B865),[3]!players[lane_name])</f>
        <v>Carry</v>
      </c>
      <c r="D865">
        <f>COUNTIFS([3]!players[name],A865,[3]!players[hero_name],B865)</f>
        <v>1</v>
      </c>
      <c r="E865">
        <f>COUNTIFS([3]!players[name],A865,[3]!players[hero_name],B865, [3]!players[win], 1)</f>
        <v>1</v>
      </c>
      <c r="F865" s="1">
        <f t="shared" si="13"/>
        <v>1</v>
      </c>
      <c r="G865" s="2">
        <f>AVERAGEIFS([3]!players[gold_per_min], [3]!players[name],A865,[3]!players[hero_name],B865)</f>
        <v>1077</v>
      </c>
      <c r="H865" s="2">
        <f>AVERAGEIFS([3]!players[xp_per_min], [3]!players[name],A865,[3]!players[hero_name],B865)</f>
        <v>942</v>
      </c>
    </row>
    <row r="866" spans="1:8" x14ac:dyDescent="0.3">
      <c r="A866" t="str">
        <v>JACKBOYS</v>
      </c>
      <c r="B866" t="str">
        <v>Shadow Fiend</v>
      </c>
      <c r="C866" t="str" cm="1">
        <f t="array" ref="C866">_xlfn.XLOOKUP(1,([3]!players[name]=A866)*([3]!players[hero_name]=B866),[3]!players[lane_name])</f>
        <v>Carry</v>
      </c>
      <c r="D866">
        <f>COUNTIFS([3]!players[name],A866,[3]!players[hero_name],B866)</f>
        <v>2</v>
      </c>
      <c r="E866">
        <f>COUNTIFS([3]!players[name],A866,[3]!players[hero_name],B866, [3]!players[win], 1)</f>
        <v>2</v>
      </c>
      <c r="F866" s="1">
        <f t="shared" si="13"/>
        <v>1</v>
      </c>
      <c r="G866" s="2">
        <f>AVERAGEIFS([3]!players[gold_per_min], [3]!players[name],A866,[3]!players[hero_name],B866)</f>
        <v>876</v>
      </c>
      <c r="H866" s="2">
        <f>AVERAGEIFS([3]!players[xp_per_min], [3]!players[name],A866,[3]!players[hero_name],B866)</f>
        <v>1083</v>
      </c>
    </row>
    <row r="867" spans="1:8" x14ac:dyDescent="0.3">
      <c r="A867" t="str">
        <v>JACKBOYS</v>
      </c>
      <c r="B867" t="str">
        <v>Tiny</v>
      </c>
      <c r="C867" t="str" cm="1">
        <f t="array" ref="C867">_xlfn.XLOOKUP(1,([3]!players[name]=A867)*([3]!players[hero_name]=B867),[3]!players[lane_name])</f>
        <v>Carry</v>
      </c>
      <c r="D867">
        <f>COUNTIFS([3]!players[name],A867,[3]!players[hero_name],B867)</f>
        <v>2</v>
      </c>
      <c r="E867">
        <f>COUNTIFS([3]!players[name],A867,[3]!players[hero_name],B867, [3]!players[win], 1)</f>
        <v>1</v>
      </c>
      <c r="F867" s="1">
        <f t="shared" si="13"/>
        <v>0.5</v>
      </c>
      <c r="G867" s="2">
        <f>AVERAGEIFS([3]!players[gold_per_min], [3]!players[name],A867,[3]!players[hero_name],B867)</f>
        <v>735.5</v>
      </c>
      <c r="H867" s="2">
        <f>AVERAGEIFS([3]!players[xp_per_min], [3]!players[name],A867,[3]!players[hero_name],B867)</f>
        <v>912</v>
      </c>
    </row>
    <row r="868" spans="1:8" x14ac:dyDescent="0.3">
      <c r="A868" t="str">
        <v>JACKBOYS</v>
      </c>
      <c r="B868" t="str">
        <v>Luna</v>
      </c>
      <c r="C868" t="str" cm="1">
        <f t="array" ref="C868">_xlfn.XLOOKUP(1,([3]!players[name]=A868)*([3]!players[hero_name]=B868),[3]!players[lane_name])</f>
        <v>Carry</v>
      </c>
      <c r="D868">
        <f>COUNTIFS([3]!players[name],A868,[3]!players[hero_name],B868)</f>
        <v>1</v>
      </c>
      <c r="E868">
        <f>COUNTIFS([3]!players[name],A868,[3]!players[hero_name],B868, [3]!players[win], 1)</f>
        <v>0</v>
      </c>
      <c r="F868" s="1">
        <f t="shared" si="13"/>
        <v>0</v>
      </c>
      <c r="G868" s="2">
        <f>AVERAGEIFS([3]!players[gold_per_min], [3]!players[name],A868,[3]!players[hero_name],B868)</f>
        <v>934</v>
      </c>
      <c r="H868" s="2">
        <f>AVERAGEIFS([3]!players[xp_per_min], [3]!players[name],A868,[3]!players[hero_name],B868)</f>
        <v>804</v>
      </c>
    </row>
    <row r="869" spans="1:8" x14ac:dyDescent="0.3">
      <c r="A869" t="str">
        <v>JACKBOYS</v>
      </c>
      <c r="B869" t="str">
        <v>Faceless Void</v>
      </c>
      <c r="C869" t="str" cm="1">
        <f t="array" ref="C869">_xlfn.XLOOKUP(1,([3]!players[name]=A869)*([3]!players[hero_name]=B869),[3]!players[lane_name])</f>
        <v>Carry</v>
      </c>
      <c r="D869">
        <f>COUNTIFS([3]!players[name],A869,[3]!players[hero_name],B869)</f>
        <v>1</v>
      </c>
      <c r="E869">
        <f>COUNTIFS([3]!players[name],A869,[3]!players[hero_name],B869, [3]!players[win], 1)</f>
        <v>1</v>
      </c>
      <c r="F869" s="1">
        <f t="shared" si="13"/>
        <v>1</v>
      </c>
      <c r="G869" s="2">
        <f>AVERAGEIFS([3]!players[gold_per_min], [3]!players[name],A869,[3]!players[hero_name],B869)</f>
        <v>869</v>
      </c>
      <c r="H869" s="2">
        <f>AVERAGEIFS([3]!players[xp_per_min], [3]!players[name],A869,[3]!players[hero_name],B869)</f>
        <v>1129</v>
      </c>
    </row>
    <row r="870" spans="1:8" x14ac:dyDescent="0.3">
      <c r="A870" t="str">
        <v>JACKBOYS</v>
      </c>
      <c r="B870" t="str">
        <v>Doom</v>
      </c>
      <c r="C870" t="str" cm="1">
        <f t="array" ref="C870">_xlfn.XLOOKUP(1,([3]!players[name]=A870)*([3]!players[hero_name]=B870),[3]!players[lane_name])</f>
        <v>Carry</v>
      </c>
      <c r="D870">
        <f>COUNTIFS([3]!players[name],A870,[3]!players[hero_name],B870)</f>
        <v>1</v>
      </c>
      <c r="E870">
        <f>COUNTIFS([3]!players[name],A870,[3]!players[hero_name],B870, [3]!players[win], 1)</f>
        <v>0</v>
      </c>
      <c r="F870" s="1">
        <f t="shared" si="13"/>
        <v>0</v>
      </c>
      <c r="G870" s="2">
        <f>AVERAGEIFS([3]!players[gold_per_min], [3]!players[name],A870,[3]!players[hero_name],B870)</f>
        <v>515</v>
      </c>
      <c r="H870" s="2">
        <f>AVERAGEIFS([3]!players[xp_per_min], [3]!players[name],A870,[3]!players[hero_name],B870)</f>
        <v>434</v>
      </c>
    </row>
    <row r="871" spans="1:8" x14ac:dyDescent="0.3">
      <c r="A871" t="str">
        <v>JACKBOYS</v>
      </c>
      <c r="B871" t="str">
        <v>Beastmaster</v>
      </c>
      <c r="C871" t="str" cm="1">
        <f t="array" ref="C871">_xlfn.XLOOKUP(1,([3]!players[name]=A871)*([3]!players[hero_name]=B871),[3]!players[lane_name])</f>
        <v>Carry</v>
      </c>
      <c r="D871">
        <f>COUNTIFS([3]!players[name],A871,[3]!players[hero_name],B871)</f>
        <v>2</v>
      </c>
      <c r="E871">
        <f>COUNTIFS([3]!players[name],A871,[3]!players[hero_name],B871, [3]!players[win], 1)</f>
        <v>1</v>
      </c>
      <c r="F871" s="1">
        <f t="shared" si="13"/>
        <v>0.5</v>
      </c>
      <c r="G871" s="2">
        <f>AVERAGEIFS([3]!players[gold_per_min], [3]!players[name],A871,[3]!players[hero_name],B871)</f>
        <v>750.5</v>
      </c>
      <c r="H871" s="2">
        <f>AVERAGEIFS([3]!players[xp_per_min], [3]!players[name],A871,[3]!players[hero_name],B871)</f>
        <v>896.5</v>
      </c>
    </row>
    <row r="872" spans="1:8" x14ac:dyDescent="0.3">
      <c r="A872" t="str">
        <v>JACKBOYS</v>
      </c>
      <c r="B872" t="str">
        <v>Ursa</v>
      </c>
      <c r="C872" t="str" cm="1">
        <f t="array" ref="C872">_xlfn.XLOOKUP(1,([3]!players[name]=A872)*([3]!players[hero_name]=B872),[3]!players[lane_name])</f>
        <v>Carry</v>
      </c>
      <c r="D872">
        <f>COUNTIFS([3]!players[name],A872,[3]!players[hero_name],B872)</f>
        <v>1</v>
      </c>
      <c r="E872">
        <f>COUNTIFS([3]!players[name],A872,[3]!players[hero_name],B872, [3]!players[win], 1)</f>
        <v>0</v>
      </c>
      <c r="F872" s="1">
        <f t="shared" si="13"/>
        <v>0</v>
      </c>
      <c r="G872" s="2">
        <f>AVERAGEIFS([3]!players[gold_per_min], [3]!players[name],A872,[3]!players[hero_name],B872)</f>
        <v>614</v>
      </c>
      <c r="H872" s="2">
        <f>AVERAGEIFS([3]!players[xp_per_min], [3]!players[name],A872,[3]!players[hero_name],B872)</f>
        <v>745</v>
      </c>
    </row>
    <row r="873" spans="1:8" x14ac:dyDescent="0.3">
      <c r="A873" t="str">
        <v>JACKBOYS</v>
      </c>
      <c r="B873" t="str">
        <v>Terrorblade</v>
      </c>
      <c r="C873" t="str" cm="1">
        <f t="array" ref="C873">_xlfn.XLOOKUP(1,([3]!players[name]=A873)*([3]!players[hero_name]=B873),[3]!players[lane_name])</f>
        <v>Carry</v>
      </c>
      <c r="D873">
        <f>COUNTIFS([3]!players[name],A873,[3]!players[hero_name],B873)</f>
        <v>2</v>
      </c>
      <c r="E873">
        <f>COUNTIFS([3]!players[name],A873,[3]!players[hero_name],B873, [3]!players[win], 1)</f>
        <v>2</v>
      </c>
      <c r="F873" s="1">
        <f t="shared" si="13"/>
        <v>1</v>
      </c>
      <c r="G873" s="2">
        <f>AVERAGEIFS([3]!players[gold_per_min], [3]!players[name],A873,[3]!players[hero_name],B873)</f>
        <v>817.5</v>
      </c>
      <c r="H873" s="2">
        <f>AVERAGEIFS([3]!players[xp_per_min], [3]!players[name],A873,[3]!players[hero_name],B873)</f>
        <v>828</v>
      </c>
    </row>
    <row r="874" spans="1:8" x14ac:dyDescent="0.3">
      <c r="A874" t="str">
        <v>JANTER</v>
      </c>
      <c r="B874" t="str">
        <v>Tusk</v>
      </c>
      <c r="C874" t="str" cm="1">
        <f t="array" ref="C874">_xlfn.XLOOKUP(1,([3]!players[name]=A874)*([3]!players[hero_name]=B874),[3]!players[lane_name])</f>
        <v>Hard Support</v>
      </c>
      <c r="D874">
        <f>COUNTIFS([3]!players[name],A874,[3]!players[hero_name],B874)</f>
        <v>4</v>
      </c>
      <c r="E874">
        <f>COUNTIFS([3]!players[name],A874,[3]!players[hero_name],B874, [3]!players[win], 1)</f>
        <v>1</v>
      </c>
      <c r="F874" s="1">
        <f t="shared" si="13"/>
        <v>0.25</v>
      </c>
      <c r="G874" s="2">
        <f>AVERAGEIFS([3]!players[gold_per_min], [3]!players[name],A874,[3]!players[hero_name],B874)</f>
        <v>297</v>
      </c>
      <c r="H874" s="2">
        <f>AVERAGEIFS([3]!players[xp_per_min], [3]!players[name],A874,[3]!players[hero_name],B874)</f>
        <v>404.5</v>
      </c>
    </row>
    <row r="875" spans="1:8" x14ac:dyDescent="0.3">
      <c r="A875" t="str">
        <v>JANTER</v>
      </c>
      <c r="B875" t="str">
        <v>Venomancer</v>
      </c>
      <c r="C875" t="str" cm="1">
        <f t="array" ref="C875">_xlfn.XLOOKUP(1,([3]!players[name]=A875)*([3]!players[hero_name]=B875),[3]!players[lane_name])</f>
        <v>Soft Support</v>
      </c>
      <c r="D875">
        <f>COUNTIFS([3]!players[name],A875,[3]!players[hero_name],B875)</f>
        <v>4</v>
      </c>
      <c r="E875">
        <f>COUNTIFS([3]!players[name],A875,[3]!players[hero_name],B875, [3]!players[win], 1)</f>
        <v>1</v>
      </c>
      <c r="F875" s="1">
        <f t="shared" si="13"/>
        <v>0.25</v>
      </c>
      <c r="G875" s="2">
        <f>AVERAGEIFS([3]!players[gold_per_min], [3]!players[name],A875,[3]!players[hero_name],B875)</f>
        <v>358</v>
      </c>
      <c r="H875" s="2">
        <f>AVERAGEIFS([3]!players[xp_per_min], [3]!players[name],A875,[3]!players[hero_name],B875)</f>
        <v>351.25</v>
      </c>
    </row>
    <row r="876" spans="1:8" x14ac:dyDescent="0.3">
      <c r="A876" t="str">
        <v>JANTER</v>
      </c>
      <c r="B876" t="str">
        <v>Phoenix</v>
      </c>
      <c r="C876" t="str" cm="1">
        <f t="array" ref="C876">_xlfn.XLOOKUP(1,([3]!players[name]=A876)*([3]!players[hero_name]=B876),[3]!players[lane_name])</f>
        <v>Roam</v>
      </c>
      <c r="D876">
        <f>COUNTIFS([3]!players[name],A876,[3]!players[hero_name],B876)</f>
        <v>2</v>
      </c>
      <c r="E876">
        <f>COUNTIFS([3]!players[name],A876,[3]!players[hero_name],B876, [3]!players[win], 1)</f>
        <v>2</v>
      </c>
      <c r="F876" s="1">
        <f t="shared" si="13"/>
        <v>1</v>
      </c>
      <c r="G876" s="2">
        <f>AVERAGEIFS([3]!players[gold_per_min], [3]!players[name],A876,[3]!players[hero_name],B876)</f>
        <v>352</v>
      </c>
      <c r="H876" s="2">
        <f>AVERAGEIFS([3]!players[xp_per_min], [3]!players[name],A876,[3]!players[hero_name],B876)</f>
        <v>424</v>
      </c>
    </row>
    <row r="877" spans="1:8" x14ac:dyDescent="0.3">
      <c r="A877" t="str">
        <v>JANTER</v>
      </c>
      <c r="B877" t="str">
        <v>Disruptor</v>
      </c>
      <c r="C877" t="str" cm="1">
        <f t="array" ref="C877">_xlfn.XLOOKUP(1,([3]!players[name]=A877)*([3]!players[hero_name]=B877),[3]!players[lane_name])</f>
        <v>Soft Support</v>
      </c>
      <c r="D877">
        <f>COUNTIFS([3]!players[name],A877,[3]!players[hero_name],B877)</f>
        <v>3</v>
      </c>
      <c r="E877">
        <f>COUNTIFS([3]!players[name],A877,[3]!players[hero_name],B877, [3]!players[win], 1)</f>
        <v>0</v>
      </c>
      <c r="F877" s="1">
        <f t="shared" si="13"/>
        <v>0</v>
      </c>
      <c r="G877" s="2">
        <f>AVERAGEIFS([3]!players[gold_per_min], [3]!players[name],A877,[3]!players[hero_name],B877)</f>
        <v>267.66666666666669</v>
      </c>
      <c r="H877" s="2">
        <f>AVERAGEIFS([3]!players[xp_per_min], [3]!players[name],A877,[3]!players[hero_name],B877)</f>
        <v>334.66666666666669</v>
      </c>
    </row>
    <row r="878" spans="1:8" x14ac:dyDescent="0.3">
      <c r="A878" t="str">
        <v>JANTER</v>
      </c>
      <c r="B878" t="str">
        <v>Rubick</v>
      </c>
      <c r="C878" t="str" cm="1">
        <f t="array" ref="C878">_xlfn.XLOOKUP(1,([3]!players[name]=A878)*([3]!players[hero_name]=B878),[3]!players[lane_name])</f>
        <v>Hard Support</v>
      </c>
      <c r="D878">
        <f>COUNTIFS([3]!players[name],A878,[3]!players[hero_name],B878)</f>
        <v>1</v>
      </c>
      <c r="E878">
        <f>COUNTIFS([3]!players[name],A878,[3]!players[hero_name],B878, [3]!players[win], 1)</f>
        <v>0</v>
      </c>
      <c r="F878" s="1">
        <f t="shared" si="13"/>
        <v>0</v>
      </c>
      <c r="G878" s="2">
        <f>AVERAGEIFS([3]!players[gold_per_min], [3]!players[name],A878,[3]!players[hero_name],B878)</f>
        <v>410</v>
      </c>
      <c r="H878" s="2">
        <f>AVERAGEIFS([3]!players[xp_per_min], [3]!players[name],A878,[3]!players[hero_name],B878)</f>
        <v>564</v>
      </c>
    </row>
    <row r="879" spans="1:8" x14ac:dyDescent="0.3">
      <c r="A879" t="str">
        <v>JANTER</v>
      </c>
      <c r="B879" t="str">
        <v>Io</v>
      </c>
      <c r="C879" t="str" cm="1">
        <f t="array" ref="C879">_xlfn.XLOOKUP(1,([3]!players[name]=A879)*([3]!players[hero_name]=B879),[3]!players[lane_name])</f>
        <v>Hard Support</v>
      </c>
      <c r="D879">
        <f>COUNTIFS([3]!players[name],A879,[3]!players[hero_name],B879)</f>
        <v>1</v>
      </c>
      <c r="E879">
        <f>COUNTIFS([3]!players[name],A879,[3]!players[hero_name],B879, [3]!players[win], 1)</f>
        <v>0</v>
      </c>
      <c r="F879" s="1">
        <f t="shared" si="13"/>
        <v>0</v>
      </c>
      <c r="G879" s="2">
        <f>AVERAGEIFS([3]!players[gold_per_min], [3]!players[name],A879,[3]!players[hero_name],B879)</f>
        <v>222</v>
      </c>
      <c r="H879" s="2">
        <f>AVERAGEIFS([3]!players[xp_per_min], [3]!players[name],A879,[3]!players[hero_name],B879)</f>
        <v>424</v>
      </c>
    </row>
    <row r="880" spans="1:8" x14ac:dyDescent="0.3">
      <c r="A880" t="str">
        <v>JANTER</v>
      </c>
      <c r="B880" t="str">
        <v>Ringmaster</v>
      </c>
      <c r="C880" t="str" cm="1">
        <f t="array" ref="C880">_xlfn.XLOOKUP(1,([3]!players[name]=A880)*([3]!players[hero_name]=B880),[3]!players[lane_name])</f>
        <v>Roam</v>
      </c>
      <c r="D880">
        <f>COUNTIFS([3]!players[name],A880,[3]!players[hero_name],B880)</f>
        <v>2</v>
      </c>
      <c r="E880">
        <f>COUNTIFS([3]!players[name],A880,[3]!players[hero_name],B880, [3]!players[win], 1)</f>
        <v>0</v>
      </c>
      <c r="F880" s="1">
        <f t="shared" si="13"/>
        <v>0</v>
      </c>
      <c r="G880" s="2">
        <f>AVERAGEIFS([3]!players[gold_per_min], [3]!players[name],A880,[3]!players[hero_name],B880)</f>
        <v>247</v>
      </c>
      <c r="H880" s="2">
        <f>AVERAGEIFS([3]!players[xp_per_min], [3]!players[name],A880,[3]!players[hero_name],B880)</f>
        <v>303</v>
      </c>
    </row>
    <row r="881" spans="1:8" x14ac:dyDescent="0.3">
      <c r="A881" t="str">
        <v>JANTER</v>
      </c>
      <c r="B881" t="str">
        <v>Jakiro</v>
      </c>
      <c r="C881" t="str" cm="1">
        <f t="array" ref="C881">_xlfn.XLOOKUP(1,([3]!players[name]=A881)*([3]!players[hero_name]=B881),[3]!players[lane_name])</f>
        <v>Hard Support</v>
      </c>
      <c r="D881">
        <f>COUNTIFS([3]!players[name],A881,[3]!players[hero_name],B881)</f>
        <v>2</v>
      </c>
      <c r="E881">
        <f>COUNTIFS([3]!players[name],A881,[3]!players[hero_name],B881, [3]!players[win], 1)</f>
        <v>1</v>
      </c>
      <c r="F881" s="1">
        <f t="shared" si="13"/>
        <v>0.5</v>
      </c>
      <c r="G881" s="2">
        <f>AVERAGEIFS([3]!players[gold_per_min], [3]!players[name],A881,[3]!players[hero_name],B881)</f>
        <v>281</v>
      </c>
      <c r="H881" s="2">
        <f>AVERAGEIFS([3]!players[xp_per_min], [3]!players[name],A881,[3]!players[hero_name],B881)</f>
        <v>454.5</v>
      </c>
    </row>
    <row r="882" spans="1:8" x14ac:dyDescent="0.3">
      <c r="A882" t="str">
        <v>JANTER</v>
      </c>
      <c r="B882" t="str">
        <v>Snapfire</v>
      </c>
      <c r="C882" t="str" cm="1">
        <f t="array" ref="C882">_xlfn.XLOOKUP(1,([3]!players[name]=A882)*([3]!players[hero_name]=B882),[3]!players[lane_name])</f>
        <v>Hard Support</v>
      </c>
      <c r="D882">
        <f>COUNTIFS([3]!players[name],A882,[3]!players[hero_name],B882)</f>
        <v>1</v>
      </c>
      <c r="E882">
        <f>COUNTIFS([3]!players[name],A882,[3]!players[hero_name],B882, [3]!players[win], 1)</f>
        <v>1</v>
      </c>
      <c r="F882" s="1">
        <f t="shared" si="13"/>
        <v>1</v>
      </c>
      <c r="G882" s="2">
        <f>AVERAGEIFS([3]!players[gold_per_min], [3]!players[name],A882,[3]!players[hero_name],B882)</f>
        <v>322</v>
      </c>
      <c r="H882" s="2">
        <f>AVERAGEIFS([3]!players[xp_per_min], [3]!players[name],A882,[3]!players[hero_name],B882)</f>
        <v>502</v>
      </c>
    </row>
    <row r="883" spans="1:8" x14ac:dyDescent="0.3">
      <c r="A883" t="str">
        <v>JANTER</v>
      </c>
      <c r="B883" t="str">
        <v>Marci</v>
      </c>
      <c r="C883" t="str" cm="1">
        <f t="array" ref="C883">_xlfn.XLOOKUP(1,([3]!players[name]=A883)*([3]!players[hero_name]=B883),[3]!players[lane_name])</f>
        <v>Roam</v>
      </c>
      <c r="D883">
        <f>COUNTIFS([3]!players[name],A883,[3]!players[hero_name],B883)</f>
        <v>1</v>
      </c>
      <c r="E883">
        <f>COUNTIFS([3]!players[name],A883,[3]!players[hero_name],B883, [3]!players[win], 1)</f>
        <v>0</v>
      </c>
      <c r="F883" s="1">
        <f t="shared" si="13"/>
        <v>0</v>
      </c>
      <c r="G883" s="2">
        <f>AVERAGEIFS([3]!players[gold_per_min], [3]!players[name],A883,[3]!players[hero_name],B883)</f>
        <v>268</v>
      </c>
      <c r="H883" s="2">
        <f>AVERAGEIFS([3]!players[xp_per_min], [3]!players[name],A883,[3]!players[hero_name],B883)</f>
        <v>291</v>
      </c>
    </row>
    <row r="884" spans="1:8" x14ac:dyDescent="0.3">
      <c r="A884" t="str">
        <v>JANTER</v>
      </c>
      <c r="B884" t="str">
        <v>Enchantress</v>
      </c>
      <c r="C884" t="str" cm="1">
        <f t="array" ref="C884">_xlfn.XLOOKUP(1,([3]!players[name]=A884)*([3]!players[hero_name]=B884),[3]!players[lane_name])</f>
        <v>Soft Support</v>
      </c>
      <c r="D884">
        <f>COUNTIFS([3]!players[name],A884,[3]!players[hero_name],B884)</f>
        <v>2</v>
      </c>
      <c r="E884">
        <f>COUNTIFS([3]!players[name],A884,[3]!players[hero_name],B884, [3]!players[win], 1)</f>
        <v>0</v>
      </c>
      <c r="F884" s="1">
        <f t="shared" si="13"/>
        <v>0</v>
      </c>
      <c r="G884" s="2">
        <f>AVERAGEIFS([3]!players[gold_per_min], [3]!players[name],A884,[3]!players[hero_name],B884)</f>
        <v>337.5</v>
      </c>
      <c r="H884" s="2">
        <f>AVERAGEIFS([3]!players[xp_per_min], [3]!players[name],A884,[3]!players[hero_name],B884)</f>
        <v>419.5</v>
      </c>
    </row>
    <row r="885" spans="1:8" x14ac:dyDescent="0.3">
      <c r="A885" t="str">
        <v>JANTER</v>
      </c>
      <c r="B885" t="str">
        <v>Treant Protector</v>
      </c>
      <c r="C885" t="str" cm="1">
        <f t="array" ref="C885">_xlfn.XLOOKUP(1,([3]!players[name]=A885)*([3]!players[hero_name]=B885),[3]!players[lane_name])</f>
        <v>Hard Support</v>
      </c>
      <c r="D885">
        <f>COUNTIFS([3]!players[name],A885,[3]!players[hero_name],B885)</f>
        <v>1</v>
      </c>
      <c r="E885">
        <f>COUNTIFS([3]!players[name],A885,[3]!players[hero_name],B885, [3]!players[win], 1)</f>
        <v>0</v>
      </c>
      <c r="F885" s="1">
        <f t="shared" si="13"/>
        <v>0</v>
      </c>
      <c r="G885" s="2">
        <f>AVERAGEIFS([3]!players[gold_per_min], [3]!players[name],A885,[3]!players[hero_name],B885)</f>
        <v>218</v>
      </c>
      <c r="H885" s="2">
        <f>AVERAGEIFS([3]!players[xp_per_min], [3]!players[name],A885,[3]!players[hero_name],B885)</f>
        <v>282</v>
      </c>
    </row>
    <row r="886" spans="1:8" x14ac:dyDescent="0.3">
      <c r="A886" t="str">
        <v>JANTER</v>
      </c>
      <c r="B886" t="str">
        <v>Silencer</v>
      </c>
      <c r="C886" t="str" cm="1">
        <f t="array" ref="C886">_xlfn.XLOOKUP(1,([3]!players[name]=A886)*([3]!players[hero_name]=B886),[3]!players[lane_name])</f>
        <v>Hard Support</v>
      </c>
      <c r="D886">
        <f>COUNTIFS([3]!players[name],A886,[3]!players[hero_name],B886)</f>
        <v>1</v>
      </c>
      <c r="E886">
        <f>COUNTIFS([3]!players[name],A886,[3]!players[hero_name],B886, [3]!players[win], 1)</f>
        <v>1</v>
      </c>
      <c r="F886" s="1">
        <f t="shared" si="13"/>
        <v>1</v>
      </c>
      <c r="G886" s="2">
        <f>AVERAGEIFS([3]!players[gold_per_min], [3]!players[name],A886,[3]!players[hero_name],B886)</f>
        <v>382</v>
      </c>
      <c r="H886" s="2">
        <f>AVERAGEIFS([3]!players[xp_per_min], [3]!players[name],A886,[3]!players[hero_name],B886)</f>
        <v>441</v>
      </c>
    </row>
    <row r="887" spans="1:8" x14ac:dyDescent="0.3">
      <c r="A887" t="str">
        <v>Jaunuel</v>
      </c>
      <c r="B887" t="str">
        <v>Treant Protector</v>
      </c>
      <c r="C887" t="str" cm="1">
        <f t="array" ref="C887">_xlfn.XLOOKUP(1,([3]!players[name]=A887)*([3]!players[hero_name]=B887),[3]!players[lane_name])</f>
        <v>Hard Support</v>
      </c>
      <c r="D887">
        <f>COUNTIFS([3]!players[name],A887,[3]!players[hero_name],B887)</f>
        <v>3</v>
      </c>
      <c r="E887">
        <f>COUNTIFS([3]!players[name],A887,[3]!players[hero_name],B887, [3]!players[win], 1)</f>
        <v>2</v>
      </c>
      <c r="F887" s="1">
        <f t="shared" si="13"/>
        <v>0.66666666666666663</v>
      </c>
      <c r="G887" s="2">
        <f>AVERAGEIFS([3]!players[gold_per_min], [3]!players[name],A887,[3]!players[hero_name],B887)</f>
        <v>342.33333333333331</v>
      </c>
      <c r="H887" s="2">
        <f>AVERAGEIFS([3]!players[xp_per_min], [3]!players[name],A887,[3]!players[hero_name],B887)</f>
        <v>523</v>
      </c>
    </row>
    <row r="888" spans="1:8" x14ac:dyDescent="0.3">
      <c r="A888" t="str">
        <v>Jaunuel</v>
      </c>
      <c r="B888" t="str">
        <v>Crystal Maiden</v>
      </c>
      <c r="C888" t="str" cm="1">
        <f t="array" ref="C888">_xlfn.XLOOKUP(1,([3]!players[name]=A888)*([3]!players[hero_name]=B888),[3]!players[lane_name])</f>
        <v>Soft Support</v>
      </c>
      <c r="D888">
        <f>COUNTIFS([3]!players[name],A888,[3]!players[hero_name],B888)</f>
        <v>2</v>
      </c>
      <c r="E888">
        <f>COUNTIFS([3]!players[name],A888,[3]!players[hero_name],B888, [3]!players[win], 1)</f>
        <v>2</v>
      </c>
      <c r="F888" s="1">
        <f t="shared" si="13"/>
        <v>1</v>
      </c>
      <c r="G888" s="2">
        <f>AVERAGEIFS([3]!players[gold_per_min], [3]!players[name],A888,[3]!players[hero_name],B888)</f>
        <v>416.5</v>
      </c>
      <c r="H888" s="2">
        <f>AVERAGEIFS([3]!players[xp_per_min], [3]!players[name],A888,[3]!players[hero_name],B888)</f>
        <v>561</v>
      </c>
    </row>
    <row r="889" spans="1:8" x14ac:dyDescent="0.3">
      <c r="A889" t="str">
        <v>Jaunuel</v>
      </c>
      <c r="B889" t="str">
        <v>Shadow Demon</v>
      </c>
      <c r="C889" t="str" cm="1">
        <f t="array" ref="C889">_xlfn.XLOOKUP(1,([3]!players[name]=A889)*([3]!players[hero_name]=B889),[3]!players[lane_name])</f>
        <v>Hard Support</v>
      </c>
      <c r="D889">
        <f>COUNTIFS([3]!players[name],A889,[3]!players[hero_name],B889)</f>
        <v>2</v>
      </c>
      <c r="E889">
        <f>COUNTIFS([3]!players[name],A889,[3]!players[hero_name],B889, [3]!players[win], 1)</f>
        <v>1</v>
      </c>
      <c r="F889" s="1">
        <f t="shared" si="13"/>
        <v>0.5</v>
      </c>
      <c r="G889" s="2">
        <f>AVERAGEIFS([3]!players[gold_per_min], [3]!players[name],A889,[3]!players[hero_name],B889)</f>
        <v>316.5</v>
      </c>
      <c r="H889" s="2">
        <f>AVERAGEIFS([3]!players[xp_per_min], [3]!players[name],A889,[3]!players[hero_name],B889)</f>
        <v>470.5</v>
      </c>
    </row>
    <row r="890" spans="1:8" x14ac:dyDescent="0.3">
      <c r="A890" t="str">
        <v>Jaunuel</v>
      </c>
      <c r="B890" t="str">
        <v>Enchantress</v>
      </c>
      <c r="C890" t="str" cm="1">
        <f t="array" ref="C890">_xlfn.XLOOKUP(1,([3]!players[name]=A890)*([3]!players[hero_name]=B890),[3]!players[lane_name])</f>
        <v>Roam</v>
      </c>
      <c r="D890">
        <f>COUNTIFS([3]!players[name],A890,[3]!players[hero_name],B890)</f>
        <v>3</v>
      </c>
      <c r="E890">
        <f>COUNTIFS([3]!players[name],A890,[3]!players[hero_name],B890, [3]!players[win], 1)</f>
        <v>2</v>
      </c>
      <c r="F890" s="1">
        <f t="shared" si="13"/>
        <v>0.66666666666666663</v>
      </c>
      <c r="G890" s="2">
        <f>AVERAGEIFS([3]!players[gold_per_min], [3]!players[name],A890,[3]!players[hero_name],B890)</f>
        <v>302.33333333333331</v>
      </c>
      <c r="H890" s="2">
        <f>AVERAGEIFS([3]!players[xp_per_min], [3]!players[name],A890,[3]!players[hero_name],B890)</f>
        <v>495</v>
      </c>
    </row>
    <row r="891" spans="1:8" x14ac:dyDescent="0.3">
      <c r="A891" t="str">
        <v>Jaunuel</v>
      </c>
      <c r="B891" t="str">
        <v>Phoenix</v>
      </c>
      <c r="C891" t="str" cm="1">
        <f t="array" ref="C891">_xlfn.XLOOKUP(1,([3]!players[name]=A891)*([3]!players[hero_name]=B891),[3]!players[lane_name])</f>
        <v>Soft Support</v>
      </c>
      <c r="D891">
        <f>COUNTIFS([3]!players[name],A891,[3]!players[hero_name],B891)</f>
        <v>4</v>
      </c>
      <c r="E891">
        <f>COUNTIFS([3]!players[name],A891,[3]!players[hero_name],B891, [3]!players[win], 1)</f>
        <v>3</v>
      </c>
      <c r="F891" s="1">
        <f t="shared" si="13"/>
        <v>0.75</v>
      </c>
      <c r="G891" s="2">
        <f>AVERAGEIFS([3]!players[gold_per_min], [3]!players[name],A891,[3]!players[hero_name],B891)</f>
        <v>447.25</v>
      </c>
      <c r="H891" s="2">
        <f>AVERAGEIFS([3]!players[xp_per_min], [3]!players[name],A891,[3]!players[hero_name],B891)</f>
        <v>570.25</v>
      </c>
    </row>
    <row r="892" spans="1:8" x14ac:dyDescent="0.3">
      <c r="A892" t="str">
        <v>Jaunuel</v>
      </c>
      <c r="B892" t="str">
        <v>Warlock</v>
      </c>
      <c r="C892" t="str" cm="1">
        <f t="array" ref="C892">_xlfn.XLOOKUP(1,([3]!players[name]=A892)*([3]!players[hero_name]=B892),[3]!players[lane_name])</f>
        <v>Soft Support</v>
      </c>
      <c r="D892">
        <f>COUNTIFS([3]!players[name],A892,[3]!players[hero_name],B892)</f>
        <v>3</v>
      </c>
      <c r="E892">
        <f>COUNTIFS([3]!players[name],A892,[3]!players[hero_name],B892, [3]!players[win], 1)</f>
        <v>2</v>
      </c>
      <c r="F892" s="1">
        <f t="shared" si="13"/>
        <v>0.66666666666666663</v>
      </c>
      <c r="G892" s="2">
        <f>AVERAGEIFS([3]!players[gold_per_min], [3]!players[name],A892,[3]!players[hero_name],B892)</f>
        <v>382.33333333333331</v>
      </c>
      <c r="H892" s="2">
        <f>AVERAGEIFS([3]!players[xp_per_min], [3]!players[name],A892,[3]!players[hero_name],B892)</f>
        <v>409</v>
      </c>
    </row>
    <row r="893" spans="1:8" x14ac:dyDescent="0.3">
      <c r="A893" t="str">
        <v>Jaunuel</v>
      </c>
      <c r="B893" t="str">
        <v>Clockwerk</v>
      </c>
      <c r="C893" t="str" cm="1">
        <f t="array" ref="C893">_xlfn.XLOOKUP(1,([3]!players[name]=A893)*([3]!players[hero_name]=B893),[3]!players[lane_name])</f>
        <v>Soft Support</v>
      </c>
      <c r="D893">
        <f>COUNTIFS([3]!players[name],A893,[3]!players[hero_name],B893)</f>
        <v>1</v>
      </c>
      <c r="E893">
        <f>COUNTIFS([3]!players[name],A893,[3]!players[hero_name],B893, [3]!players[win], 1)</f>
        <v>0</v>
      </c>
      <c r="F893" s="1">
        <f t="shared" si="13"/>
        <v>0</v>
      </c>
      <c r="G893" s="2">
        <f>AVERAGEIFS([3]!players[gold_per_min], [3]!players[name],A893,[3]!players[hero_name],B893)</f>
        <v>325</v>
      </c>
      <c r="H893" s="2">
        <f>AVERAGEIFS([3]!players[xp_per_min], [3]!players[name],A893,[3]!players[hero_name],B893)</f>
        <v>418</v>
      </c>
    </row>
    <row r="894" spans="1:8" x14ac:dyDescent="0.3">
      <c r="A894" t="str">
        <v>Jhocam</v>
      </c>
      <c r="B894" t="str">
        <v>Rubick</v>
      </c>
      <c r="C894" t="str" cm="1">
        <f t="array" ref="C894">_xlfn.XLOOKUP(1,([3]!players[name]=A894)*([3]!players[hero_name]=B894),[3]!players[lane_name])</f>
        <v>Soft Support</v>
      </c>
      <c r="D894">
        <f>COUNTIFS([3]!players[name],A894,[3]!players[hero_name],B894)</f>
        <v>1</v>
      </c>
      <c r="E894">
        <f>COUNTIFS([3]!players[name],A894,[3]!players[hero_name],B894, [3]!players[win], 1)</f>
        <v>0</v>
      </c>
      <c r="F894" s="1">
        <f t="shared" si="13"/>
        <v>0</v>
      </c>
      <c r="G894" s="2">
        <f>AVERAGEIFS([3]!players[gold_per_min], [3]!players[name],A894,[3]!players[hero_name],B894)</f>
        <v>257</v>
      </c>
      <c r="H894" s="2">
        <f>AVERAGEIFS([3]!players[xp_per_min], [3]!players[name],A894,[3]!players[hero_name],B894)</f>
        <v>393</v>
      </c>
    </row>
    <row r="895" spans="1:8" x14ac:dyDescent="0.3">
      <c r="A895" t="str">
        <v>Jhocam</v>
      </c>
      <c r="B895" t="str">
        <v>Tusk</v>
      </c>
      <c r="C895" t="str" cm="1">
        <f t="array" ref="C895">_xlfn.XLOOKUP(1,([3]!players[name]=A895)*([3]!players[hero_name]=B895),[3]!players[lane_name])</f>
        <v>Roam</v>
      </c>
      <c r="D895">
        <f>COUNTIFS([3]!players[name],A895,[3]!players[hero_name],B895)</f>
        <v>5</v>
      </c>
      <c r="E895">
        <f>COUNTIFS([3]!players[name],A895,[3]!players[hero_name],B895, [3]!players[win], 1)</f>
        <v>4</v>
      </c>
      <c r="F895" s="1">
        <f t="shared" si="13"/>
        <v>0.8</v>
      </c>
      <c r="G895" s="2">
        <f>AVERAGEIFS([3]!players[gold_per_min], [3]!players[name],A895,[3]!players[hero_name],B895)</f>
        <v>352</v>
      </c>
      <c r="H895" s="2">
        <f>AVERAGEIFS([3]!players[xp_per_min], [3]!players[name],A895,[3]!players[hero_name],B895)</f>
        <v>591</v>
      </c>
    </row>
    <row r="896" spans="1:8" x14ac:dyDescent="0.3">
      <c r="A896" t="str">
        <v>Jhocam</v>
      </c>
      <c r="B896" t="str">
        <v>Shadow Shaman</v>
      </c>
      <c r="C896" t="str" cm="1">
        <f t="array" ref="C896">_xlfn.XLOOKUP(1,([3]!players[name]=A896)*([3]!players[hero_name]=B896),[3]!players[lane_name])</f>
        <v>Roam</v>
      </c>
      <c r="D896">
        <f>COUNTIFS([3]!players[name],A896,[3]!players[hero_name],B896)</f>
        <v>1</v>
      </c>
      <c r="E896">
        <f>COUNTIFS([3]!players[name],A896,[3]!players[hero_name],B896, [3]!players[win], 1)</f>
        <v>1</v>
      </c>
      <c r="F896" s="1">
        <f t="shared" si="13"/>
        <v>1</v>
      </c>
      <c r="G896" s="2">
        <f>AVERAGEIFS([3]!players[gold_per_min], [3]!players[name],A896,[3]!players[hero_name],B896)</f>
        <v>296</v>
      </c>
      <c r="H896" s="2">
        <f>AVERAGEIFS([3]!players[xp_per_min], [3]!players[name],A896,[3]!players[hero_name],B896)</f>
        <v>304</v>
      </c>
    </row>
    <row r="897" spans="1:8" x14ac:dyDescent="0.3">
      <c r="A897" t="str">
        <v>Jhocam</v>
      </c>
      <c r="B897" t="str">
        <v>Keeper of the Light</v>
      </c>
      <c r="C897" t="str" cm="1">
        <f t="array" ref="C897">_xlfn.XLOOKUP(1,([3]!players[name]=A897)*([3]!players[hero_name]=B897),[3]!players[lane_name])</f>
        <v>Hard Support</v>
      </c>
      <c r="D897">
        <f>COUNTIFS([3]!players[name],A897,[3]!players[hero_name],B897)</f>
        <v>2</v>
      </c>
      <c r="E897">
        <f>COUNTIFS([3]!players[name],A897,[3]!players[hero_name],B897, [3]!players[win], 1)</f>
        <v>2</v>
      </c>
      <c r="F897" s="1">
        <f t="shared" si="13"/>
        <v>1</v>
      </c>
      <c r="G897" s="2">
        <f>AVERAGEIFS([3]!players[gold_per_min], [3]!players[name],A897,[3]!players[hero_name],B897)</f>
        <v>388.5</v>
      </c>
      <c r="H897" s="2">
        <f>AVERAGEIFS([3]!players[xp_per_min], [3]!players[name],A897,[3]!players[hero_name],B897)</f>
        <v>601.5</v>
      </c>
    </row>
    <row r="898" spans="1:8" x14ac:dyDescent="0.3">
      <c r="A898" t="str">
        <v>Jhocam</v>
      </c>
      <c r="B898" t="str">
        <v>Hoodwink</v>
      </c>
      <c r="C898" t="str" cm="1">
        <f t="array" ref="C898">_xlfn.XLOOKUP(1,([3]!players[name]=A898)*([3]!players[hero_name]=B898),[3]!players[lane_name])</f>
        <v>Roam</v>
      </c>
      <c r="D898">
        <f>COUNTIFS([3]!players[name],A898,[3]!players[hero_name],B898)</f>
        <v>5</v>
      </c>
      <c r="E898">
        <f>COUNTIFS([3]!players[name],A898,[3]!players[hero_name],B898, [3]!players[win], 1)</f>
        <v>3</v>
      </c>
      <c r="F898" s="1">
        <f t="shared" si="13"/>
        <v>0.6</v>
      </c>
      <c r="G898" s="2">
        <f>AVERAGEIFS([3]!players[gold_per_min], [3]!players[name],A898,[3]!players[hero_name],B898)</f>
        <v>361.4</v>
      </c>
      <c r="H898" s="2">
        <f>AVERAGEIFS([3]!players[xp_per_min], [3]!players[name],A898,[3]!players[hero_name],B898)</f>
        <v>477.4</v>
      </c>
    </row>
    <row r="899" spans="1:8" x14ac:dyDescent="0.3">
      <c r="A899" t="str">
        <v>Jhocam</v>
      </c>
      <c r="B899" t="str">
        <v>Nyx Assassin</v>
      </c>
      <c r="C899" t="str" cm="1">
        <f t="array" ref="C899">_xlfn.XLOOKUP(1,([3]!players[name]=A899)*([3]!players[hero_name]=B899),[3]!players[lane_name])</f>
        <v>Roam</v>
      </c>
      <c r="D899">
        <f>COUNTIFS([3]!players[name],A899,[3]!players[hero_name],B899)</f>
        <v>1</v>
      </c>
      <c r="E899">
        <f>COUNTIFS([3]!players[name],A899,[3]!players[hero_name],B899, [3]!players[win], 1)</f>
        <v>1</v>
      </c>
      <c r="F899" s="1">
        <f t="shared" ref="F899:F962" si="14">E899/D899</f>
        <v>1</v>
      </c>
      <c r="G899" s="2">
        <f>AVERAGEIFS([3]!players[gold_per_min], [3]!players[name],A899,[3]!players[hero_name],B899)</f>
        <v>297</v>
      </c>
      <c r="H899" s="2">
        <f>AVERAGEIFS([3]!players[xp_per_min], [3]!players[name],A899,[3]!players[hero_name],B899)</f>
        <v>371</v>
      </c>
    </row>
    <row r="900" spans="1:8" x14ac:dyDescent="0.3">
      <c r="A900" t="str">
        <v>Jhocam</v>
      </c>
      <c r="B900" t="str">
        <v>Techies</v>
      </c>
      <c r="C900" t="str" cm="1">
        <f t="array" ref="C900">_xlfn.XLOOKUP(1,([3]!players[name]=A900)*([3]!players[hero_name]=B900),[3]!players[lane_name])</f>
        <v>Hard Support</v>
      </c>
      <c r="D900">
        <f>COUNTIFS([3]!players[name],A900,[3]!players[hero_name],B900)</f>
        <v>3</v>
      </c>
      <c r="E900">
        <f>COUNTIFS([3]!players[name],A900,[3]!players[hero_name],B900, [3]!players[win], 1)</f>
        <v>2</v>
      </c>
      <c r="F900" s="1">
        <f t="shared" si="14"/>
        <v>0.66666666666666663</v>
      </c>
      <c r="G900" s="2">
        <f>AVERAGEIFS([3]!players[gold_per_min], [3]!players[name],A900,[3]!players[hero_name],B900)</f>
        <v>331</v>
      </c>
      <c r="H900" s="2">
        <f>AVERAGEIFS([3]!players[xp_per_min], [3]!players[name],A900,[3]!players[hero_name],B900)</f>
        <v>408</v>
      </c>
    </row>
    <row r="901" spans="1:8" x14ac:dyDescent="0.3">
      <c r="A901" t="str">
        <v>Jhocam</v>
      </c>
      <c r="B901" t="str">
        <v>Lion</v>
      </c>
      <c r="C901" t="str" cm="1">
        <f t="array" ref="C901">_xlfn.XLOOKUP(1,([3]!players[name]=A901)*([3]!players[hero_name]=B901),[3]!players[lane_name])</f>
        <v>Hard Support</v>
      </c>
      <c r="D901">
        <f>COUNTIFS([3]!players[name],A901,[3]!players[hero_name],B901)</f>
        <v>3</v>
      </c>
      <c r="E901">
        <f>COUNTIFS([3]!players[name],A901,[3]!players[hero_name],B901, [3]!players[win], 1)</f>
        <v>1</v>
      </c>
      <c r="F901" s="1">
        <f t="shared" si="14"/>
        <v>0.33333333333333331</v>
      </c>
      <c r="G901" s="2">
        <f>AVERAGEIFS([3]!players[gold_per_min], [3]!players[name],A901,[3]!players[hero_name],B901)</f>
        <v>280.33333333333331</v>
      </c>
      <c r="H901" s="2">
        <f>AVERAGEIFS([3]!players[xp_per_min], [3]!players[name],A901,[3]!players[hero_name],B901)</f>
        <v>432</v>
      </c>
    </row>
    <row r="902" spans="1:8" x14ac:dyDescent="0.3">
      <c r="A902" t="str">
        <v>Jhocam</v>
      </c>
      <c r="B902" t="str">
        <v>Grimstroke</v>
      </c>
      <c r="C902" t="str" cm="1">
        <f t="array" ref="C902">_xlfn.XLOOKUP(1,([3]!players[name]=A902)*([3]!players[hero_name]=B902),[3]!players[lane_name])</f>
        <v>Soft Support</v>
      </c>
      <c r="D902">
        <f>COUNTIFS([3]!players[name],A902,[3]!players[hero_name],B902)</f>
        <v>1</v>
      </c>
      <c r="E902">
        <f>COUNTIFS([3]!players[name],A902,[3]!players[hero_name],B902, [3]!players[win], 1)</f>
        <v>0</v>
      </c>
      <c r="F902" s="1">
        <f t="shared" si="14"/>
        <v>0</v>
      </c>
      <c r="G902" s="2">
        <f>AVERAGEIFS([3]!players[gold_per_min], [3]!players[name],A902,[3]!players[hero_name],B902)</f>
        <v>274</v>
      </c>
      <c r="H902" s="2">
        <f>AVERAGEIFS([3]!players[xp_per_min], [3]!players[name],A902,[3]!players[hero_name],B902)</f>
        <v>335</v>
      </c>
    </row>
    <row r="903" spans="1:8" x14ac:dyDescent="0.3">
      <c r="A903" t="str">
        <v>Jhocam</v>
      </c>
      <c r="B903" t="str">
        <v>Shadow Demon</v>
      </c>
      <c r="C903" t="str" cm="1">
        <f t="array" ref="C903">_xlfn.XLOOKUP(1,([3]!players[name]=A903)*([3]!players[hero_name]=B903),[3]!players[lane_name])</f>
        <v>Hard Support</v>
      </c>
      <c r="D903">
        <f>COUNTIFS([3]!players[name],A903,[3]!players[hero_name],B903)</f>
        <v>2</v>
      </c>
      <c r="E903">
        <f>COUNTIFS([3]!players[name],A903,[3]!players[hero_name],B903, [3]!players[win], 1)</f>
        <v>1</v>
      </c>
      <c r="F903" s="1">
        <f t="shared" si="14"/>
        <v>0.5</v>
      </c>
      <c r="G903" s="2">
        <f>AVERAGEIFS([3]!players[gold_per_min], [3]!players[name],A903,[3]!players[hero_name],B903)</f>
        <v>290.5</v>
      </c>
      <c r="H903" s="2">
        <f>AVERAGEIFS([3]!players[xp_per_min], [3]!players[name],A903,[3]!players[hero_name],B903)</f>
        <v>355</v>
      </c>
    </row>
    <row r="904" spans="1:8" x14ac:dyDescent="0.3">
      <c r="A904" t="str">
        <v>Jhocam</v>
      </c>
      <c r="B904" t="str">
        <v>Ringmaster</v>
      </c>
      <c r="C904" t="str" cm="1">
        <f t="array" ref="C904">_xlfn.XLOOKUP(1,([3]!players[name]=A904)*([3]!players[hero_name]=B904),[3]!players[lane_name])</f>
        <v>Hard Support</v>
      </c>
      <c r="D904">
        <f>COUNTIFS([3]!players[name],A904,[3]!players[hero_name],B904)</f>
        <v>2</v>
      </c>
      <c r="E904">
        <f>COUNTIFS([3]!players[name],A904,[3]!players[hero_name],B904, [3]!players[win], 1)</f>
        <v>2</v>
      </c>
      <c r="F904" s="1">
        <f t="shared" si="14"/>
        <v>1</v>
      </c>
      <c r="G904" s="2">
        <f>AVERAGEIFS([3]!players[gold_per_min], [3]!players[name],A904,[3]!players[hero_name],B904)</f>
        <v>336</v>
      </c>
      <c r="H904" s="2">
        <f>AVERAGEIFS([3]!players[xp_per_min], [3]!players[name],A904,[3]!players[hero_name],B904)</f>
        <v>520.5</v>
      </c>
    </row>
    <row r="905" spans="1:8" x14ac:dyDescent="0.3">
      <c r="A905" t="str">
        <v>JT-</v>
      </c>
      <c r="B905" t="str">
        <v>Phoenix</v>
      </c>
      <c r="C905" t="str" cm="1">
        <f t="array" ref="C905">_xlfn.XLOOKUP(1,([3]!players[name]=A905)*([3]!players[hero_name]=B905),[3]!players[lane_name])</f>
        <v>Off Lane</v>
      </c>
      <c r="D905">
        <f>COUNTIFS([3]!players[name],A905,[3]!players[hero_name],B905)</f>
        <v>1</v>
      </c>
      <c r="E905">
        <f>COUNTIFS([3]!players[name],A905,[3]!players[hero_name],B905, [3]!players[win], 1)</f>
        <v>1</v>
      </c>
      <c r="F905" s="1">
        <f t="shared" si="14"/>
        <v>1</v>
      </c>
      <c r="G905" s="2">
        <f>AVERAGEIFS([3]!players[gold_per_min], [3]!players[name],A905,[3]!players[hero_name],B905)</f>
        <v>678</v>
      </c>
      <c r="H905" s="2">
        <f>AVERAGEIFS([3]!players[xp_per_min], [3]!players[name],A905,[3]!players[hero_name],B905)</f>
        <v>836</v>
      </c>
    </row>
    <row r="906" spans="1:8" x14ac:dyDescent="0.3">
      <c r="A906" t="str">
        <v>JT-</v>
      </c>
      <c r="B906" t="str">
        <v>Slardar</v>
      </c>
      <c r="C906" t="str" cm="1">
        <f t="array" ref="C906">_xlfn.XLOOKUP(1,([3]!players[name]=A906)*([3]!players[hero_name]=B906),[3]!players[lane_name])</f>
        <v>Off Lane</v>
      </c>
      <c r="D906">
        <f>COUNTIFS([3]!players[name],A906,[3]!players[hero_name],B906)</f>
        <v>4</v>
      </c>
      <c r="E906">
        <f>COUNTIFS([3]!players[name],A906,[3]!players[hero_name],B906, [3]!players[win], 1)</f>
        <v>3</v>
      </c>
      <c r="F906" s="1">
        <f t="shared" si="14"/>
        <v>0.75</v>
      </c>
      <c r="G906" s="2">
        <f>AVERAGEIFS([3]!players[gold_per_min], [3]!players[name],A906,[3]!players[hero_name],B906)</f>
        <v>599</v>
      </c>
      <c r="H906" s="2">
        <f>AVERAGEIFS([3]!players[xp_per_min], [3]!players[name],A906,[3]!players[hero_name],B906)</f>
        <v>879.5</v>
      </c>
    </row>
    <row r="907" spans="1:8" x14ac:dyDescent="0.3">
      <c r="A907" t="str">
        <v>JT-</v>
      </c>
      <c r="B907" t="str">
        <v>Timbersaw</v>
      </c>
      <c r="C907" t="str" cm="1">
        <f t="array" ref="C907">_xlfn.XLOOKUP(1,([3]!players[name]=A907)*([3]!players[hero_name]=B907),[3]!players[lane_name])</f>
        <v>Off Lane</v>
      </c>
      <c r="D907">
        <f>COUNTIFS([3]!players[name],A907,[3]!players[hero_name],B907)</f>
        <v>1</v>
      </c>
      <c r="E907">
        <f>COUNTIFS([3]!players[name],A907,[3]!players[hero_name],B907, [3]!players[win], 1)</f>
        <v>0</v>
      </c>
      <c r="F907" s="1">
        <f t="shared" si="14"/>
        <v>0</v>
      </c>
      <c r="G907" s="2">
        <f>AVERAGEIFS([3]!players[gold_per_min], [3]!players[name],A907,[3]!players[hero_name],B907)</f>
        <v>504</v>
      </c>
      <c r="H907" s="2">
        <f>AVERAGEIFS([3]!players[xp_per_min], [3]!players[name],A907,[3]!players[hero_name],B907)</f>
        <v>594</v>
      </c>
    </row>
    <row r="908" spans="1:8" x14ac:dyDescent="0.3">
      <c r="A908" t="str">
        <v>JT-</v>
      </c>
      <c r="B908" t="str">
        <v>Magnus</v>
      </c>
      <c r="C908" t="str" cm="1">
        <f t="array" ref="C908">_xlfn.XLOOKUP(1,([3]!players[name]=A908)*([3]!players[hero_name]=B908),[3]!players[lane_name])</f>
        <v>Off Lane</v>
      </c>
      <c r="D908">
        <f>COUNTIFS([3]!players[name],A908,[3]!players[hero_name],B908)</f>
        <v>1</v>
      </c>
      <c r="E908">
        <f>COUNTIFS([3]!players[name],A908,[3]!players[hero_name],B908, [3]!players[win], 1)</f>
        <v>0</v>
      </c>
      <c r="F908" s="1">
        <f t="shared" si="14"/>
        <v>0</v>
      </c>
      <c r="G908" s="2">
        <f>AVERAGEIFS([3]!players[gold_per_min], [3]!players[name],A908,[3]!players[hero_name],B908)</f>
        <v>591</v>
      </c>
      <c r="H908" s="2">
        <f>AVERAGEIFS([3]!players[xp_per_min], [3]!players[name],A908,[3]!players[hero_name],B908)</f>
        <v>855</v>
      </c>
    </row>
    <row r="909" spans="1:8" x14ac:dyDescent="0.3">
      <c r="A909" t="str">
        <v>JT-</v>
      </c>
      <c r="B909" t="str">
        <v>Primal Beast</v>
      </c>
      <c r="C909" t="str" cm="1">
        <f t="array" ref="C909">_xlfn.XLOOKUP(1,([3]!players[name]=A909)*([3]!players[hero_name]=B909),[3]!players[lane_name])</f>
        <v>Off Lane</v>
      </c>
      <c r="D909">
        <f>COUNTIFS([3]!players[name],A909,[3]!players[hero_name],B909)</f>
        <v>1</v>
      </c>
      <c r="E909">
        <f>COUNTIFS([3]!players[name],A909,[3]!players[hero_name],B909, [3]!players[win], 1)</f>
        <v>0</v>
      </c>
      <c r="F909" s="1">
        <f t="shared" si="14"/>
        <v>0</v>
      </c>
      <c r="G909" s="2">
        <f>AVERAGEIFS([3]!players[gold_per_min], [3]!players[name],A909,[3]!players[hero_name],B909)</f>
        <v>399</v>
      </c>
      <c r="H909" s="2">
        <f>AVERAGEIFS([3]!players[xp_per_min], [3]!players[name],A909,[3]!players[hero_name],B909)</f>
        <v>452</v>
      </c>
    </row>
    <row r="910" spans="1:8" x14ac:dyDescent="0.3">
      <c r="A910" t="str">
        <v>JT-</v>
      </c>
      <c r="B910" t="str">
        <v>Bristleback</v>
      </c>
      <c r="C910" t="str" cm="1">
        <f t="array" ref="C910">_xlfn.XLOOKUP(1,([3]!players[name]=A910)*([3]!players[hero_name]=B910),[3]!players[lane_name])</f>
        <v>Off Lane</v>
      </c>
      <c r="D910">
        <f>COUNTIFS([3]!players[name],A910,[3]!players[hero_name],B910)</f>
        <v>2</v>
      </c>
      <c r="E910">
        <f>COUNTIFS([3]!players[name],A910,[3]!players[hero_name],B910, [3]!players[win], 1)</f>
        <v>1</v>
      </c>
      <c r="F910" s="1">
        <f t="shared" si="14"/>
        <v>0.5</v>
      </c>
      <c r="G910" s="2">
        <f>AVERAGEIFS([3]!players[gold_per_min], [3]!players[name],A910,[3]!players[hero_name],B910)</f>
        <v>560</v>
      </c>
      <c r="H910" s="2">
        <f>AVERAGEIFS([3]!players[xp_per_min], [3]!players[name],A910,[3]!players[hero_name],B910)</f>
        <v>669</v>
      </c>
    </row>
    <row r="911" spans="1:8" x14ac:dyDescent="0.3">
      <c r="A911" t="str">
        <v>JT-</v>
      </c>
      <c r="B911" t="str">
        <v>Mars</v>
      </c>
      <c r="C911" t="str" cm="1">
        <f t="array" ref="C911">_xlfn.XLOOKUP(1,([3]!players[name]=A911)*([3]!players[hero_name]=B911),[3]!players[lane_name])</f>
        <v>Off Lane</v>
      </c>
      <c r="D911">
        <f>COUNTIFS([3]!players[name],A911,[3]!players[hero_name],B911)</f>
        <v>1</v>
      </c>
      <c r="E911">
        <f>COUNTIFS([3]!players[name],A911,[3]!players[hero_name],B911, [3]!players[win], 1)</f>
        <v>0</v>
      </c>
      <c r="F911" s="1">
        <f t="shared" si="14"/>
        <v>0</v>
      </c>
      <c r="G911" s="2">
        <f>AVERAGEIFS([3]!players[gold_per_min], [3]!players[name],A911,[3]!players[hero_name],B911)</f>
        <v>517</v>
      </c>
      <c r="H911" s="2">
        <f>AVERAGEIFS([3]!players[xp_per_min], [3]!players[name],A911,[3]!players[hero_name],B911)</f>
        <v>640</v>
      </c>
    </row>
    <row r="912" spans="1:8" x14ac:dyDescent="0.3">
      <c r="A912" t="str">
        <v>JT-</v>
      </c>
      <c r="B912" t="str">
        <v>Batrider</v>
      </c>
      <c r="C912" t="str" cm="1">
        <f t="array" ref="C912">_xlfn.XLOOKUP(1,([3]!players[name]=A912)*([3]!players[hero_name]=B912),[3]!players[lane_name])</f>
        <v>Off Lane</v>
      </c>
      <c r="D912">
        <f>COUNTIFS([3]!players[name],A912,[3]!players[hero_name],B912)</f>
        <v>1</v>
      </c>
      <c r="E912">
        <f>COUNTIFS([3]!players[name],A912,[3]!players[hero_name],B912, [3]!players[win], 1)</f>
        <v>0</v>
      </c>
      <c r="F912" s="1">
        <f t="shared" si="14"/>
        <v>0</v>
      </c>
      <c r="G912" s="2">
        <f>AVERAGEIFS([3]!players[gold_per_min], [3]!players[name],A912,[3]!players[hero_name],B912)</f>
        <v>417</v>
      </c>
      <c r="H912" s="2">
        <f>AVERAGEIFS([3]!players[xp_per_min], [3]!players[name],A912,[3]!players[hero_name],B912)</f>
        <v>516</v>
      </c>
    </row>
    <row r="913" spans="1:8" x14ac:dyDescent="0.3">
      <c r="A913" t="str">
        <v>JT-</v>
      </c>
      <c r="B913" t="str">
        <v>Underlord</v>
      </c>
      <c r="C913" t="str" cm="1">
        <f t="array" ref="C913">_xlfn.XLOOKUP(1,([3]!players[name]=A913)*([3]!players[hero_name]=B913),[3]!players[lane_name])</f>
        <v>Off Lane</v>
      </c>
      <c r="D913">
        <f>COUNTIFS([3]!players[name],A913,[3]!players[hero_name],B913)</f>
        <v>1</v>
      </c>
      <c r="E913">
        <f>COUNTIFS([3]!players[name],A913,[3]!players[hero_name],B913, [3]!players[win], 1)</f>
        <v>1</v>
      </c>
      <c r="F913" s="1">
        <f t="shared" si="14"/>
        <v>1</v>
      </c>
      <c r="G913" s="2">
        <f>AVERAGEIFS([3]!players[gold_per_min], [3]!players[name],A913,[3]!players[hero_name],B913)</f>
        <v>616</v>
      </c>
      <c r="H913" s="2">
        <f>AVERAGEIFS([3]!players[xp_per_min], [3]!players[name],A913,[3]!players[hero_name],B913)</f>
        <v>892</v>
      </c>
    </row>
    <row r="914" spans="1:8" x14ac:dyDescent="0.3">
      <c r="A914" t="str">
        <v>JT-</v>
      </c>
      <c r="B914" t="str">
        <v>Brewmaster</v>
      </c>
      <c r="C914" t="str" cm="1">
        <f t="array" ref="C914">_xlfn.XLOOKUP(1,([3]!players[name]=A914)*([3]!players[hero_name]=B914),[3]!players[lane_name])</f>
        <v>Off Lane</v>
      </c>
      <c r="D914">
        <f>COUNTIFS([3]!players[name],A914,[3]!players[hero_name],B914)</f>
        <v>1</v>
      </c>
      <c r="E914">
        <f>COUNTIFS([3]!players[name],A914,[3]!players[hero_name],B914, [3]!players[win], 1)</f>
        <v>0</v>
      </c>
      <c r="F914" s="1">
        <f t="shared" si="14"/>
        <v>0</v>
      </c>
      <c r="G914" s="2">
        <f>AVERAGEIFS([3]!players[gold_per_min], [3]!players[name],A914,[3]!players[hero_name],B914)</f>
        <v>463</v>
      </c>
      <c r="H914" s="2">
        <f>AVERAGEIFS([3]!players[xp_per_min], [3]!players[name],A914,[3]!players[hero_name],B914)</f>
        <v>465</v>
      </c>
    </row>
    <row r="915" spans="1:8" x14ac:dyDescent="0.3">
      <c r="A915" t="str">
        <v>k1 hector tqmM</v>
      </c>
      <c r="B915" t="str">
        <v>Weaver</v>
      </c>
      <c r="C915" t="str" cm="1">
        <f t="array" ref="C915">_xlfn.XLOOKUP(1,([3]!players[name]=A915)*([3]!players[hero_name]=B915),[3]!players[lane_name])</f>
        <v>Carry</v>
      </c>
      <c r="D915">
        <f>COUNTIFS([3]!players[name],A915,[3]!players[hero_name],B915)</f>
        <v>1</v>
      </c>
      <c r="E915">
        <f>COUNTIFS([3]!players[name],A915,[3]!players[hero_name],B915, [3]!players[win], 1)</f>
        <v>0</v>
      </c>
      <c r="F915" s="1">
        <f t="shared" si="14"/>
        <v>0</v>
      </c>
      <c r="G915" s="2">
        <f>AVERAGEIFS([3]!players[gold_per_min], [3]!players[name],A915,[3]!players[hero_name],B915)</f>
        <v>923</v>
      </c>
      <c r="H915" s="2">
        <f>AVERAGEIFS([3]!players[xp_per_min], [3]!players[name],A915,[3]!players[hero_name],B915)</f>
        <v>1199</v>
      </c>
    </row>
    <row r="916" spans="1:8" x14ac:dyDescent="0.3">
      <c r="A916" t="str">
        <v>KÅtarÅ.sr4ever</v>
      </c>
      <c r="B916" t="str">
        <v>Shadow Fiend</v>
      </c>
      <c r="C916" t="str" cm="1">
        <f t="array" ref="C916">_xlfn.XLOOKUP(1,([3]!players[name]=A916)*([3]!players[hero_name]=B916),[3]!players[lane_name])</f>
        <v>Carry</v>
      </c>
      <c r="D916">
        <f>COUNTIFS([3]!players[name],A916,[3]!players[hero_name],B916)</f>
        <v>1</v>
      </c>
      <c r="E916">
        <f>COUNTIFS([3]!players[name],A916,[3]!players[hero_name],B916, [3]!players[win], 1)</f>
        <v>1</v>
      </c>
      <c r="F916" s="1">
        <f t="shared" si="14"/>
        <v>1</v>
      </c>
      <c r="G916" s="2">
        <f>AVERAGEIFS([3]!players[gold_per_min], [3]!players[name],A916,[3]!players[hero_name],B916)</f>
        <v>782</v>
      </c>
      <c r="H916" s="2">
        <f>AVERAGEIFS([3]!players[xp_per_min], [3]!players[name],A916,[3]!players[hero_name],B916)</f>
        <v>793</v>
      </c>
    </row>
    <row r="917" spans="1:8" x14ac:dyDescent="0.3">
      <c r="A917" t="str">
        <v>KÅtarÅ.sr4ever</v>
      </c>
      <c r="B917" t="str">
        <v>Templar Assassin</v>
      </c>
      <c r="C917" t="str" cm="1">
        <f t="array" ref="C917">_xlfn.XLOOKUP(1,([3]!players[name]=A917)*([3]!players[hero_name]=B917),[3]!players[lane_name])</f>
        <v>Carry</v>
      </c>
      <c r="D917">
        <f>COUNTIFS([3]!players[name],A917,[3]!players[hero_name],B917)</f>
        <v>2</v>
      </c>
      <c r="E917">
        <f>COUNTIFS([3]!players[name],A917,[3]!players[hero_name],B917, [3]!players[win], 1)</f>
        <v>1</v>
      </c>
      <c r="F917" s="1">
        <f t="shared" si="14"/>
        <v>0.5</v>
      </c>
      <c r="G917" s="2">
        <f>AVERAGEIFS([3]!players[gold_per_min], [3]!players[name],A917,[3]!players[hero_name],B917)</f>
        <v>677</v>
      </c>
      <c r="H917" s="2">
        <f>AVERAGEIFS([3]!players[xp_per_min], [3]!players[name],A917,[3]!players[hero_name],B917)</f>
        <v>811.5</v>
      </c>
    </row>
    <row r="918" spans="1:8" x14ac:dyDescent="0.3">
      <c r="A918" t="str">
        <v>KÅtarÅ.sr4ever</v>
      </c>
      <c r="B918" t="str">
        <v>Storm Spirit</v>
      </c>
      <c r="C918" t="str" cm="1">
        <f t="array" ref="C918">_xlfn.XLOOKUP(1,([3]!players[name]=A918)*([3]!players[hero_name]=B918),[3]!players[lane_name])</f>
        <v>Carry</v>
      </c>
      <c r="D918">
        <f>COUNTIFS([3]!players[name],A918,[3]!players[hero_name],B918)</f>
        <v>2</v>
      </c>
      <c r="E918">
        <f>COUNTIFS([3]!players[name],A918,[3]!players[hero_name],B918, [3]!players[win], 1)</f>
        <v>0</v>
      </c>
      <c r="F918" s="1">
        <f t="shared" si="14"/>
        <v>0</v>
      </c>
      <c r="G918" s="2">
        <f>AVERAGEIFS([3]!players[gold_per_min], [3]!players[name],A918,[3]!players[hero_name],B918)</f>
        <v>448</v>
      </c>
      <c r="H918" s="2">
        <f>AVERAGEIFS([3]!players[xp_per_min], [3]!players[name],A918,[3]!players[hero_name],B918)</f>
        <v>518</v>
      </c>
    </row>
    <row r="919" spans="1:8" x14ac:dyDescent="0.3">
      <c r="A919" t="str">
        <v>KÅtarÅ.sr4ever</v>
      </c>
      <c r="B919" t="str">
        <v>Alchemist</v>
      </c>
      <c r="C919" t="str" cm="1">
        <f t="array" ref="C919">_xlfn.XLOOKUP(1,([3]!players[name]=A919)*([3]!players[hero_name]=B919),[3]!players[lane_name])</f>
        <v>Carry</v>
      </c>
      <c r="D919">
        <f>COUNTIFS([3]!players[name],A919,[3]!players[hero_name],B919)</f>
        <v>3</v>
      </c>
      <c r="E919">
        <f>COUNTIFS([3]!players[name],A919,[3]!players[hero_name],B919, [3]!players[win], 1)</f>
        <v>1</v>
      </c>
      <c r="F919" s="1">
        <f t="shared" si="14"/>
        <v>0.33333333333333331</v>
      </c>
      <c r="G919" s="2">
        <f>AVERAGEIFS([3]!players[gold_per_min], [3]!players[name],A919,[3]!players[hero_name],B919)</f>
        <v>719.66666666666663</v>
      </c>
      <c r="H919" s="2">
        <f>AVERAGEIFS([3]!players[xp_per_min], [3]!players[name],A919,[3]!players[hero_name],B919)</f>
        <v>662</v>
      </c>
    </row>
    <row r="920" spans="1:8" x14ac:dyDescent="0.3">
      <c r="A920" t="str">
        <v>KÅtarÅ.sr4ever</v>
      </c>
      <c r="B920" t="str">
        <v>Slark</v>
      </c>
      <c r="C920" t="str" cm="1">
        <f t="array" ref="C920">_xlfn.XLOOKUP(1,([3]!players[name]=A920)*([3]!players[hero_name]=B920),[3]!players[lane_name])</f>
        <v>Carry</v>
      </c>
      <c r="D920">
        <f>COUNTIFS([3]!players[name],A920,[3]!players[hero_name],B920)</f>
        <v>2</v>
      </c>
      <c r="E920">
        <f>COUNTIFS([3]!players[name],A920,[3]!players[hero_name],B920, [3]!players[win], 1)</f>
        <v>0</v>
      </c>
      <c r="F920" s="1">
        <f t="shared" si="14"/>
        <v>0</v>
      </c>
      <c r="G920" s="2">
        <f>AVERAGEIFS([3]!players[gold_per_min], [3]!players[name],A920,[3]!players[hero_name],B920)</f>
        <v>458.5</v>
      </c>
      <c r="H920" s="2">
        <f>AVERAGEIFS([3]!players[xp_per_min], [3]!players[name],A920,[3]!players[hero_name],B920)</f>
        <v>510.5</v>
      </c>
    </row>
    <row r="921" spans="1:8" x14ac:dyDescent="0.3">
      <c r="A921" t="str">
        <v>KÅtarÅ.sr4ever</v>
      </c>
      <c r="B921" t="str">
        <v>Ursa</v>
      </c>
      <c r="C921" t="str" cm="1">
        <f t="array" ref="C921">_xlfn.XLOOKUP(1,([3]!players[name]=A921)*([3]!players[hero_name]=B921),[3]!players[lane_name])</f>
        <v>Carry</v>
      </c>
      <c r="D921">
        <f>COUNTIFS([3]!players[name],A921,[3]!players[hero_name],B921)</f>
        <v>2</v>
      </c>
      <c r="E921">
        <f>COUNTIFS([3]!players[name],A921,[3]!players[hero_name],B921, [3]!players[win], 1)</f>
        <v>1</v>
      </c>
      <c r="F921" s="1">
        <f t="shared" si="14"/>
        <v>0.5</v>
      </c>
      <c r="G921" s="2">
        <f>AVERAGEIFS([3]!players[gold_per_min], [3]!players[name],A921,[3]!players[hero_name],B921)</f>
        <v>658.5</v>
      </c>
      <c r="H921" s="2">
        <f>AVERAGEIFS([3]!players[xp_per_min], [3]!players[name],A921,[3]!players[hero_name],B921)</f>
        <v>813.5</v>
      </c>
    </row>
    <row r="922" spans="1:8" x14ac:dyDescent="0.3">
      <c r="A922" t="str">
        <v>KÅtarÅ.sr4ever</v>
      </c>
      <c r="B922" t="str">
        <v>Bloodseeker</v>
      </c>
      <c r="C922" t="str" cm="1">
        <f t="array" ref="C922">_xlfn.XLOOKUP(1,([3]!players[name]=A922)*([3]!players[hero_name]=B922),[3]!players[lane_name])</f>
        <v>Carry</v>
      </c>
      <c r="D922">
        <f>COUNTIFS([3]!players[name],A922,[3]!players[hero_name],B922)</f>
        <v>1</v>
      </c>
      <c r="E922">
        <f>COUNTIFS([3]!players[name],A922,[3]!players[hero_name],B922, [3]!players[win], 1)</f>
        <v>1</v>
      </c>
      <c r="F922" s="1">
        <f t="shared" si="14"/>
        <v>1</v>
      </c>
      <c r="G922" s="2">
        <f>AVERAGEIFS([3]!players[gold_per_min], [3]!players[name],A922,[3]!players[hero_name],B922)</f>
        <v>692</v>
      </c>
      <c r="H922" s="2">
        <f>AVERAGEIFS([3]!players[xp_per_min], [3]!players[name],A922,[3]!players[hero_name],B922)</f>
        <v>712</v>
      </c>
    </row>
    <row r="923" spans="1:8" x14ac:dyDescent="0.3">
      <c r="A923" t="str">
        <v>KÅtarÅ.sr4ever</v>
      </c>
      <c r="B923" t="str">
        <v>Troll Warlord</v>
      </c>
      <c r="C923" t="str" cm="1">
        <f t="array" ref="C923">_xlfn.XLOOKUP(1,([3]!players[name]=A923)*([3]!players[hero_name]=B923),[3]!players[lane_name])</f>
        <v>Carry</v>
      </c>
      <c r="D923">
        <f>COUNTIFS([3]!players[name],A923,[3]!players[hero_name],B923)</f>
        <v>1</v>
      </c>
      <c r="E923">
        <f>COUNTIFS([3]!players[name],A923,[3]!players[hero_name],B923, [3]!players[win], 1)</f>
        <v>0</v>
      </c>
      <c r="F923" s="1">
        <f t="shared" si="14"/>
        <v>0</v>
      </c>
      <c r="G923" s="2">
        <f>AVERAGEIFS([3]!players[gold_per_min], [3]!players[name],A923,[3]!players[hero_name],B923)</f>
        <v>660</v>
      </c>
      <c r="H923" s="2">
        <f>AVERAGEIFS([3]!players[xp_per_min], [3]!players[name],A923,[3]!players[hero_name],B923)</f>
        <v>816</v>
      </c>
    </row>
    <row r="924" spans="1:8" x14ac:dyDescent="0.3">
      <c r="A924" t="str">
        <v>KÅtarÅ.sr4ever</v>
      </c>
      <c r="B924" t="str">
        <v>Faceless Void</v>
      </c>
      <c r="C924" t="str" cm="1">
        <f t="array" ref="C924">_xlfn.XLOOKUP(1,([3]!players[name]=A924)*([3]!players[hero_name]=B924),[3]!players[lane_name])</f>
        <v>Carry</v>
      </c>
      <c r="D924">
        <f>COUNTIFS([3]!players[name],A924,[3]!players[hero_name],B924)</f>
        <v>1</v>
      </c>
      <c r="E924">
        <f>COUNTIFS([3]!players[name],A924,[3]!players[hero_name],B924, [3]!players[win], 1)</f>
        <v>1</v>
      </c>
      <c r="F924" s="1">
        <f t="shared" si="14"/>
        <v>1</v>
      </c>
      <c r="G924" s="2">
        <f>AVERAGEIFS([3]!players[gold_per_min], [3]!players[name],A924,[3]!players[hero_name],B924)</f>
        <v>785</v>
      </c>
      <c r="H924" s="2">
        <f>AVERAGEIFS([3]!players[xp_per_min], [3]!players[name],A924,[3]!players[hero_name],B924)</f>
        <v>971</v>
      </c>
    </row>
    <row r="925" spans="1:8" x14ac:dyDescent="0.3">
      <c r="A925" t="str">
        <v>KÅtarÅ.sr4ever</v>
      </c>
      <c r="B925" t="str">
        <v>Gyrocopter</v>
      </c>
      <c r="C925" t="str" cm="1">
        <f t="array" ref="C925">_xlfn.XLOOKUP(1,([3]!players[name]=A925)*([3]!players[hero_name]=B925),[3]!players[lane_name])</f>
        <v>Carry</v>
      </c>
      <c r="D925">
        <f>COUNTIFS([3]!players[name],A925,[3]!players[hero_name],B925)</f>
        <v>2</v>
      </c>
      <c r="E925">
        <f>COUNTIFS([3]!players[name],A925,[3]!players[hero_name],B925, [3]!players[win], 1)</f>
        <v>0</v>
      </c>
      <c r="F925" s="1">
        <f t="shared" si="14"/>
        <v>0</v>
      </c>
      <c r="G925" s="2">
        <f>AVERAGEIFS([3]!players[gold_per_min], [3]!players[name],A925,[3]!players[hero_name],B925)</f>
        <v>533.5</v>
      </c>
      <c r="H925" s="2">
        <f>AVERAGEIFS([3]!players[xp_per_min], [3]!players[name],A925,[3]!players[hero_name],B925)</f>
        <v>688</v>
      </c>
    </row>
    <row r="926" spans="1:8" x14ac:dyDescent="0.3">
      <c r="A926" t="str">
        <v>KÅtarÅ.sr4ever</v>
      </c>
      <c r="B926" t="str">
        <v>Morphling</v>
      </c>
      <c r="C926" t="str" cm="1">
        <f t="array" ref="C926">_xlfn.XLOOKUP(1,([3]!players[name]=A926)*([3]!players[hero_name]=B926),[3]!players[lane_name])</f>
        <v>Carry</v>
      </c>
      <c r="D926">
        <f>COUNTIFS([3]!players[name],A926,[3]!players[hero_name],B926)</f>
        <v>1</v>
      </c>
      <c r="E926">
        <f>COUNTIFS([3]!players[name],A926,[3]!players[hero_name],B926, [3]!players[win], 1)</f>
        <v>0</v>
      </c>
      <c r="F926" s="1">
        <f t="shared" si="14"/>
        <v>0</v>
      </c>
      <c r="G926" s="2">
        <f>AVERAGEIFS([3]!players[gold_per_min], [3]!players[name],A926,[3]!players[hero_name],B926)</f>
        <v>407</v>
      </c>
      <c r="H926" s="2">
        <f>AVERAGEIFS([3]!players[xp_per_min], [3]!players[name],A926,[3]!players[hero_name],B926)</f>
        <v>447</v>
      </c>
    </row>
    <row r="927" spans="1:8" x14ac:dyDescent="0.3">
      <c r="A927" t="str">
        <v>KÅtarÅ.sr4ever</v>
      </c>
      <c r="B927" t="str">
        <v>Luna</v>
      </c>
      <c r="C927" t="str" cm="1">
        <f t="array" ref="C927">_xlfn.XLOOKUP(1,([3]!players[name]=A927)*([3]!players[hero_name]=B927),[3]!players[lane_name])</f>
        <v>Carry</v>
      </c>
      <c r="D927">
        <f>COUNTIFS([3]!players[name],A927,[3]!players[hero_name],B927)</f>
        <v>1</v>
      </c>
      <c r="E927">
        <f>COUNTIFS([3]!players[name],A927,[3]!players[hero_name],B927, [3]!players[win], 1)</f>
        <v>0</v>
      </c>
      <c r="F927" s="1">
        <f t="shared" si="14"/>
        <v>0</v>
      </c>
      <c r="G927" s="2">
        <f>AVERAGEIFS([3]!players[gold_per_min], [3]!players[name],A927,[3]!players[hero_name],B927)</f>
        <v>791</v>
      </c>
      <c r="H927" s="2">
        <f>AVERAGEIFS([3]!players[xp_per_min], [3]!players[name],A927,[3]!players[hero_name],B927)</f>
        <v>713</v>
      </c>
    </row>
    <row r="928" spans="1:8" x14ac:dyDescent="0.3">
      <c r="A928" t="str">
        <v>KÅtarÅ.sr4ever</v>
      </c>
      <c r="B928" t="str">
        <v>Beastmaster</v>
      </c>
      <c r="C928" t="str" cm="1">
        <f t="array" ref="C928">_xlfn.XLOOKUP(1,([3]!players[name]=A928)*([3]!players[hero_name]=B928),[3]!players[lane_name])</f>
        <v>Carry</v>
      </c>
      <c r="D928">
        <f>COUNTIFS([3]!players[name],A928,[3]!players[hero_name],B928)</f>
        <v>2</v>
      </c>
      <c r="E928">
        <f>COUNTIFS([3]!players[name],A928,[3]!players[hero_name],B928, [3]!players[win], 1)</f>
        <v>0</v>
      </c>
      <c r="F928" s="1">
        <f t="shared" si="14"/>
        <v>0</v>
      </c>
      <c r="G928" s="2">
        <f>AVERAGEIFS([3]!players[gold_per_min], [3]!players[name],A928,[3]!players[hero_name],B928)</f>
        <v>630</v>
      </c>
      <c r="H928" s="2">
        <f>AVERAGEIFS([3]!players[xp_per_min], [3]!players[name],A928,[3]!players[hero_name],B928)</f>
        <v>783.5</v>
      </c>
    </row>
    <row r="929" spans="1:8" x14ac:dyDescent="0.3">
      <c r="A929" t="str">
        <v>KÅtarÅ.sr4ever</v>
      </c>
      <c r="B929" t="str">
        <v>Weaver</v>
      </c>
      <c r="C929" t="str" cm="1">
        <f t="array" ref="C929">_xlfn.XLOOKUP(1,([3]!players[name]=A929)*([3]!players[hero_name]=B929),[3]!players[lane_name])</f>
        <v>Carry</v>
      </c>
      <c r="D929">
        <f>COUNTIFS([3]!players[name],A929,[3]!players[hero_name],B929)</f>
        <v>1</v>
      </c>
      <c r="E929">
        <f>COUNTIFS([3]!players[name],A929,[3]!players[hero_name],B929, [3]!players[win], 1)</f>
        <v>0</v>
      </c>
      <c r="F929" s="1">
        <f t="shared" si="14"/>
        <v>0</v>
      </c>
      <c r="G929" s="2">
        <f>AVERAGEIFS([3]!players[gold_per_min], [3]!players[name],A929,[3]!players[hero_name],B929)</f>
        <v>500</v>
      </c>
      <c r="H929" s="2">
        <f>AVERAGEIFS([3]!players[xp_per_min], [3]!players[name],A929,[3]!players[hero_name],B929)</f>
        <v>663</v>
      </c>
    </row>
    <row r="930" spans="1:8" x14ac:dyDescent="0.3">
      <c r="A930" t="str">
        <v>KÅtarÅ.sr4ever</v>
      </c>
      <c r="B930" t="str">
        <v>Lifestealer</v>
      </c>
      <c r="C930" t="str" cm="1">
        <f t="array" ref="C930">_xlfn.XLOOKUP(1,([3]!players[name]=A930)*([3]!players[hero_name]=B930),[3]!players[lane_name])</f>
        <v>Carry</v>
      </c>
      <c r="D930">
        <f>COUNTIFS([3]!players[name],A930,[3]!players[hero_name],B930)</f>
        <v>1</v>
      </c>
      <c r="E930">
        <f>COUNTIFS([3]!players[name],A930,[3]!players[hero_name],B930, [3]!players[win], 1)</f>
        <v>0</v>
      </c>
      <c r="F930" s="1">
        <f t="shared" si="14"/>
        <v>0</v>
      </c>
      <c r="G930" s="2">
        <f>AVERAGEIFS([3]!players[gold_per_min], [3]!players[name],A930,[3]!players[hero_name],B930)</f>
        <v>620</v>
      </c>
      <c r="H930" s="2">
        <f>AVERAGEIFS([3]!players[xp_per_min], [3]!players[name],A930,[3]!players[hero_name],B930)</f>
        <v>800</v>
      </c>
    </row>
    <row r="931" spans="1:8" x14ac:dyDescent="0.3">
      <c r="A931" t="str">
        <v>KÅtarÅ.sr4ever</v>
      </c>
      <c r="B931" t="str">
        <v>Terrorblade</v>
      </c>
      <c r="C931" t="str" cm="1">
        <f t="array" ref="C931">_xlfn.XLOOKUP(1,([3]!players[name]=A931)*([3]!players[hero_name]=B931),[3]!players[lane_name])</f>
        <v>Carry</v>
      </c>
      <c r="D931">
        <f>COUNTIFS([3]!players[name],A931,[3]!players[hero_name],B931)</f>
        <v>1</v>
      </c>
      <c r="E931">
        <f>COUNTIFS([3]!players[name],A931,[3]!players[hero_name],B931, [3]!players[win], 1)</f>
        <v>0</v>
      </c>
      <c r="F931" s="1">
        <f t="shared" si="14"/>
        <v>0</v>
      </c>
      <c r="G931" s="2">
        <f>AVERAGEIFS([3]!players[gold_per_min], [3]!players[name],A931,[3]!players[hero_name],B931)</f>
        <v>574</v>
      </c>
      <c r="H931" s="2">
        <f>AVERAGEIFS([3]!players[xp_per_min], [3]!players[name],A931,[3]!players[hero_name],B931)</f>
        <v>532</v>
      </c>
    </row>
    <row r="932" spans="1:8" x14ac:dyDescent="0.3">
      <c r="A932" t="str">
        <v>kaeioet^^</v>
      </c>
      <c r="B932" t="str">
        <v>Slark</v>
      </c>
      <c r="C932" t="str" cm="1">
        <f t="array" ref="C932">_xlfn.XLOOKUP(1,([3]!players[name]=A932)*([3]!players[hero_name]=B932),[3]!players[lane_name])</f>
        <v>Carry</v>
      </c>
      <c r="D932">
        <f>COUNTIFS([3]!players[name],A932,[3]!players[hero_name],B932)</f>
        <v>1</v>
      </c>
      <c r="E932">
        <f>COUNTIFS([3]!players[name],A932,[3]!players[hero_name],B932, [3]!players[win], 1)</f>
        <v>0</v>
      </c>
      <c r="F932" s="1">
        <f t="shared" si="14"/>
        <v>0</v>
      </c>
      <c r="G932" s="2">
        <f>AVERAGEIFS([3]!players[gold_per_min], [3]!players[name],A932,[3]!players[hero_name],B932)</f>
        <v>545</v>
      </c>
      <c r="H932" s="2">
        <f>AVERAGEIFS([3]!players[xp_per_min], [3]!players[name],A932,[3]!players[hero_name],B932)</f>
        <v>713</v>
      </c>
    </row>
    <row r="933" spans="1:8" x14ac:dyDescent="0.3">
      <c r="A933" t="str">
        <v>kaeioet^^</v>
      </c>
      <c r="B933" t="str">
        <v>Dawnbreaker</v>
      </c>
      <c r="C933" t="str" cm="1">
        <f t="array" ref="C933">_xlfn.XLOOKUP(1,([3]!players[name]=A933)*([3]!players[hero_name]=B933),[3]!players[lane_name])</f>
        <v>Carry</v>
      </c>
      <c r="D933">
        <f>COUNTIFS([3]!players[name],A933,[3]!players[hero_name],B933)</f>
        <v>2</v>
      </c>
      <c r="E933">
        <f>COUNTIFS([3]!players[name],A933,[3]!players[hero_name],B933, [3]!players[win], 1)</f>
        <v>0</v>
      </c>
      <c r="F933" s="1">
        <f t="shared" si="14"/>
        <v>0</v>
      </c>
      <c r="G933" s="2">
        <f>AVERAGEIFS([3]!players[gold_per_min], [3]!players[name],A933,[3]!players[hero_name],B933)</f>
        <v>658</v>
      </c>
      <c r="H933" s="2">
        <f>AVERAGEIFS([3]!players[xp_per_min], [3]!players[name],A933,[3]!players[hero_name],B933)</f>
        <v>943</v>
      </c>
    </row>
    <row r="934" spans="1:8" x14ac:dyDescent="0.3">
      <c r="A934" t="str">
        <v>kaeioet^^</v>
      </c>
      <c r="B934" t="str">
        <v>Wraith King</v>
      </c>
      <c r="C934" t="str" cm="1">
        <f t="array" ref="C934">_xlfn.XLOOKUP(1,([3]!players[name]=A934)*([3]!players[hero_name]=B934),[3]!players[lane_name])</f>
        <v>Carry</v>
      </c>
      <c r="D934">
        <f>COUNTIFS([3]!players[name],A934,[3]!players[hero_name],B934)</f>
        <v>1</v>
      </c>
      <c r="E934">
        <f>COUNTIFS([3]!players[name],A934,[3]!players[hero_name],B934, [3]!players[win], 1)</f>
        <v>1</v>
      </c>
      <c r="F934" s="1">
        <f t="shared" si="14"/>
        <v>1</v>
      </c>
      <c r="G934" s="2">
        <f>AVERAGEIFS([3]!players[gold_per_min], [3]!players[name],A934,[3]!players[hero_name],B934)</f>
        <v>777</v>
      </c>
      <c r="H934" s="2">
        <f>AVERAGEIFS([3]!players[xp_per_min], [3]!players[name],A934,[3]!players[hero_name],B934)</f>
        <v>955</v>
      </c>
    </row>
    <row r="935" spans="1:8" x14ac:dyDescent="0.3">
      <c r="A935" t="str">
        <v>kaeioet^^</v>
      </c>
      <c r="B935" t="str">
        <v>Weaver</v>
      </c>
      <c r="C935" t="str" cm="1">
        <f t="array" ref="C935">_xlfn.XLOOKUP(1,([3]!players[name]=A935)*([3]!players[hero_name]=B935),[3]!players[lane_name])</f>
        <v>Carry</v>
      </c>
      <c r="D935">
        <f>COUNTIFS([3]!players[name],A935,[3]!players[hero_name],B935)</f>
        <v>2</v>
      </c>
      <c r="E935">
        <f>COUNTIFS([3]!players[name],A935,[3]!players[hero_name],B935, [3]!players[win], 1)</f>
        <v>1</v>
      </c>
      <c r="F935" s="1">
        <f t="shared" si="14"/>
        <v>0.5</v>
      </c>
      <c r="G935" s="2">
        <f>AVERAGEIFS([3]!players[gold_per_min], [3]!players[name],A935,[3]!players[hero_name],B935)</f>
        <v>623</v>
      </c>
      <c r="H935" s="2">
        <f>AVERAGEIFS([3]!players[xp_per_min], [3]!players[name],A935,[3]!players[hero_name],B935)</f>
        <v>697.5</v>
      </c>
    </row>
    <row r="936" spans="1:8" x14ac:dyDescent="0.3">
      <c r="A936" t="str">
        <v>kaeioet^^</v>
      </c>
      <c r="B936" t="str">
        <v>Ursa</v>
      </c>
      <c r="C936" t="str" cm="1">
        <f t="array" ref="C936">_xlfn.XLOOKUP(1,([3]!players[name]=A936)*([3]!players[hero_name]=B936),[3]!players[lane_name])</f>
        <v>Carry</v>
      </c>
      <c r="D936">
        <f>COUNTIFS([3]!players[name],A936,[3]!players[hero_name],B936)</f>
        <v>2</v>
      </c>
      <c r="E936">
        <f>COUNTIFS([3]!players[name],A936,[3]!players[hero_name],B936, [3]!players[win], 1)</f>
        <v>1</v>
      </c>
      <c r="F936" s="1">
        <f t="shared" si="14"/>
        <v>0.5</v>
      </c>
      <c r="G936" s="2">
        <f>AVERAGEIFS([3]!players[gold_per_min], [3]!players[name],A936,[3]!players[hero_name],B936)</f>
        <v>627</v>
      </c>
      <c r="H936" s="2">
        <f>AVERAGEIFS([3]!players[xp_per_min], [3]!players[name],A936,[3]!players[hero_name],B936)</f>
        <v>801.5</v>
      </c>
    </row>
    <row r="937" spans="1:8" x14ac:dyDescent="0.3">
      <c r="A937" t="str">
        <v>kaeioet^^</v>
      </c>
      <c r="B937" t="str">
        <v>Bristleback</v>
      </c>
      <c r="C937" t="str" cm="1">
        <f t="array" ref="C937">_xlfn.XLOOKUP(1,([3]!players[name]=A937)*([3]!players[hero_name]=B937),[3]!players[lane_name])</f>
        <v>Carry</v>
      </c>
      <c r="D937">
        <f>COUNTIFS([3]!players[name],A937,[3]!players[hero_name],B937)</f>
        <v>1</v>
      </c>
      <c r="E937">
        <f>COUNTIFS([3]!players[name],A937,[3]!players[hero_name],B937, [3]!players[win], 1)</f>
        <v>0</v>
      </c>
      <c r="F937" s="1">
        <f t="shared" si="14"/>
        <v>0</v>
      </c>
      <c r="G937" s="2">
        <f>AVERAGEIFS([3]!players[gold_per_min], [3]!players[name],A937,[3]!players[hero_name],B937)</f>
        <v>358</v>
      </c>
      <c r="H937" s="2">
        <f>AVERAGEIFS([3]!players[xp_per_min], [3]!players[name],A937,[3]!players[hero_name],B937)</f>
        <v>379</v>
      </c>
    </row>
    <row r="938" spans="1:8" x14ac:dyDescent="0.3">
      <c r="A938" t="str">
        <v>kaeioet^^</v>
      </c>
      <c r="B938" t="str">
        <v>Phantom Assassin</v>
      </c>
      <c r="C938" t="str" cm="1">
        <f t="array" ref="C938">_xlfn.XLOOKUP(1,([3]!players[name]=A938)*([3]!players[hero_name]=B938),[3]!players[lane_name])</f>
        <v>Carry</v>
      </c>
      <c r="D938">
        <f>COUNTIFS([3]!players[name],A938,[3]!players[hero_name],B938)</f>
        <v>1</v>
      </c>
      <c r="E938">
        <f>COUNTIFS([3]!players[name],A938,[3]!players[hero_name],B938, [3]!players[win], 1)</f>
        <v>0</v>
      </c>
      <c r="F938" s="1">
        <f t="shared" si="14"/>
        <v>0</v>
      </c>
      <c r="G938" s="2">
        <f>AVERAGEIFS([3]!players[gold_per_min], [3]!players[name],A938,[3]!players[hero_name],B938)</f>
        <v>407</v>
      </c>
      <c r="H938" s="2">
        <f>AVERAGEIFS([3]!players[xp_per_min], [3]!players[name],A938,[3]!players[hero_name],B938)</f>
        <v>483</v>
      </c>
    </row>
    <row r="939" spans="1:8" x14ac:dyDescent="0.3">
      <c r="A939" t="str">
        <v>kaeioet^^</v>
      </c>
      <c r="B939" t="str">
        <v>Dragon Knight</v>
      </c>
      <c r="C939" t="str" cm="1">
        <f t="array" ref="C939">_xlfn.XLOOKUP(1,([3]!players[name]=A939)*([3]!players[hero_name]=B939),[3]!players[lane_name])</f>
        <v>Carry</v>
      </c>
      <c r="D939">
        <f>COUNTIFS([3]!players[name],A939,[3]!players[hero_name],B939)</f>
        <v>1</v>
      </c>
      <c r="E939">
        <f>COUNTIFS([3]!players[name],A939,[3]!players[hero_name],B939, [3]!players[win], 1)</f>
        <v>1</v>
      </c>
      <c r="F939" s="1">
        <f t="shared" si="14"/>
        <v>1</v>
      </c>
      <c r="G939" s="2">
        <f>AVERAGEIFS([3]!players[gold_per_min], [3]!players[name],A939,[3]!players[hero_name],B939)</f>
        <v>604</v>
      </c>
      <c r="H939" s="2">
        <f>AVERAGEIFS([3]!players[xp_per_min], [3]!players[name],A939,[3]!players[hero_name],B939)</f>
        <v>553</v>
      </c>
    </row>
    <row r="940" spans="1:8" x14ac:dyDescent="0.3">
      <c r="A940" t="str">
        <v>kaeioet^^</v>
      </c>
      <c r="B940" t="str">
        <v>Medusa</v>
      </c>
      <c r="C940" t="str" cm="1">
        <f t="array" ref="C940">_xlfn.XLOOKUP(1,([3]!players[name]=A940)*([3]!players[hero_name]=B940),[3]!players[lane_name])</f>
        <v>Carry</v>
      </c>
      <c r="D940">
        <f>COUNTIFS([3]!players[name],A940,[3]!players[hero_name],B940)</f>
        <v>1</v>
      </c>
      <c r="E940">
        <f>COUNTIFS([3]!players[name],A940,[3]!players[hero_name],B940, [3]!players[win], 1)</f>
        <v>0</v>
      </c>
      <c r="F940" s="1">
        <f t="shared" si="14"/>
        <v>0</v>
      </c>
      <c r="G940" s="2">
        <f>AVERAGEIFS([3]!players[gold_per_min], [3]!players[name],A940,[3]!players[hero_name],B940)</f>
        <v>579</v>
      </c>
      <c r="H940" s="2">
        <f>AVERAGEIFS([3]!players[xp_per_min], [3]!players[name],A940,[3]!players[hero_name],B940)</f>
        <v>669</v>
      </c>
    </row>
    <row r="941" spans="1:8" x14ac:dyDescent="0.3">
      <c r="A941" t="str">
        <v>kaeioet^^</v>
      </c>
      <c r="B941" t="str">
        <v>Lifestealer</v>
      </c>
      <c r="C941" t="str" cm="1">
        <f t="array" ref="C941">_xlfn.XLOOKUP(1,([3]!players[name]=A941)*([3]!players[hero_name]=B941),[3]!players[lane_name])</f>
        <v>Off Lane</v>
      </c>
      <c r="D941">
        <f>COUNTIFS([3]!players[name],A941,[3]!players[hero_name],B941)</f>
        <v>1</v>
      </c>
      <c r="E941">
        <f>COUNTIFS([3]!players[name],A941,[3]!players[hero_name],B941, [3]!players[win], 1)</f>
        <v>0</v>
      </c>
      <c r="F941" s="1">
        <f t="shared" si="14"/>
        <v>0</v>
      </c>
      <c r="G941" s="2">
        <f>AVERAGEIFS([3]!players[gold_per_min], [3]!players[name],A941,[3]!players[hero_name],B941)</f>
        <v>584</v>
      </c>
      <c r="H941" s="2">
        <f>AVERAGEIFS([3]!players[xp_per_min], [3]!players[name],A941,[3]!players[hero_name],B941)</f>
        <v>789</v>
      </c>
    </row>
    <row r="942" spans="1:8" x14ac:dyDescent="0.3">
      <c r="A942" t="str">
        <v>kaori</v>
      </c>
      <c r="B942" t="str">
        <v>Venomancer</v>
      </c>
      <c r="C942" t="str" cm="1">
        <f t="array" ref="C942">_xlfn.XLOOKUP(1,([3]!players[name]=A942)*([3]!players[hero_name]=B942),[3]!players[lane_name])</f>
        <v>Roam</v>
      </c>
      <c r="D942">
        <f>COUNTIFS([3]!players[name],A942,[3]!players[hero_name],B942)</f>
        <v>5</v>
      </c>
      <c r="E942">
        <f>COUNTIFS([3]!players[name],A942,[3]!players[hero_name],B942, [3]!players[win], 1)</f>
        <v>4</v>
      </c>
      <c r="F942" s="1">
        <f t="shared" si="14"/>
        <v>0.8</v>
      </c>
      <c r="G942" s="2">
        <f>AVERAGEIFS([3]!players[gold_per_min], [3]!players[name],A942,[3]!players[hero_name],B942)</f>
        <v>417.4</v>
      </c>
      <c r="H942" s="2">
        <f>AVERAGEIFS([3]!players[xp_per_min], [3]!players[name],A942,[3]!players[hero_name],B942)</f>
        <v>579.6</v>
      </c>
    </row>
    <row r="943" spans="1:8" x14ac:dyDescent="0.3">
      <c r="A943" t="str">
        <v>kaori</v>
      </c>
      <c r="B943" t="str">
        <v>Enchantress</v>
      </c>
      <c r="C943" t="str" cm="1">
        <f t="array" ref="C943">_xlfn.XLOOKUP(1,([3]!players[name]=A943)*([3]!players[hero_name]=B943),[3]!players[lane_name])</f>
        <v>Soft Support</v>
      </c>
      <c r="D943">
        <f>COUNTIFS([3]!players[name],A943,[3]!players[hero_name],B943)</f>
        <v>3</v>
      </c>
      <c r="E943">
        <f>COUNTIFS([3]!players[name],A943,[3]!players[hero_name],B943, [3]!players[win], 1)</f>
        <v>2</v>
      </c>
      <c r="F943" s="1">
        <f t="shared" si="14"/>
        <v>0.66666666666666663</v>
      </c>
      <c r="G943" s="2">
        <f>AVERAGEIFS([3]!players[gold_per_min], [3]!players[name],A943,[3]!players[hero_name],B943)</f>
        <v>352</v>
      </c>
      <c r="H943" s="2">
        <f>AVERAGEIFS([3]!players[xp_per_min], [3]!players[name],A943,[3]!players[hero_name],B943)</f>
        <v>528.66666666666663</v>
      </c>
    </row>
    <row r="944" spans="1:8" x14ac:dyDescent="0.3">
      <c r="A944" t="str">
        <v>kaori</v>
      </c>
      <c r="B944" t="str">
        <v>Jakiro</v>
      </c>
      <c r="C944" t="str" cm="1">
        <f t="array" ref="C944">_xlfn.XLOOKUP(1,([3]!players[name]=A944)*([3]!players[hero_name]=B944),[3]!players[lane_name])</f>
        <v>Soft Support</v>
      </c>
      <c r="D944">
        <f>COUNTIFS([3]!players[name],A944,[3]!players[hero_name],B944)</f>
        <v>8</v>
      </c>
      <c r="E944">
        <f>COUNTIFS([3]!players[name],A944,[3]!players[hero_name],B944, [3]!players[win], 1)</f>
        <v>6</v>
      </c>
      <c r="F944" s="1">
        <f t="shared" si="14"/>
        <v>0.75</v>
      </c>
      <c r="G944" s="2">
        <f>AVERAGEIFS([3]!players[gold_per_min], [3]!players[name],A944,[3]!players[hero_name],B944)</f>
        <v>350.375</v>
      </c>
      <c r="H944" s="2">
        <f>AVERAGEIFS([3]!players[xp_per_min], [3]!players[name],A944,[3]!players[hero_name],B944)</f>
        <v>503.125</v>
      </c>
    </row>
    <row r="945" spans="1:8" x14ac:dyDescent="0.3">
      <c r="A945" t="str">
        <v>kaori</v>
      </c>
      <c r="B945" t="str">
        <v>Warlock</v>
      </c>
      <c r="C945" t="str" cm="1">
        <f t="array" ref="C945">_xlfn.XLOOKUP(1,([3]!players[name]=A945)*([3]!players[hero_name]=B945),[3]!players[lane_name])</f>
        <v>Soft Support</v>
      </c>
      <c r="D945">
        <f>COUNTIFS([3]!players[name],A945,[3]!players[hero_name],B945)</f>
        <v>10</v>
      </c>
      <c r="E945">
        <f>COUNTIFS([3]!players[name],A945,[3]!players[hero_name],B945, [3]!players[win], 1)</f>
        <v>5</v>
      </c>
      <c r="F945" s="1">
        <f t="shared" si="14"/>
        <v>0.5</v>
      </c>
      <c r="G945" s="2">
        <f>AVERAGEIFS([3]!players[gold_per_min], [3]!players[name],A945,[3]!players[hero_name],B945)</f>
        <v>368.9</v>
      </c>
      <c r="H945" s="2">
        <f>AVERAGEIFS([3]!players[xp_per_min], [3]!players[name],A945,[3]!players[hero_name],B945)</f>
        <v>465.4</v>
      </c>
    </row>
    <row r="946" spans="1:8" x14ac:dyDescent="0.3">
      <c r="A946" t="str">
        <v>kaori</v>
      </c>
      <c r="B946" t="str">
        <v>Phoenix</v>
      </c>
      <c r="C946" t="str" cm="1">
        <f t="array" ref="C946">_xlfn.XLOOKUP(1,([3]!players[name]=A946)*([3]!players[hero_name]=B946),[3]!players[lane_name])</f>
        <v>Soft Support</v>
      </c>
      <c r="D946">
        <f>COUNTIFS([3]!players[name],A946,[3]!players[hero_name],B946)</f>
        <v>2</v>
      </c>
      <c r="E946">
        <f>COUNTIFS([3]!players[name],A946,[3]!players[hero_name],B946, [3]!players[win], 1)</f>
        <v>0</v>
      </c>
      <c r="F946" s="1">
        <f t="shared" si="14"/>
        <v>0</v>
      </c>
      <c r="G946" s="2">
        <f>AVERAGEIFS([3]!players[gold_per_min], [3]!players[name],A946,[3]!players[hero_name],B946)</f>
        <v>373</v>
      </c>
      <c r="H946" s="2">
        <f>AVERAGEIFS([3]!players[xp_per_min], [3]!players[name],A946,[3]!players[hero_name],B946)</f>
        <v>607</v>
      </c>
    </row>
    <row r="947" spans="1:8" x14ac:dyDescent="0.3">
      <c r="A947" t="str">
        <v>kasane</v>
      </c>
      <c r="B947" t="str">
        <v>Enchantress</v>
      </c>
      <c r="C947" t="str" cm="1">
        <f t="array" ref="C947">_xlfn.XLOOKUP(1,([3]!players[name]=A947)*([3]!players[hero_name]=B947),[3]!players[lane_name])</f>
        <v>Soft Support</v>
      </c>
      <c r="D947">
        <f>COUNTIFS([3]!players[name],A947,[3]!players[hero_name],B947)</f>
        <v>2</v>
      </c>
      <c r="E947">
        <f>COUNTIFS([3]!players[name],A947,[3]!players[hero_name],B947, [3]!players[win], 1)</f>
        <v>1</v>
      </c>
      <c r="F947" s="1">
        <f t="shared" si="14"/>
        <v>0.5</v>
      </c>
      <c r="G947" s="2">
        <f>AVERAGEIFS([3]!players[gold_per_min], [3]!players[name],A947,[3]!players[hero_name],B947)</f>
        <v>358</v>
      </c>
      <c r="H947" s="2">
        <f>AVERAGEIFS([3]!players[xp_per_min], [3]!players[name],A947,[3]!players[hero_name],B947)</f>
        <v>491.5</v>
      </c>
    </row>
    <row r="948" spans="1:8" x14ac:dyDescent="0.3">
      <c r="A948" t="str">
        <v>kasane</v>
      </c>
      <c r="B948" t="str">
        <v>Silencer</v>
      </c>
      <c r="C948" t="str" cm="1">
        <f t="array" ref="C948">_xlfn.XLOOKUP(1,([3]!players[name]=A948)*([3]!players[hero_name]=B948),[3]!players[lane_name])</f>
        <v>Roam</v>
      </c>
      <c r="D948">
        <f>COUNTIFS([3]!players[name],A948,[3]!players[hero_name],B948)</f>
        <v>1</v>
      </c>
      <c r="E948">
        <f>COUNTIFS([3]!players[name],A948,[3]!players[hero_name],B948, [3]!players[win], 1)</f>
        <v>1</v>
      </c>
      <c r="F948" s="1">
        <f t="shared" si="14"/>
        <v>1</v>
      </c>
      <c r="G948" s="2">
        <f>AVERAGEIFS([3]!players[gold_per_min], [3]!players[name],A948,[3]!players[hero_name],B948)</f>
        <v>383</v>
      </c>
      <c r="H948" s="2">
        <f>AVERAGEIFS([3]!players[xp_per_min], [3]!players[name],A948,[3]!players[hero_name],B948)</f>
        <v>527</v>
      </c>
    </row>
    <row r="949" spans="1:8" x14ac:dyDescent="0.3">
      <c r="A949" t="str">
        <v>Kataomi`</v>
      </c>
      <c r="B949" t="str">
        <v>Lich</v>
      </c>
      <c r="C949" t="str" cm="1">
        <f t="array" ref="C949">_xlfn.XLOOKUP(1,([3]!players[name]=A949)*([3]!players[hero_name]=B949),[3]!players[lane_name])</f>
        <v>Hard Support</v>
      </c>
      <c r="D949">
        <f>COUNTIFS([3]!players[name],A949,[3]!players[hero_name],B949)</f>
        <v>8</v>
      </c>
      <c r="E949">
        <f>COUNTIFS([3]!players[name],A949,[3]!players[hero_name],B949, [3]!players[win], 1)</f>
        <v>5</v>
      </c>
      <c r="F949" s="1">
        <f t="shared" si="14"/>
        <v>0.625</v>
      </c>
      <c r="G949" s="2">
        <f>AVERAGEIFS([3]!players[gold_per_min], [3]!players[name],A949,[3]!players[hero_name],B949)</f>
        <v>373.625</v>
      </c>
      <c r="H949" s="2">
        <f>AVERAGEIFS([3]!players[xp_per_min], [3]!players[name],A949,[3]!players[hero_name],B949)</f>
        <v>521.875</v>
      </c>
    </row>
    <row r="950" spans="1:8" x14ac:dyDescent="0.3">
      <c r="A950" t="str">
        <v>Kataomi`</v>
      </c>
      <c r="B950" t="str">
        <v>Winter Wyvern</v>
      </c>
      <c r="C950" t="str" cm="1">
        <f t="array" ref="C950">_xlfn.XLOOKUP(1,([3]!players[name]=A950)*([3]!players[hero_name]=B950),[3]!players[lane_name])</f>
        <v>Hard Support</v>
      </c>
      <c r="D950">
        <f>COUNTIFS([3]!players[name],A950,[3]!players[hero_name],B950)</f>
        <v>5</v>
      </c>
      <c r="E950">
        <f>COUNTIFS([3]!players[name],A950,[3]!players[hero_name],B950, [3]!players[win], 1)</f>
        <v>4</v>
      </c>
      <c r="F950" s="1">
        <f t="shared" si="14"/>
        <v>0.8</v>
      </c>
      <c r="G950" s="2">
        <f>AVERAGEIFS([3]!players[gold_per_min], [3]!players[name],A950,[3]!players[hero_name],B950)</f>
        <v>333.8</v>
      </c>
      <c r="H950" s="2">
        <f>AVERAGEIFS([3]!players[xp_per_min], [3]!players[name],A950,[3]!players[hero_name],B950)</f>
        <v>467</v>
      </c>
    </row>
    <row r="951" spans="1:8" x14ac:dyDescent="0.3">
      <c r="A951" t="str">
        <v>Kataomi`</v>
      </c>
      <c r="B951" t="str">
        <v>Tusk</v>
      </c>
      <c r="C951" t="str" cm="1">
        <f t="array" ref="C951">_xlfn.XLOOKUP(1,([3]!players[name]=A951)*([3]!players[hero_name]=B951),[3]!players[lane_name])</f>
        <v>Hard Support</v>
      </c>
      <c r="D951">
        <f>COUNTIFS([3]!players[name],A951,[3]!players[hero_name],B951)</f>
        <v>4</v>
      </c>
      <c r="E951">
        <f>COUNTIFS([3]!players[name],A951,[3]!players[hero_name],B951, [3]!players[win], 1)</f>
        <v>4</v>
      </c>
      <c r="F951" s="1">
        <f t="shared" si="14"/>
        <v>1</v>
      </c>
      <c r="G951" s="2">
        <f>AVERAGEIFS([3]!players[gold_per_min], [3]!players[name],A951,[3]!players[hero_name],B951)</f>
        <v>361</v>
      </c>
      <c r="H951" s="2">
        <f>AVERAGEIFS([3]!players[xp_per_min], [3]!players[name],A951,[3]!players[hero_name],B951)</f>
        <v>629.75</v>
      </c>
    </row>
    <row r="952" spans="1:8" x14ac:dyDescent="0.3">
      <c r="A952" t="str">
        <v>Kataomi`</v>
      </c>
      <c r="B952" t="str">
        <v>Silencer</v>
      </c>
      <c r="C952" t="str" cm="1">
        <f t="array" ref="C952">_xlfn.XLOOKUP(1,([3]!players[name]=A952)*([3]!players[hero_name]=B952),[3]!players[lane_name])</f>
        <v>Hard Support</v>
      </c>
      <c r="D952">
        <f>COUNTIFS([3]!players[name],A952,[3]!players[hero_name],B952)</f>
        <v>7</v>
      </c>
      <c r="E952">
        <f>COUNTIFS([3]!players[name],A952,[3]!players[hero_name],B952, [3]!players[win], 1)</f>
        <v>6</v>
      </c>
      <c r="F952" s="1">
        <f t="shared" si="14"/>
        <v>0.8571428571428571</v>
      </c>
      <c r="G952" s="2">
        <f>AVERAGEIFS([3]!players[gold_per_min], [3]!players[name],A952,[3]!players[hero_name],B952)</f>
        <v>353.42857142857144</v>
      </c>
      <c r="H952" s="2">
        <f>AVERAGEIFS([3]!players[xp_per_min], [3]!players[name],A952,[3]!players[hero_name],B952)</f>
        <v>463.57142857142856</v>
      </c>
    </row>
    <row r="953" spans="1:8" x14ac:dyDescent="0.3">
      <c r="A953" t="str">
        <v>Kataomi`</v>
      </c>
      <c r="B953" t="str">
        <v>Crystal Maiden</v>
      </c>
      <c r="C953" t="str" cm="1">
        <f t="array" ref="C953">_xlfn.XLOOKUP(1,([3]!players[name]=A953)*([3]!players[hero_name]=B953),[3]!players[lane_name])</f>
        <v>Hard Support</v>
      </c>
      <c r="D953">
        <f>COUNTIFS([3]!players[name],A953,[3]!players[hero_name],B953)</f>
        <v>2</v>
      </c>
      <c r="E953">
        <f>COUNTIFS([3]!players[name],A953,[3]!players[hero_name],B953, [3]!players[win], 1)</f>
        <v>2</v>
      </c>
      <c r="F953" s="1">
        <f t="shared" si="14"/>
        <v>1</v>
      </c>
      <c r="G953" s="2">
        <f>AVERAGEIFS([3]!players[gold_per_min], [3]!players[name],A953,[3]!players[hero_name],B953)</f>
        <v>399.5</v>
      </c>
      <c r="H953" s="2">
        <f>AVERAGEIFS([3]!players[xp_per_min], [3]!players[name],A953,[3]!players[hero_name],B953)</f>
        <v>583.5</v>
      </c>
    </row>
    <row r="954" spans="1:8" x14ac:dyDescent="0.3">
      <c r="A954" t="str">
        <v>Kataomi`</v>
      </c>
      <c r="B954" t="str">
        <v>Phoenix</v>
      </c>
      <c r="C954" t="str" cm="1">
        <f t="array" ref="C954">_xlfn.XLOOKUP(1,([3]!players[name]=A954)*([3]!players[hero_name]=B954),[3]!players[lane_name])</f>
        <v>Soft Support</v>
      </c>
      <c r="D954">
        <f>COUNTIFS([3]!players[name],A954,[3]!players[hero_name],B954)</f>
        <v>4</v>
      </c>
      <c r="E954">
        <f>COUNTIFS([3]!players[name],A954,[3]!players[hero_name],B954, [3]!players[win], 1)</f>
        <v>3</v>
      </c>
      <c r="F954" s="1">
        <f t="shared" si="14"/>
        <v>0.75</v>
      </c>
      <c r="G954" s="2">
        <f>AVERAGEIFS([3]!players[gold_per_min], [3]!players[name],A954,[3]!players[hero_name],B954)</f>
        <v>407.25</v>
      </c>
      <c r="H954" s="2">
        <f>AVERAGEIFS([3]!players[xp_per_min], [3]!players[name],A954,[3]!players[hero_name],B954)</f>
        <v>495.75</v>
      </c>
    </row>
    <row r="955" spans="1:8" x14ac:dyDescent="0.3">
      <c r="A955" t="str">
        <v>Kataomi`</v>
      </c>
      <c r="B955" t="str">
        <v>Bane</v>
      </c>
      <c r="C955" t="str" cm="1">
        <f t="array" ref="C955">_xlfn.XLOOKUP(1,([3]!players[name]=A955)*([3]!players[hero_name]=B955),[3]!players[lane_name])</f>
        <v>Roam</v>
      </c>
      <c r="D955">
        <f>COUNTIFS([3]!players[name],A955,[3]!players[hero_name],B955)</f>
        <v>1</v>
      </c>
      <c r="E955">
        <f>COUNTIFS([3]!players[name],A955,[3]!players[hero_name],B955, [3]!players[win], 1)</f>
        <v>0</v>
      </c>
      <c r="F955" s="1">
        <f t="shared" si="14"/>
        <v>0</v>
      </c>
      <c r="G955" s="2">
        <f>AVERAGEIFS([3]!players[gold_per_min], [3]!players[name],A955,[3]!players[hero_name],B955)</f>
        <v>291</v>
      </c>
      <c r="H955" s="2">
        <f>AVERAGEIFS([3]!players[xp_per_min], [3]!players[name],A955,[3]!players[hero_name],B955)</f>
        <v>360</v>
      </c>
    </row>
    <row r="956" spans="1:8" x14ac:dyDescent="0.3">
      <c r="A956" t="str">
        <v>Kataomi`</v>
      </c>
      <c r="B956" t="str">
        <v>Treant Protector</v>
      </c>
      <c r="C956" t="str" cm="1">
        <f t="array" ref="C956">_xlfn.XLOOKUP(1,([3]!players[name]=A956)*([3]!players[hero_name]=B956),[3]!players[lane_name])</f>
        <v>Hard Support</v>
      </c>
      <c r="D956">
        <f>COUNTIFS([3]!players[name],A956,[3]!players[hero_name],B956)</f>
        <v>1</v>
      </c>
      <c r="E956">
        <f>COUNTIFS([3]!players[name],A956,[3]!players[hero_name],B956, [3]!players[win], 1)</f>
        <v>1</v>
      </c>
      <c r="F956" s="1">
        <f t="shared" si="14"/>
        <v>1</v>
      </c>
      <c r="G956" s="2">
        <f>AVERAGEIFS([3]!players[gold_per_min], [3]!players[name],A956,[3]!players[hero_name],B956)</f>
        <v>306</v>
      </c>
      <c r="H956" s="2">
        <f>AVERAGEIFS([3]!players[xp_per_min], [3]!players[name],A956,[3]!players[hero_name],B956)</f>
        <v>462</v>
      </c>
    </row>
    <row r="957" spans="1:8" x14ac:dyDescent="0.3">
      <c r="A957" t="str">
        <v>Kataomi`</v>
      </c>
      <c r="B957" t="str">
        <v>Oracle</v>
      </c>
      <c r="C957" t="str" cm="1">
        <f t="array" ref="C957">_xlfn.XLOOKUP(1,([3]!players[name]=A957)*([3]!players[hero_name]=B957),[3]!players[lane_name])</f>
        <v>Hard Support</v>
      </c>
      <c r="D957">
        <f>COUNTIFS([3]!players[name],A957,[3]!players[hero_name],B957)</f>
        <v>2</v>
      </c>
      <c r="E957">
        <f>COUNTIFS([3]!players[name],A957,[3]!players[hero_name],B957, [3]!players[win], 1)</f>
        <v>2</v>
      </c>
      <c r="F957" s="1">
        <f t="shared" si="14"/>
        <v>1</v>
      </c>
      <c r="G957" s="2">
        <f>AVERAGEIFS([3]!players[gold_per_min], [3]!players[name],A957,[3]!players[hero_name],B957)</f>
        <v>368</v>
      </c>
      <c r="H957" s="2">
        <f>AVERAGEIFS([3]!players[xp_per_min], [3]!players[name],A957,[3]!players[hero_name],B957)</f>
        <v>557.5</v>
      </c>
    </row>
    <row r="958" spans="1:8" x14ac:dyDescent="0.3">
      <c r="A958" t="str">
        <v>Ken</v>
      </c>
      <c r="B958" t="str">
        <v>Void Spirit</v>
      </c>
      <c r="C958" t="str" cm="1">
        <f t="array" ref="C958">_xlfn.XLOOKUP(1,([3]!players[name]=A958)*([3]!players[hero_name]=B958),[3]!players[lane_name])</f>
        <v>Mid</v>
      </c>
      <c r="D958">
        <f>COUNTIFS([3]!players[name],A958,[3]!players[hero_name],B958)</f>
        <v>7</v>
      </c>
      <c r="E958">
        <f>COUNTIFS([3]!players[name],A958,[3]!players[hero_name],B958, [3]!players[win], 1)</f>
        <v>1</v>
      </c>
      <c r="F958" s="1">
        <f t="shared" si="14"/>
        <v>0.14285714285714285</v>
      </c>
      <c r="G958" s="2">
        <f>AVERAGEIFS([3]!players[gold_per_min], [3]!players[name],A958,[3]!players[hero_name],B958)</f>
        <v>484.71428571428572</v>
      </c>
      <c r="H958" s="2">
        <f>AVERAGEIFS([3]!players[xp_per_min], [3]!players[name],A958,[3]!players[hero_name],B958)</f>
        <v>543</v>
      </c>
    </row>
    <row r="959" spans="1:8" x14ac:dyDescent="0.3">
      <c r="A959" t="str">
        <v>Ken</v>
      </c>
      <c r="B959" t="str">
        <v>Sand King</v>
      </c>
      <c r="C959" t="str" cm="1">
        <f t="array" ref="C959">_xlfn.XLOOKUP(1,([3]!players[name]=A959)*([3]!players[hero_name]=B959),[3]!players[lane_name])</f>
        <v>Mid</v>
      </c>
      <c r="D959">
        <f>COUNTIFS([3]!players[name],A959,[3]!players[hero_name],B959)</f>
        <v>7</v>
      </c>
      <c r="E959">
        <f>COUNTIFS([3]!players[name],A959,[3]!players[hero_name],B959, [3]!players[win], 1)</f>
        <v>4</v>
      </c>
      <c r="F959" s="1">
        <f t="shared" si="14"/>
        <v>0.5714285714285714</v>
      </c>
      <c r="G959" s="2">
        <f>AVERAGEIFS([3]!players[gold_per_min], [3]!players[name],A959,[3]!players[hero_name],B959)</f>
        <v>614.85714285714289</v>
      </c>
      <c r="H959" s="2">
        <f>AVERAGEIFS([3]!players[xp_per_min], [3]!players[name],A959,[3]!players[hero_name],B959)</f>
        <v>815.85714285714289</v>
      </c>
    </row>
    <row r="960" spans="1:8" x14ac:dyDescent="0.3">
      <c r="A960" t="str">
        <v>Ken</v>
      </c>
      <c r="B960" t="str">
        <v>Puck</v>
      </c>
      <c r="C960" t="str" cm="1">
        <f t="array" ref="C960">_xlfn.XLOOKUP(1,([3]!players[name]=A960)*([3]!players[hero_name]=B960),[3]!players[lane_name])</f>
        <v>Mid</v>
      </c>
      <c r="D960">
        <f>COUNTIFS([3]!players[name],A960,[3]!players[hero_name],B960)</f>
        <v>5</v>
      </c>
      <c r="E960">
        <f>COUNTIFS([3]!players[name],A960,[3]!players[hero_name],B960, [3]!players[win], 1)</f>
        <v>4</v>
      </c>
      <c r="F960" s="1">
        <f t="shared" si="14"/>
        <v>0.8</v>
      </c>
      <c r="G960" s="2">
        <f>AVERAGEIFS([3]!players[gold_per_min], [3]!players[name],A960,[3]!players[hero_name],B960)</f>
        <v>639.79999999999995</v>
      </c>
      <c r="H960" s="2">
        <f>AVERAGEIFS([3]!players[xp_per_min], [3]!players[name],A960,[3]!players[hero_name],B960)</f>
        <v>961.8</v>
      </c>
    </row>
    <row r="961" spans="1:8" x14ac:dyDescent="0.3">
      <c r="A961" t="str">
        <v>Ken</v>
      </c>
      <c r="B961" t="str">
        <v>Storm Spirit</v>
      </c>
      <c r="C961" t="str" cm="1">
        <f t="array" ref="C961">_xlfn.XLOOKUP(1,([3]!players[name]=A961)*([3]!players[hero_name]=B961),[3]!players[lane_name])</f>
        <v>Mid</v>
      </c>
      <c r="D961">
        <f>COUNTIFS([3]!players[name],A961,[3]!players[hero_name],B961)</f>
        <v>9</v>
      </c>
      <c r="E961">
        <f>COUNTIFS([3]!players[name],A961,[3]!players[hero_name],B961, [3]!players[win], 1)</f>
        <v>7</v>
      </c>
      <c r="F961" s="1">
        <f t="shared" si="14"/>
        <v>0.77777777777777779</v>
      </c>
      <c r="G961" s="2">
        <f>AVERAGEIFS([3]!players[gold_per_min], [3]!players[name],A961,[3]!players[hero_name],B961)</f>
        <v>629.66666666666663</v>
      </c>
      <c r="H961" s="2">
        <f>AVERAGEIFS([3]!players[xp_per_min], [3]!players[name],A961,[3]!players[hero_name],B961)</f>
        <v>874.88888888888891</v>
      </c>
    </row>
    <row r="962" spans="1:8" x14ac:dyDescent="0.3">
      <c r="A962" t="str">
        <v>Ken</v>
      </c>
      <c r="B962" t="str">
        <v>Pangolier</v>
      </c>
      <c r="C962" t="str" cm="1">
        <f t="array" ref="C962">_xlfn.XLOOKUP(1,([3]!players[name]=A962)*([3]!players[hero_name]=B962),[3]!players[lane_name])</f>
        <v>Mid</v>
      </c>
      <c r="D962">
        <f>COUNTIFS([3]!players[name],A962,[3]!players[hero_name],B962)</f>
        <v>11</v>
      </c>
      <c r="E962">
        <f>COUNTIFS([3]!players[name],A962,[3]!players[hero_name],B962, [3]!players[win], 1)</f>
        <v>4</v>
      </c>
      <c r="F962" s="1">
        <f t="shared" si="14"/>
        <v>0.36363636363636365</v>
      </c>
      <c r="G962" s="2">
        <f>AVERAGEIFS([3]!players[gold_per_min], [3]!players[name],A962,[3]!players[hero_name],B962)</f>
        <v>583.72727272727275</v>
      </c>
      <c r="H962" s="2">
        <f>AVERAGEIFS([3]!players[xp_per_min], [3]!players[name],A962,[3]!players[hero_name],B962)</f>
        <v>783.27272727272725</v>
      </c>
    </row>
    <row r="963" spans="1:8" x14ac:dyDescent="0.3">
      <c r="A963" t="str">
        <v>Ken</v>
      </c>
      <c r="B963" t="str">
        <v>Invoker</v>
      </c>
      <c r="C963" t="str" cm="1">
        <f t="array" ref="C963">_xlfn.XLOOKUP(1,([3]!players[name]=A963)*([3]!players[hero_name]=B963),[3]!players[lane_name])</f>
        <v>Mid</v>
      </c>
      <c r="D963">
        <f>COUNTIFS([3]!players[name],A963,[3]!players[hero_name],B963)</f>
        <v>2</v>
      </c>
      <c r="E963">
        <f>COUNTIFS([3]!players[name],A963,[3]!players[hero_name],B963, [3]!players[win], 1)</f>
        <v>1</v>
      </c>
      <c r="F963" s="1">
        <f t="shared" ref="F963:F1026" si="15">E963/D963</f>
        <v>0.5</v>
      </c>
      <c r="G963" s="2">
        <f>AVERAGEIFS([3]!players[gold_per_min], [3]!players[name],A963,[3]!players[hero_name],B963)</f>
        <v>622.5</v>
      </c>
      <c r="H963" s="2">
        <f>AVERAGEIFS([3]!players[xp_per_min], [3]!players[name],A963,[3]!players[hero_name],B963)</f>
        <v>687.5</v>
      </c>
    </row>
    <row r="964" spans="1:8" x14ac:dyDescent="0.3">
      <c r="A964" t="str">
        <v>Ken</v>
      </c>
      <c r="B964" t="str">
        <v>Ember Spirit</v>
      </c>
      <c r="C964" t="str" cm="1">
        <f t="array" ref="C964">_xlfn.XLOOKUP(1,([3]!players[name]=A964)*([3]!players[hero_name]=B964),[3]!players[lane_name])</f>
        <v>Mid</v>
      </c>
      <c r="D964">
        <f>COUNTIFS([3]!players[name],A964,[3]!players[hero_name],B964)</f>
        <v>10</v>
      </c>
      <c r="E964">
        <f>COUNTIFS([3]!players[name],A964,[3]!players[hero_name],B964, [3]!players[win], 1)</f>
        <v>4</v>
      </c>
      <c r="F964" s="1">
        <f t="shared" si="15"/>
        <v>0.4</v>
      </c>
      <c r="G964" s="2">
        <f>AVERAGEIFS([3]!players[gold_per_min], [3]!players[name],A964,[3]!players[hero_name],B964)</f>
        <v>552.70000000000005</v>
      </c>
      <c r="H964" s="2">
        <f>AVERAGEIFS([3]!players[xp_per_min], [3]!players[name],A964,[3]!players[hero_name],B964)</f>
        <v>700.6</v>
      </c>
    </row>
    <row r="965" spans="1:8" x14ac:dyDescent="0.3">
      <c r="A965" t="str">
        <v>Ken</v>
      </c>
      <c r="B965" t="str">
        <v>Slardar</v>
      </c>
      <c r="C965" t="str" cm="1">
        <f t="array" ref="C965">_xlfn.XLOOKUP(1,([3]!players[name]=A965)*([3]!players[hero_name]=B965),[3]!players[lane_name])</f>
        <v>Mid</v>
      </c>
      <c r="D965">
        <f>COUNTIFS([3]!players[name],A965,[3]!players[hero_name],B965)</f>
        <v>1</v>
      </c>
      <c r="E965">
        <f>COUNTIFS([3]!players[name],A965,[3]!players[hero_name],B965, [3]!players[win], 1)</f>
        <v>1</v>
      </c>
      <c r="F965" s="1">
        <f t="shared" si="15"/>
        <v>1</v>
      </c>
      <c r="G965" s="2">
        <f>AVERAGEIFS([3]!players[gold_per_min], [3]!players[name],A965,[3]!players[hero_name],B965)</f>
        <v>750</v>
      </c>
      <c r="H965" s="2">
        <f>AVERAGEIFS([3]!players[xp_per_min], [3]!players[name],A965,[3]!players[hero_name],B965)</f>
        <v>1215</v>
      </c>
    </row>
    <row r="966" spans="1:8" x14ac:dyDescent="0.3">
      <c r="A966" t="str">
        <v>Ken</v>
      </c>
      <c r="B966" t="str">
        <v>Queen of Pain</v>
      </c>
      <c r="C966" t="str" cm="1">
        <f t="array" ref="C966">_xlfn.XLOOKUP(1,([3]!players[name]=A966)*([3]!players[hero_name]=B966),[3]!players[lane_name])</f>
        <v>Mid</v>
      </c>
      <c r="D966">
        <f>COUNTIFS([3]!players[name],A966,[3]!players[hero_name],B966)</f>
        <v>2</v>
      </c>
      <c r="E966">
        <f>COUNTIFS([3]!players[name],A966,[3]!players[hero_name],B966, [3]!players[win], 1)</f>
        <v>0</v>
      </c>
      <c r="F966" s="1">
        <f t="shared" si="15"/>
        <v>0</v>
      </c>
      <c r="G966" s="2">
        <f>AVERAGEIFS([3]!players[gold_per_min], [3]!players[name],A966,[3]!players[hero_name],B966)</f>
        <v>573.5</v>
      </c>
      <c r="H966" s="2">
        <f>AVERAGEIFS([3]!players[xp_per_min], [3]!players[name],A966,[3]!players[hero_name],B966)</f>
        <v>569.5</v>
      </c>
    </row>
    <row r="967" spans="1:8" x14ac:dyDescent="0.3">
      <c r="A967" t="str">
        <v>KG_Zayac</v>
      </c>
      <c r="B967" t="str">
        <v>Hoodwink</v>
      </c>
      <c r="C967" t="str" cm="1">
        <f t="array" ref="C967">_xlfn.XLOOKUP(1,([3]!players[name]=A967)*([3]!players[hero_name]=B967),[3]!players[lane_name])</f>
        <v>Roam</v>
      </c>
      <c r="D967">
        <f>COUNTIFS([3]!players[name],A967,[3]!players[hero_name],B967)</f>
        <v>3</v>
      </c>
      <c r="E967">
        <f>COUNTIFS([3]!players[name],A967,[3]!players[hero_name],B967, [3]!players[win], 1)</f>
        <v>0</v>
      </c>
      <c r="F967" s="1">
        <f t="shared" si="15"/>
        <v>0</v>
      </c>
      <c r="G967" s="2">
        <f>AVERAGEIFS([3]!players[gold_per_min], [3]!players[name],A967,[3]!players[hero_name],B967)</f>
        <v>318.33333333333331</v>
      </c>
      <c r="H967" s="2">
        <f>AVERAGEIFS([3]!players[xp_per_min], [3]!players[name],A967,[3]!players[hero_name],B967)</f>
        <v>436.33333333333331</v>
      </c>
    </row>
    <row r="968" spans="1:8" x14ac:dyDescent="0.3">
      <c r="A968" t="str">
        <v>KG_Zayac</v>
      </c>
      <c r="B968" t="str">
        <v>Tusk</v>
      </c>
      <c r="C968" t="str" cm="1">
        <f t="array" ref="C968">_xlfn.XLOOKUP(1,([3]!players[name]=A968)*([3]!players[hero_name]=B968),[3]!players[lane_name])</f>
        <v>Roam</v>
      </c>
      <c r="D968">
        <f>COUNTIFS([3]!players[name],A968,[3]!players[hero_name],B968)</f>
        <v>5</v>
      </c>
      <c r="E968">
        <f>COUNTIFS([3]!players[name],A968,[3]!players[hero_name],B968, [3]!players[win], 1)</f>
        <v>4</v>
      </c>
      <c r="F968" s="1">
        <f t="shared" si="15"/>
        <v>0.8</v>
      </c>
      <c r="G968" s="2">
        <f>AVERAGEIFS([3]!players[gold_per_min], [3]!players[name],A968,[3]!players[hero_name],B968)</f>
        <v>287.2</v>
      </c>
      <c r="H968" s="2">
        <f>AVERAGEIFS([3]!players[xp_per_min], [3]!players[name],A968,[3]!players[hero_name],B968)</f>
        <v>492.4</v>
      </c>
    </row>
    <row r="969" spans="1:8" x14ac:dyDescent="0.3">
      <c r="A969" t="str">
        <v>KG_Zayac</v>
      </c>
      <c r="B969" t="str">
        <v>Treant Protector</v>
      </c>
      <c r="C969" t="str" cm="1">
        <f t="array" ref="C969">_xlfn.XLOOKUP(1,([3]!players[name]=A969)*([3]!players[hero_name]=B969),[3]!players[lane_name])</f>
        <v>Roam</v>
      </c>
      <c r="D969">
        <f>COUNTIFS([3]!players[name],A969,[3]!players[hero_name],B969)</f>
        <v>1</v>
      </c>
      <c r="E969">
        <f>COUNTIFS([3]!players[name],A969,[3]!players[hero_name],B969, [3]!players[win], 1)</f>
        <v>0</v>
      </c>
      <c r="F969" s="1">
        <f t="shared" si="15"/>
        <v>0</v>
      </c>
      <c r="G969" s="2">
        <f>AVERAGEIFS([3]!players[gold_per_min], [3]!players[name],A969,[3]!players[hero_name],B969)</f>
        <v>272</v>
      </c>
      <c r="H969" s="2">
        <f>AVERAGEIFS([3]!players[xp_per_min], [3]!players[name],A969,[3]!players[hero_name],B969)</f>
        <v>339</v>
      </c>
    </row>
    <row r="970" spans="1:8" x14ac:dyDescent="0.3">
      <c r="A970" t="str">
        <v>KG_Zayac</v>
      </c>
      <c r="B970" t="str">
        <v>Shadow Demon</v>
      </c>
      <c r="C970" t="str" cm="1">
        <f t="array" ref="C970">_xlfn.XLOOKUP(1,([3]!players[name]=A970)*([3]!players[hero_name]=B970),[3]!players[lane_name])</f>
        <v>Hard Support</v>
      </c>
      <c r="D970">
        <f>COUNTIFS([3]!players[name],A970,[3]!players[hero_name],B970)</f>
        <v>1</v>
      </c>
      <c r="E970">
        <f>COUNTIFS([3]!players[name],A970,[3]!players[hero_name],B970, [3]!players[win], 1)</f>
        <v>0</v>
      </c>
      <c r="F970" s="1">
        <f t="shared" si="15"/>
        <v>0</v>
      </c>
      <c r="G970" s="2">
        <f>AVERAGEIFS([3]!players[gold_per_min], [3]!players[name],A970,[3]!players[hero_name],B970)</f>
        <v>275</v>
      </c>
      <c r="H970" s="2">
        <f>AVERAGEIFS([3]!players[xp_per_min], [3]!players[name],A970,[3]!players[hero_name],B970)</f>
        <v>345</v>
      </c>
    </row>
    <row r="971" spans="1:8" x14ac:dyDescent="0.3">
      <c r="A971" t="str">
        <v>KG_Zayac</v>
      </c>
      <c r="B971" t="str">
        <v>Techies</v>
      </c>
      <c r="C971" t="str" cm="1">
        <f t="array" ref="C971">_xlfn.XLOOKUP(1,([3]!players[name]=A971)*([3]!players[hero_name]=B971),[3]!players[lane_name])</f>
        <v>Roam</v>
      </c>
      <c r="D971">
        <f>COUNTIFS([3]!players[name],A971,[3]!players[hero_name],B971)</f>
        <v>1</v>
      </c>
      <c r="E971">
        <f>COUNTIFS([3]!players[name],A971,[3]!players[hero_name],B971, [3]!players[win], 1)</f>
        <v>0</v>
      </c>
      <c r="F971" s="1">
        <f t="shared" si="15"/>
        <v>0</v>
      </c>
      <c r="G971" s="2">
        <f>AVERAGEIFS([3]!players[gold_per_min], [3]!players[name],A971,[3]!players[hero_name],B971)</f>
        <v>336</v>
      </c>
      <c r="H971" s="2">
        <f>AVERAGEIFS([3]!players[xp_per_min], [3]!players[name],A971,[3]!players[hero_name],B971)</f>
        <v>570</v>
      </c>
    </row>
    <row r="972" spans="1:8" x14ac:dyDescent="0.3">
      <c r="A972" t="str">
        <v>Kidaro</v>
      </c>
      <c r="B972" t="str">
        <v>Phoenix</v>
      </c>
      <c r="C972" t="str" cm="1">
        <f t="array" ref="C972">_xlfn.XLOOKUP(1,([3]!players[name]=A972)*([3]!players[hero_name]=B972),[3]!players[lane_name])</f>
        <v>Soft Support</v>
      </c>
      <c r="D972">
        <f>COUNTIFS([3]!players[name],A972,[3]!players[hero_name],B972)</f>
        <v>14</v>
      </c>
      <c r="E972">
        <f>COUNTIFS([3]!players[name],A972,[3]!players[hero_name],B972, [3]!players[win], 1)</f>
        <v>9</v>
      </c>
      <c r="F972" s="1">
        <f t="shared" si="15"/>
        <v>0.6428571428571429</v>
      </c>
      <c r="G972" s="2">
        <f>AVERAGEIFS([3]!players[gold_per_min], [3]!players[name],A972,[3]!players[hero_name],B972)</f>
        <v>347.78571428571428</v>
      </c>
      <c r="H972" s="2">
        <f>AVERAGEIFS([3]!players[xp_per_min], [3]!players[name],A972,[3]!players[hero_name],B972)</f>
        <v>451.07142857142856</v>
      </c>
    </row>
    <row r="973" spans="1:8" x14ac:dyDescent="0.3">
      <c r="A973" t="str">
        <v>Kidaro</v>
      </c>
      <c r="B973" t="str">
        <v>Jakiro</v>
      </c>
      <c r="C973" t="str" cm="1">
        <f t="array" ref="C973">_xlfn.XLOOKUP(1,([3]!players[name]=A973)*([3]!players[hero_name]=B973),[3]!players[lane_name])</f>
        <v>Soft Support</v>
      </c>
      <c r="D973">
        <f>COUNTIFS([3]!players[name],A973,[3]!players[hero_name],B973)</f>
        <v>14</v>
      </c>
      <c r="E973">
        <f>COUNTIFS([3]!players[name],A973,[3]!players[hero_name],B973, [3]!players[win], 1)</f>
        <v>7</v>
      </c>
      <c r="F973" s="1">
        <f t="shared" si="15"/>
        <v>0.5</v>
      </c>
      <c r="G973" s="2">
        <f>AVERAGEIFS([3]!players[gold_per_min], [3]!players[name],A973,[3]!players[hero_name],B973)</f>
        <v>312.71428571428572</v>
      </c>
      <c r="H973" s="2">
        <f>AVERAGEIFS([3]!players[xp_per_min], [3]!players[name],A973,[3]!players[hero_name],B973)</f>
        <v>443.35714285714283</v>
      </c>
    </row>
    <row r="974" spans="1:8" x14ac:dyDescent="0.3">
      <c r="A974" t="str">
        <v>Kidaro</v>
      </c>
      <c r="B974" t="str">
        <v>Venomancer</v>
      </c>
      <c r="C974" t="str" cm="1">
        <f t="array" ref="C974">_xlfn.XLOOKUP(1,([3]!players[name]=A974)*([3]!players[hero_name]=B974),[3]!players[lane_name])</f>
        <v>Roam</v>
      </c>
      <c r="D974">
        <f>COUNTIFS([3]!players[name],A974,[3]!players[hero_name],B974)</f>
        <v>3</v>
      </c>
      <c r="E974">
        <f>COUNTIFS([3]!players[name],A974,[3]!players[hero_name],B974, [3]!players[win], 1)</f>
        <v>2</v>
      </c>
      <c r="F974" s="1">
        <f t="shared" si="15"/>
        <v>0.66666666666666663</v>
      </c>
      <c r="G974" s="2">
        <f>AVERAGEIFS([3]!players[gold_per_min], [3]!players[name],A974,[3]!players[hero_name],B974)</f>
        <v>415.66666666666669</v>
      </c>
      <c r="H974" s="2">
        <f>AVERAGEIFS([3]!players[xp_per_min], [3]!players[name],A974,[3]!players[hero_name],B974)</f>
        <v>519</v>
      </c>
    </row>
    <row r="975" spans="1:8" x14ac:dyDescent="0.3">
      <c r="A975" t="str">
        <v>Kidaro</v>
      </c>
      <c r="B975" t="str">
        <v>Disruptor</v>
      </c>
      <c r="C975" t="str" cm="1">
        <f t="array" ref="C975">_xlfn.XLOOKUP(1,([3]!players[name]=A975)*([3]!players[hero_name]=B975),[3]!players[lane_name])</f>
        <v>Hard Support</v>
      </c>
      <c r="D975">
        <f>COUNTIFS([3]!players[name],A975,[3]!players[hero_name],B975)</f>
        <v>4</v>
      </c>
      <c r="E975">
        <f>COUNTIFS([3]!players[name],A975,[3]!players[hero_name],B975, [3]!players[win], 1)</f>
        <v>3</v>
      </c>
      <c r="F975" s="1">
        <f t="shared" si="15"/>
        <v>0.75</v>
      </c>
      <c r="G975" s="2">
        <f>AVERAGEIFS([3]!players[gold_per_min], [3]!players[name],A975,[3]!players[hero_name],B975)</f>
        <v>311.5</v>
      </c>
      <c r="H975" s="2">
        <f>AVERAGEIFS([3]!players[xp_per_min], [3]!players[name],A975,[3]!players[hero_name],B975)</f>
        <v>457</v>
      </c>
    </row>
    <row r="976" spans="1:8" x14ac:dyDescent="0.3">
      <c r="A976" t="str">
        <v>Kidaro</v>
      </c>
      <c r="B976" t="str">
        <v>Enchantress</v>
      </c>
      <c r="C976" t="str" cm="1">
        <f t="array" ref="C976">_xlfn.XLOOKUP(1,([3]!players[name]=A976)*([3]!players[hero_name]=B976),[3]!players[lane_name])</f>
        <v>Roam</v>
      </c>
      <c r="D976">
        <f>COUNTIFS([3]!players[name],A976,[3]!players[hero_name],B976)</f>
        <v>5</v>
      </c>
      <c r="E976">
        <f>COUNTIFS([3]!players[name],A976,[3]!players[hero_name],B976, [3]!players[win], 1)</f>
        <v>3</v>
      </c>
      <c r="F976" s="1">
        <f t="shared" si="15"/>
        <v>0.6</v>
      </c>
      <c r="G976" s="2">
        <f>AVERAGEIFS([3]!players[gold_per_min], [3]!players[name],A976,[3]!players[hero_name],B976)</f>
        <v>315.39999999999998</v>
      </c>
      <c r="H976" s="2">
        <f>AVERAGEIFS([3]!players[xp_per_min], [3]!players[name],A976,[3]!players[hero_name],B976)</f>
        <v>415.4</v>
      </c>
    </row>
    <row r="977" spans="1:8" x14ac:dyDescent="0.3">
      <c r="A977" t="str">
        <v>Kidaro</v>
      </c>
      <c r="B977" t="str">
        <v>Pugna</v>
      </c>
      <c r="C977" t="str" cm="1">
        <f t="array" ref="C977">_xlfn.XLOOKUP(1,([3]!players[name]=A977)*([3]!players[hero_name]=B977),[3]!players[lane_name])</f>
        <v>Hard Support</v>
      </c>
      <c r="D977">
        <f>COUNTIFS([3]!players[name],A977,[3]!players[hero_name],B977)</f>
        <v>2</v>
      </c>
      <c r="E977">
        <f>COUNTIFS([3]!players[name],A977,[3]!players[hero_name],B977, [3]!players[win], 1)</f>
        <v>0</v>
      </c>
      <c r="F977" s="1">
        <f t="shared" si="15"/>
        <v>0</v>
      </c>
      <c r="G977" s="2">
        <f>AVERAGEIFS([3]!players[gold_per_min], [3]!players[name],A977,[3]!players[hero_name],B977)</f>
        <v>332</v>
      </c>
      <c r="H977" s="2">
        <f>AVERAGEIFS([3]!players[xp_per_min], [3]!players[name],A977,[3]!players[hero_name],B977)</f>
        <v>438</v>
      </c>
    </row>
    <row r="978" spans="1:8" x14ac:dyDescent="0.3">
      <c r="A978" t="str">
        <v>Kidaro</v>
      </c>
      <c r="B978" t="str">
        <v>Rubick</v>
      </c>
      <c r="C978" t="str" cm="1">
        <f t="array" ref="C978">_xlfn.XLOOKUP(1,([3]!players[name]=A978)*([3]!players[hero_name]=B978),[3]!players[lane_name])</f>
        <v>Soft Support</v>
      </c>
      <c r="D978">
        <f>COUNTIFS([3]!players[name],A978,[3]!players[hero_name],B978)</f>
        <v>1</v>
      </c>
      <c r="E978">
        <f>COUNTIFS([3]!players[name],A978,[3]!players[hero_name],B978, [3]!players[win], 1)</f>
        <v>0</v>
      </c>
      <c r="F978" s="1">
        <f t="shared" si="15"/>
        <v>0</v>
      </c>
      <c r="G978" s="2">
        <f>AVERAGEIFS([3]!players[gold_per_min], [3]!players[name],A978,[3]!players[hero_name],B978)</f>
        <v>275</v>
      </c>
      <c r="H978" s="2">
        <f>AVERAGEIFS([3]!players[xp_per_min], [3]!players[name],A978,[3]!players[hero_name],B978)</f>
        <v>382</v>
      </c>
    </row>
    <row r="979" spans="1:8" x14ac:dyDescent="0.3">
      <c r="A979" t="str">
        <v>Kidaro</v>
      </c>
      <c r="B979" t="str">
        <v>Lich</v>
      </c>
      <c r="C979" t="str" cm="1">
        <f t="array" ref="C979">_xlfn.XLOOKUP(1,([3]!players[name]=A979)*([3]!players[hero_name]=B979),[3]!players[lane_name])</f>
        <v>Soft Support</v>
      </c>
      <c r="D979">
        <f>COUNTIFS([3]!players[name],A979,[3]!players[hero_name],B979)</f>
        <v>1</v>
      </c>
      <c r="E979">
        <f>COUNTIFS([3]!players[name],A979,[3]!players[hero_name],B979, [3]!players[win], 1)</f>
        <v>0</v>
      </c>
      <c r="F979" s="1">
        <f t="shared" si="15"/>
        <v>0</v>
      </c>
      <c r="G979" s="2">
        <f>AVERAGEIFS([3]!players[gold_per_min], [3]!players[name],A979,[3]!players[hero_name],B979)</f>
        <v>277</v>
      </c>
      <c r="H979" s="2">
        <f>AVERAGEIFS([3]!players[xp_per_min], [3]!players[name],A979,[3]!players[hero_name],B979)</f>
        <v>382</v>
      </c>
    </row>
    <row r="980" spans="1:8" x14ac:dyDescent="0.3">
      <c r="A980" t="str">
        <v>Kidaro</v>
      </c>
      <c r="B980" t="str">
        <v>Shadow Demon</v>
      </c>
      <c r="C980" t="str" cm="1">
        <f t="array" ref="C980">_xlfn.XLOOKUP(1,([3]!players[name]=A980)*([3]!players[hero_name]=B980),[3]!players[lane_name])</f>
        <v>Soft Support</v>
      </c>
      <c r="D980">
        <f>COUNTIFS([3]!players[name],A980,[3]!players[hero_name],B980)</f>
        <v>1</v>
      </c>
      <c r="E980">
        <f>COUNTIFS([3]!players[name],A980,[3]!players[hero_name],B980, [3]!players[win], 1)</f>
        <v>0</v>
      </c>
      <c r="F980" s="1">
        <f t="shared" si="15"/>
        <v>0</v>
      </c>
      <c r="G980" s="2">
        <f>AVERAGEIFS([3]!players[gold_per_min], [3]!players[name],A980,[3]!players[hero_name],B980)</f>
        <v>306</v>
      </c>
      <c r="H980" s="2">
        <f>AVERAGEIFS([3]!players[xp_per_min], [3]!players[name],A980,[3]!players[hero_name],B980)</f>
        <v>469</v>
      </c>
    </row>
    <row r="981" spans="1:8" x14ac:dyDescent="0.3">
      <c r="A981" t="str">
        <v>Kidaro</v>
      </c>
      <c r="B981" t="str">
        <v>Winter Wyvern</v>
      </c>
      <c r="C981" t="str" cm="1">
        <f t="array" ref="C981">_xlfn.XLOOKUP(1,([3]!players[name]=A981)*([3]!players[hero_name]=B981),[3]!players[lane_name])</f>
        <v>Roam</v>
      </c>
      <c r="D981">
        <f>COUNTIFS([3]!players[name],A981,[3]!players[hero_name],B981)</f>
        <v>1</v>
      </c>
      <c r="E981">
        <f>COUNTIFS([3]!players[name],A981,[3]!players[hero_name],B981, [3]!players[win], 1)</f>
        <v>0</v>
      </c>
      <c r="F981" s="1">
        <f t="shared" si="15"/>
        <v>0</v>
      </c>
      <c r="G981" s="2">
        <f>AVERAGEIFS([3]!players[gold_per_min], [3]!players[name],A981,[3]!players[hero_name],B981)</f>
        <v>234</v>
      </c>
      <c r="H981" s="2">
        <f>AVERAGEIFS([3]!players[xp_per_min], [3]!players[name],A981,[3]!players[hero_name],B981)</f>
        <v>271</v>
      </c>
    </row>
    <row r="982" spans="1:8" x14ac:dyDescent="0.3">
      <c r="A982" t="str">
        <v>Kidaro</v>
      </c>
      <c r="B982" t="str">
        <v>Grimstroke</v>
      </c>
      <c r="C982" t="str" cm="1">
        <f t="array" ref="C982">_xlfn.XLOOKUP(1,([3]!players[name]=A982)*([3]!players[hero_name]=B982),[3]!players[lane_name])</f>
        <v>Hard Support</v>
      </c>
      <c r="D982">
        <f>COUNTIFS([3]!players[name],A982,[3]!players[hero_name],B982)</f>
        <v>2</v>
      </c>
      <c r="E982">
        <f>COUNTIFS([3]!players[name],A982,[3]!players[hero_name],B982, [3]!players[win], 1)</f>
        <v>1</v>
      </c>
      <c r="F982" s="1">
        <f t="shared" si="15"/>
        <v>0.5</v>
      </c>
      <c r="G982" s="2">
        <f>AVERAGEIFS([3]!players[gold_per_min], [3]!players[name],A982,[3]!players[hero_name],B982)</f>
        <v>315</v>
      </c>
      <c r="H982" s="2">
        <f>AVERAGEIFS([3]!players[xp_per_min], [3]!players[name],A982,[3]!players[hero_name],B982)</f>
        <v>522.5</v>
      </c>
    </row>
    <row r="983" spans="1:8" x14ac:dyDescent="0.3">
      <c r="A983" t="str">
        <v>Kidaro</v>
      </c>
      <c r="B983" t="str">
        <v>Silencer</v>
      </c>
      <c r="C983" t="str" cm="1">
        <f t="array" ref="C983">_xlfn.XLOOKUP(1,([3]!players[name]=A983)*([3]!players[hero_name]=B983),[3]!players[lane_name])</f>
        <v>Hard Support</v>
      </c>
      <c r="D983">
        <f>COUNTIFS([3]!players[name],A983,[3]!players[hero_name],B983)</f>
        <v>1</v>
      </c>
      <c r="E983">
        <f>COUNTIFS([3]!players[name],A983,[3]!players[hero_name],B983, [3]!players[win], 1)</f>
        <v>0</v>
      </c>
      <c r="F983" s="1">
        <f t="shared" si="15"/>
        <v>0</v>
      </c>
      <c r="G983" s="2">
        <f>AVERAGEIFS([3]!players[gold_per_min], [3]!players[name],A983,[3]!players[hero_name],B983)</f>
        <v>276</v>
      </c>
      <c r="H983" s="2">
        <f>AVERAGEIFS([3]!players[xp_per_min], [3]!players[name],A983,[3]!players[hero_name],B983)</f>
        <v>368</v>
      </c>
    </row>
    <row r="984" spans="1:8" x14ac:dyDescent="0.3">
      <c r="A984" t="str">
        <v>KingJungles</v>
      </c>
      <c r="B984" t="str">
        <v>Marci</v>
      </c>
      <c r="C984" t="str" cm="1">
        <f t="array" ref="C984">_xlfn.XLOOKUP(1,([3]!players[name]=A984)*([3]!players[hero_name]=B984),[3]!players[lane_name])</f>
        <v>Hard Support</v>
      </c>
      <c r="D984">
        <f>COUNTIFS([3]!players[name],A984,[3]!players[hero_name],B984)</f>
        <v>1</v>
      </c>
      <c r="E984">
        <f>COUNTIFS([3]!players[name],A984,[3]!players[hero_name],B984, [3]!players[win], 1)</f>
        <v>0</v>
      </c>
      <c r="F984" s="1">
        <f t="shared" si="15"/>
        <v>0</v>
      </c>
      <c r="G984" s="2">
        <f>AVERAGEIFS([3]!players[gold_per_min], [3]!players[name],A984,[3]!players[hero_name],B984)</f>
        <v>218</v>
      </c>
      <c r="H984" s="2">
        <f>AVERAGEIFS([3]!players[xp_per_min], [3]!players[name],A984,[3]!players[hero_name],B984)</f>
        <v>282</v>
      </c>
    </row>
    <row r="985" spans="1:8" x14ac:dyDescent="0.3">
      <c r="A985" t="str">
        <v>KingJungles</v>
      </c>
      <c r="B985" t="str">
        <v>Disruptor</v>
      </c>
      <c r="C985" t="str" cm="1">
        <f t="array" ref="C985">_xlfn.XLOOKUP(1,([3]!players[name]=A985)*([3]!players[hero_name]=B985),[3]!players[lane_name])</f>
        <v>Soft Support</v>
      </c>
      <c r="D985">
        <f>COUNTIFS([3]!players[name],A985,[3]!players[hero_name],B985)</f>
        <v>1</v>
      </c>
      <c r="E985">
        <f>COUNTIFS([3]!players[name],A985,[3]!players[hero_name],B985, [3]!players[win], 1)</f>
        <v>0</v>
      </c>
      <c r="F985" s="1">
        <f t="shared" si="15"/>
        <v>0</v>
      </c>
      <c r="G985" s="2">
        <f>AVERAGEIFS([3]!players[gold_per_min], [3]!players[name],A985,[3]!players[hero_name],B985)</f>
        <v>312</v>
      </c>
      <c r="H985" s="2">
        <f>AVERAGEIFS([3]!players[xp_per_min], [3]!players[name],A985,[3]!players[hero_name],B985)</f>
        <v>320</v>
      </c>
    </row>
    <row r="986" spans="1:8" x14ac:dyDescent="0.3">
      <c r="A986" t="str">
        <v>KingJungles</v>
      </c>
      <c r="B986" t="str">
        <v>Phoenix</v>
      </c>
      <c r="C986" t="str" cm="1">
        <f t="array" ref="C986">_xlfn.XLOOKUP(1,([3]!players[name]=A986)*([3]!players[hero_name]=B986),[3]!players[lane_name])</f>
        <v>Soft Support</v>
      </c>
      <c r="D986">
        <f>COUNTIFS([3]!players[name],A986,[3]!players[hero_name],B986)</f>
        <v>6</v>
      </c>
      <c r="E986">
        <f>COUNTIFS([3]!players[name],A986,[3]!players[hero_name],B986, [3]!players[win], 1)</f>
        <v>1</v>
      </c>
      <c r="F986" s="1">
        <f t="shared" si="15"/>
        <v>0.16666666666666666</v>
      </c>
      <c r="G986" s="2">
        <f>AVERAGEIFS([3]!players[gold_per_min], [3]!players[name],A986,[3]!players[hero_name],B986)</f>
        <v>327.16666666666669</v>
      </c>
      <c r="H986" s="2">
        <f>AVERAGEIFS([3]!players[xp_per_min], [3]!players[name],A986,[3]!players[hero_name],B986)</f>
        <v>421.5</v>
      </c>
    </row>
    <row r="987" spans="1:8" x14ac:dyDescent="0.3">
      <c r="A987" t="str">
        <v>KingJungles</v>
      </c>
      <c r="B987" t="str">
        <v>Oracle</v>
      </c>
      <c r="C987" t="str" cm="1">
        <f t="array" ref="C987">_xlfn.XLOOKUP(1,([3]!players[name]=A987)*([3]!players[hero_name]=B987),[3]!players[lane_name])</f>
        <v>Hard Support</v>
      </c>
      <c r="D987">
        <f>COUNTIFS([3]!players[name],A987,[3]!players[hero_name],B987)</f>
        <v>1</v>
      </c>
      <c r="E987">
        <f>COUNTIFS([3]!players[name],A987,[3]!players[hero_name],B987, [3]!players[win], 1)</f>
        <v>1</v>
      </c>
      <c r="F987" s="1">
        <f t="shared" si="15"/>
        <v>1</v>
      </c>
      <c r="G987" s="2">
        <f>AVERAGEIFS([3]!players[gold_per_min], [3]!players[name],A987,[3]!players[hero_name],B987)</f>
        <v>332</v>
      </c>
      <c r="H987" s="2">
        <f>AVERAGEIFS([3]!players[xp_per_min], [3]!players[name],A987,[3]!players[hero_name],B987)</f>
        <v>564</v>
      </c>
    </row>
    <row r="988" spans="1:8" x14ac:dyDescent="0.3">
      <c r="A988" t="str">
        <v>KingJungles</v>
      </c>
      <c r="B988" t="str">
        <v>Magnus</v>
      </c>
      <c r="C988" t="str" cm="1">
        <f t="array" ref="C988">_xlfn.XLOOKUP(1,([3]!players[name]=A988)*([3]!players[hero_name]=B988),[3]!players[lane_name])</f>
        <v>Hard Support</v>
      </c>
      <c r="D988">
        <f>COUNTIFS([3]!players[name],A988,[3]!players[hero_name],B988)</f>
        <v>1</v>
      </c>
      <c r="E988">
        <f>COUNTIFS([3]!players[name],A988,[3]!players[hero_name],B988, [3]!players[win], 1)</f>
        <v>1</v>
      </c>
      <c r="F988" s="1">
        <f t="shared" si="15"/>
        <v>1</v>
      </c>
      <c r="G988" s="2">
        <f>AVERAGEIFS([3]!players[gold_per_min], [3]!players[name],A988,[3]!players[hero_name],B988)</f>
        <v>271</v>
      </c>
      <c r="H988" s="2">
        <f>AVERAGEIFS([3]!players[xp_per_min], [3]!players[name],A988,[3]!players[hero_name],B988)</f>
        <v>453</v>
      </c>
    </row>
    <row r="989" spans="1:8" x14ac:dyDescent="0.3">
      <c r="A989" t="str">
        <v>KingJungles</v>
      </c>
      <c r="B989" t="str">
        <v>Shadow Demon</v>
      </c>
      <c r="C989" t="str" cm="1">
        <f t="array" ref="C989">_xlfn.XLOOKUP(1,([3]!players[name]=A989)*([3]!players[hero_name]=B989),[3]!players[lane_name])</f>
        <v>Roam</v>
      </c>
      <c r="D989">
        <f>COUNTIFS([3]!players[name],A989,[3]!players[hero_name],B989)</f>
        <v>3</v>
      </c>
      <c r="E989">
        <f>COUNTIFS([3]!players[name],A989,[3]!players[hero_name],B989, [3]!players[win], 1)</f>
        <v>2</v>
      </c>
      <c r="F989" s="1">
        <f t="shared" si="15"/>
        <v>0.66666666666666663</v>
      </c>
      <c r="G989" s="2">
        <f>AVERAGEIFS([3]!players[gold_per_min], [3]!players[name],A989,[3]!players[hero_name],B989)</f>
        <v>298</v>
      </c>
      <c r="H989" s="2">
        <f>AVERAGEIFS([3]!players[xp_per_min], [3]!players[name],A989,[3]!players[hero_name],B989)</f>
        <v>426.66666666666669</v>
      </c>
    </row>
    <row r="990" spans="1:8" x14ac:dyDescent="0.3">
      <c r="A990" t="str">
        <v>KingJungles</v>
      </c>
      <c r="B990" t="str">
        <v>Enchantress</v>
      </c>
      <c r="C990" t="str" cm="1">
        <f t="array" ref="C990">_xlfn.XLOOKUP(1,([3]!players[name]=A990)*([3]!players[hero_name]=B990),[3]!players[lane_name])</f>
        <v>Hard Support</v>
      </c>
      <c r="D990">
        <f>COUNTIFS([3]!players[name],A990,[3]!players[hero_name],B990)</f>
        <v>5</v>
      </c>
      <c r="E990">
        <f>COUNTIFS([3]!players[name],A990,[3]!players[hero_name],B990, [3]!players[win], 1)</f>
        <v>3</v>
      </c>
      <c r="F990" s="1">
        <f t="shared" si="15"/>
        <v>0.6</v>
      </c>
      <c r="G990" s="2">
        <f>AVERAGEIFS([3]!players[gold_per_min], [3]!players[name],A990,[3]!players[hero_name],B990)</f>
        <v>314.60000000000002</v>
      </c>
      <c r="H990" s="2">
        <f>AVERAGEIFS([3]!players[xp_per_min], [3]!players[name],A990,[3]!players[hero_name],B990)</f>
        <v>440.6</v>
      </c>
    </row>
    <row r="991" spans="1:8" x14ac:dyDescent="0.3">
      <c r="A991" t="str">
        <v>KingJungles</v>
      </c>
      <c r="B991" t="str">
        <v>Batrider</v>
      </c>
      <c r="C991" t="str" cm="1">
        <f t="array" ref="C991">_xlfn.XLOOKUP(1,([3]!players[name]=A991)*([3]!players[hero_name]=B991),[3]!players[lane_name])</f>
        <v>Soft Support</v>
      </c>
      <c r="D991">
        <f>COUNTIFS([3]!players[name],A991,[3]!players[hero_name],B991)</f>
        <v>1</v>
      </c>
      <c r="E991">
        <f>COUNTIFS([3]!players[name],A991,[3]!players[hero_name],B991, [3]!players[win], 1)</f>
        <v>1</v>
      </c>
      <c r="F991" s="1">
        <f t="shared" si="15"/>
        <v>1</v>
      </c>
      <c r="G991" s="2">
        <f>AVERAGEIFS([3]!players[gold_per_min], [3]!players[name],A991,[3]!players[hero_name],B991)</f>
        <v>402</v>
      </c>
      <c r="H991" s="2">
        <f>AVERAGEIFS([3]!players[xp_per_min], [3]!players[name],A991,[3]!players[hero_name],B991)</f>
        <v>483</v>
      </c>
    </row>
    <row r="992" spans="1:8" x14ac:dyDescent="0.3">
      <c r="A992" t="str">
        <v>KingJungles</v>
      </c>
      <c r="B992" t="str">
        <v>Rubick</v>
      </c>
      <c r="C992" t="str" cm="1">
        <f t="array" ref="C992">_xlfn.XLOOKUP(1,([3]!players[name]=A992)*([3]!players[hero_name]=B992),[3]!players[lane_name])</f>
        <v>Hard Support</v>
      </c>
      <c r="D992">
        <f>COUNTIFS([3]!players[name],A992,[3]!players[hero_name],B992)</f>
        <v>6</v>
      </c>
      <c r="E992">
        <f>COUNTIFS([3]!players[name],A992,[3]!players[hero_name],B992, [3]!players[win], 1)</f>
        <v>4</v>
      </c>
      <c r="F992" s="1">
        <f t="shared" si="15"/>
        <v>0.66666666666666663</v>
      </c>
      <c r="G992" s="2">
        <f>AVERAGEIFS([3]!players[gold_per_min], [3]!players[name],A992,[3]!players[hero_name],B992)</f>
        <v>361.16666666666669</v>
      </c>
      <c r="H992" s="2">
        <f>AVERAGEIFS([3]!players[xp_per_min], [3]!players[name],A992,[3]!players[hero_name],B992)</f>
        <v>538</v>
      </c>
    </row>
    <row r="993" spans="1:8" x14ac:dyDescent="0.3">
      <c r="A993" t="str">
        <v>KingJungles</v>
      </c>
      <c r="B993" t="str">
        <v>Snapfire</v>
      </c>
      <c r="C993" t="str" cm="1">
        <f t="array" ref="C993">_xlfn.XLOOKUP(1,([3]!players[name]=A993)*([3]!players[hero_name]=B993),[3]!players[lane_name])</f>
        <v>Soft Support</v>
      </c>
      <c r="D993">
        <f>COUNTIFS([3]!players[name],A993,[3]!players[hero_name],B993)</f>
        <v>1</v>
      </c>
      <c r="E993">
        <f>COUNTIFS([3]!players[name],A993,[3]!players[hero_name],B993, [3]!players[win], 1)</f>
        <v>0</v>
      </c>
      <c r="F993" s="1">
        <f t="shared" si="15"/>
        <v>0</v>
      </c>
      <c r="G993" s="2">
        <f>AVERAGEIFS([3]!players[gold_per_min], [3]!players[name],A993,[3]!players[hero_name],B993)</f>
        <v>400</v>
      </c>
      <c r="H993" s="2">
        <f>AVERAGEIFS([3]!players[xp_per_min], [3]!players[name],A993,[3]!players[hero_name],B993)</f>
        <v>462</v>
      </c>
    </row>
    <row r="994" spans="1:8" x14ac:dyDescent="0.3">
      <c r="A994" t="str">
        <v>KingJungles</v>
      </c>
      <c r="B994" t="str">
        <v>Dawnbreaker</v>
      </c>
      <c r="C994" t="str" cm="1">
        <f t="array" ref="C994">_xlfn.XLOOKUP(1,([3]!players[name]=A994)*([3]!players[hero_name]=B994),[3]!players[lane_name])</f>
        <v>Soft Support</v>
      </c>
      <c r="D994">
        <f>COUNTIFS([3]!players[name],A994,[3]!players[hero_name],B994)</f>
        <v>1</v>
      </c>
      <c r="E994">
        <f>COUNTIFS([3]!players[name],A994,[3]!players[hero_name],B994, [3]!players[win], 1)</f>
        <v>0</v>
      </c>
      <c r="F994" s="1">
        <f t="shared" si="15"/>
        <v>0</v>
      </c>
      <c r="G994" s="2">
        <f>AVERAGEIFS([3]!players[gold_per_min], [3]!players[name],A994,[3]!players[hero_name],B994)</f>
        <v>409</v>
      </c>
      <c r="H994" s="2">
        <f>AVERAGEIFS([3]!players[xp_per_min], [3]!players[name],A994,[3]!players[hero_name],B994)</f>
        <v>575</v>
      </c>
    </row>
    <row r="995" spans="1:8" x14ac:dyDescent="0.3">
      <c r="A995" t="str">
        <v>KingJungles</v>
      </c>
      <c r="B995" t="str">
        <v>Ancient Apparition</v>
      </c>
      <c r="C995" t="str" cm="1">
        <f t="array" ref="C995">_xlfn.XLOOKUP(1,([3]!players[name]=A995)*([3]!players[hero_name]=B995),[3]!players[lane_name])</f>
        <v>Hard Support</v>
      </c>
      <c r="D995">
        <f>COUNTIFS([3]!players[name],A995,[3]!players[hero_name],B995)</f>
        <v>1</v>
      </c>
      <c r="E995">
        <f>COUNTIFS([3]!players[name],A995,[3]!players[hero_name],B995, [3]!players[win], 1)</f>
        <v>1</v>
      </c>
      <c r="F995" s="1">
        <f t="shared" si="15"/>
        <v>1</v>
      </c>
      <c r="G995" s="2">
        <f>AVERAGEIFS([3]!players[gold_per_min], [3]!players[name],A995,[3]!players[hero_name],B995)</f>
        <v>369</v>
      </c>
      <c r="H995" s="2">
        <f>AVERAGEIFS([3]!players[xp_per_min], [3]!players[name],A995,[3]!players[hero_name],B995)</f>
        <v>522</v>
      </c>
    </row>
    <row r="996" spans="1:8" x14ac:dyDescent="0.3">
      <c r="A996" t="str">
        <v>KingJungles</v>
      </c>
      <c r="B996" t="str">
        <v>Zeus</v>
      </c>
      <c r="C996" t="str" cm="1">
        <f t="array" ref="C996">_xlfn.XLOOKUP(1,([3]!players[name]=A996)*([3]!players[hero_name]=B996),[3]!players[lane_name])</f>
        <v>Soft Support</v>
      </c>
      <c r="D996">
        <f>COUNTIFS([3]!players[name],A996,[3]!players[hero_name],B996)</f>
        <v>3</v>
      </c>
      <c r="E996">
        <f>COUNTIFS([3]!players[name],A996,[3]!players[hero_name],B996, [3]!players[win], 1)</f>
        <v>2</v>
      </c>
      <c r="F996" s="1">
        <f t="shared" si="15"/>
        <v>0.66666666666666663</v>
      </c>
      <c r="G996" s="2">
        <f>AVERAGEIFS([3]!players[gold_per_min], [3]!players[name],A996,[3]!players[hero_name],B996)</f>
        <v>384.66666666666669</v>
      </c>
      <c r="H996" s="2">
        <f>AVERAGEIFS([3]!players[xp_per_min], [3]!players[name],A996,[3]!players[hero_name],B996)</f>
        <v>506.66666666666669</v>
      </c>
    </row>
    <row r="997" spans="1:8" x14ac:dyDescent="0.3">
      <c r="A997" t="str">
        <v>KingJungles</v>
      </c>
      <c r="B997" t="str">
        <v>Venomancer</v>
      </c>
      <c r="C997" t="str" cm="1">
        <f t="array" ref="C997">_xlfn.XLOOKUP(1,([3]!players[name]=A997)*([3]!players[hero_name]=B997),[3]!players[lane_name])</f>
        <v>Soft Support</v>
      </c>
      <c r="D997">
        <f>COUNTIFS([3]!players[name],A997,[3]!players[hero_name],B997)</f>
        <v>1</v>
      </c>
      <c r="E997">
        <f>COUNTIFS([3]!players[name],A997,[3]!players[hero_name],B997, [3]!players[win], 1)</f>
        <v>0</v>
      </c>
      <c r="F997" s="1">
        <f t="shared" si="15"/>
        <v>0</v>
      </c>
      <c r="G997" s="2">
        <f>AVERAGEIFS([3]!players[gold_per_min], [3]!players[name],A997,[3]!players[hero_name],B997)</f>
        <v>305</v>
      </c>
      <c r="H997" s="2">
        <f>AVERAGEIFS([3]!players[xp_per_min], [3]!players[name],A997,[3]!players[hero_name],B997)</f>
        <v>252</v>
      </c>
    </row>
    <row r="998" spans="1:8" x14ac:dyDescent="0.3">
      <c r="A998" t="str">
        <v>KingJungles</v>
      </c>
      <c r="B998" t="str">
        <v>Death Prophet</v>
      </c>
      <c r="C998" t="str" cm="1">
        <f t="array" ref="C998">_xlfn.XLOOKUP(1,([3]!players[name]=A998)*([3]!players[hero_name]=B998),[3]!players[lane_name])</f>
        <v>Soft Support</v>
      </c>
      <c r="D998">
        <f>COUNTIFS([3]!players[name],A998,[3]!players[hero_name],B998)</f>
        <v>1</v>
      </c>
      <c r="E998">
        <f>COUNTIFS([3]!players[name],A998,[3]!players[hero_name],B998, [3]!players[win], 1)</f>
        <v>0</v>
      </c>
      <c r="F998" s="1">
        <f t="shared" si="15"/>
        <v>0</v>
      </c>
      <c r="G998" s="2">
        <f>AVERAGEIFS([3]!players[gold_per_min], [3]!players[name],A998,[3]!players[hero_name],B998)</f>
        <v>362</v>
      </c>
      <c r="H998" s="2">
        <f>AVERAGEIFS([3]!players[xp_per_min], [3]!players[name],A998,[3]!players[hero_name],B998)</f>
        <v>512</v>
      </c>
    </row>
    <row r="999" spans="1:8" x14ac:dyDescent="0.3">
      <c r="A999" t="str">
        <v>Kiri &lt;</v>
      </c>
      <c r="B999" t="str">
        <v>Dark Willow</v>
      </c>
      <c r="C999" t="str" cm="1">
        <f t="array" ref="C999">_xlfn.XLOOKUP(1,([3]!players[name]=A999)*([3]!players[hero_name]=B999),[3]!players[lane_name])</f>
        <v>Roam</v>
      </c>
      <c r="D999">
        <f>COUNTIFS([3]!players[name],A999,[3]!players[hero_name],B999)</f>
        <v>2</v>
      </c>
      <c r="E999">
        <f>COUNTIFS([3]!players[name],A999,[3]!players[hero_name],B999, [3]!players[win], 1)</f>
        <v>1</v>
      </c>
      <c r="F999" s="1">
        <f t="shared" si="15"/>
        <v>0.5</v>
      </c>
      <c r="G999" s="2">
        <f>AVERAGEIFS([3]!players[gold_per_min], [3]!players[name],A999,[3]!players[hero_name],B999)</f>
        <v>326</v>
      </c>
      <c r="H999" s="2">
        <f>AVERAGEIFS([3]!players[xp_per_min], [3]!players[name],A999,[3]!players[hero_name],B999)</f>
        <v>477.5</v>
      </c>
    </row>
    <row r="1000" spans="1:8" x14ac:dyDescent="0.3">
      <c r="A1000" t="str">
        <v>Kiri &lt;</v>
      </c>
      <c r="B1000" t="str">
        <v>Rubick</v>
      </c>
      <c r="C1000" t="str" cm="1">
        <f t="array" ref="C1000">_xlfn.XLOOKUP(1,([3]!players[name]=A1000)*([3]!players[hero_name]=B1000),[3]!players[lane_name])</f>
        <v>Hard Support</v>
      </c>
      <c r="D1000">
        <f>COUNTIFS([3]!players[name],A1000,[3]!players[hero_name],B1000)</f>
        <v>5</v>
      </c>
      <c r="E1000">
        <f>COUNTIFS([3]!players[name],A1000,[3]!players[hero_name],B1000, [3]!players[win], 1)</f>
        <v>5</v>
      </c>
      <c r="F1000" s="1">
        <f t="shared" si="15"/>
        <v>1</v>
      </c>
      <c r="G1000" s="2">
        <f>AVERAGEIFS([3]!players[gold_per_min], [3]!players[name],A1000,[3]!players[hero_name],B1000)</f>
        <v>429.6</v>
      </c>
      <c r="H1000" s="2">
        <f>AVERAGEIFS([3]!players[xp_per_min], [3]!players[name],A1000,[3]!players[hero_name],B1000)</f>
        <v>566.79999999999995</v>
      </c>
    </row>
    <row r="1001" spans="1:8" x14ac:dyDescent="0.3">
      <c r="A1001" t="str">
        <v>Kiri &lt;</v>
      </c>
      <c r="B1001" t="str">
        <v>Hoodwink</v>
      </c>
      <c r="C1001" t="str" cm="1">
        <f t="array" ref="C1001">_xlfn.XLOOKUP(1,([3]!players[name]=A1001)*([3]!players[hero_name]=B1001),[3]!players[lane_name])</f>
        <v>Hard Support</v>
      </c>
      <c r="D1001">
        <f>COUNTIFS([3]!players[name],A1001,[3]!players[hero_name],B1001)</f>
        <v>4</v>
      </c>
      <c r="E1001">
        <f>COUNTIFS([3]!players[name],A1001,[3]!players[hero_name],B1001, [3]!players[win], 1)</f>
        <v>4</v>
      </c>
      <c r="F1001" s="1">
        <f t="shared" si="15"/>
        <v>1</v>
      </c>
      <c r="G1001" s="2">
        <f>AVERAGEIFS([3]!players[gold_per_min], [3]!players[name],A1001,[3]!players[hero_name],B1001)</f>
        <v>417.5</v>
      </c>
      <c r="H1001" s="2">
        <f>AVERAGEIFS([3]!players[xp_per_min], [3]!players[name],A1001,[3]!players[hero_name],B1001)</f>
        <v>559</v>
      </c>
    </row>
    <row r="1002" spans="1:8" x14ac:dyDescent="0.3">
      <c r="A1002" t="str">
        <v>Kiri &lt;</v>
      </c>
      <c r="B1002" t="str">
        <v>Shadow Demon</v>
      </c>
      <c r="C1002" t="str" cm="1">
        <f t="array" ref="C1002">_xlfn.XLOOKUP(1,([3]!players[name]=A1002)*([3]!players[hero_name]=B1002),[3]!players[lane_name])</f>
        <v>Hard Support</v>
      </c>
      <c r="D1002">
        <f>COUNTIFS([3]!players[name],A1002,[3]!players[hero_name],B1002)</f>
        <v>1</v>
      </c>
      <c r="E1002">
        <f>COUNTIFS([3]!players[name],A1002,[3]!players[hero_name],B1002, [3]!players[win], 1)</f>
        <v>0</v>
      </c>
      <c r="F1002" s="1">
        <f t="shared" si="15"/>
        <v>0</v>
      </c>
      <c r="G1002" s="2">
        <f>AVERAGEIFS([3]!players[gold_per_min], [3]!players[name],A1002,[3]!players[hero_name],B1002)</f>
        <v>316</v>
      </c>
      <c r="H1002" s="2">
        <f>AVERAGEIFS([3]!players[xp_per_min], [3]!players[name],A1002,[3]!players[hero_name],B1002)</f>
        <v>467</v>
      </c>
    </row>
    <row r="1003" spans="1:8" x14ac:dyDescent="0.3">
      <c r="A1003" t="str">
        <v>Kiri &lt;</v>
      </c>
      <c r="B1003" t="str">
        <v>Tusk</v>
      </c>
      <c r="C1003" t="str" cm="1">
        <f t="array" ref="C1003">_xlfn.XLOOKUP(1,([3]!players[name]=A1003)*([3]!players[hero_name]=B1003),[3]!players[lane_name])</f>
        <v>Roam</v>
      </c>
      <c r="D1003">
        <f>COUNTIFS([3]!players[name],A1003,[3]!players[hero_name],B1003)</f>
        <v>1</v>
      </c>
      <c r="E1003">
        <f>COUNTIFS([3]!players[name],A1003,[3]!players[hero_name],B1003, [3]!players[win], 1)</f>
        <v>0</v>
      </c>
      <c r="F1003" s="1">
        <f t="shared" si="15"/>
        <v>0</v>
      </c>
      <c r="G1003" s="2">
        <f>AVERAGEIFS([3]!players[gold_per_min], [3]!players[name],A1003,[3]!players[hero_name],B1003)</f>
        <v>290</v>
      </c>
      <c r="H1003" s="2">
        <f>AVERAGEIFS([3]!players[xp_per_min], [3]!players[name],A1003,[3]!players[hero_name],B1003)</f>
        <v>336</v>
      </c>
    </row>
    <row r="1004" spans="1:8" x14ac:dyDescent="0.3">
      <c r="A1004" t="str">
        <v>Kiri &lt;</v>
      </c>
      <c r="B1004" t="str">
        <v>Lion</v>
      </c>
      <c r="C1004" t="str" cm="1">
        <f t="array" ref="C1004">_xlfn.XLOOKUP(1,([3]!players[name]=A1004)*([3]!players[hero_name]=B1004),[3]!players[lane_name])</f>
        <v>Hard Support</v>
      </c>
      <c r="D1004">
        <f>COUNTIFS([3]!players[name],A1004,[3]!players[hero_name],B1004)</f>
        <v>2</v>
      </c>
      <c r="E1004">
        <f>COUNTIFS([3]!players[name],A1004,[3]!players[hero_name],B1004, [3]!players[win], 1)</f>
        <v>0</v>
      </c>
      <c r="F1004" s="1">
        <f t="shared" si="15"/>
        <v>0</v>
      </c>
      <c r="G1004" s="2">
        <f>AVERAGEIFS([3]!players[gold_per_min], [3]!players[name],A1004,[3]!players[hero_name],B1004)</f>
        <v>311.5</v>
      </c>
      <c r="H1004" s="2">
        <f>AVERAGEIFS([3]!players[xp_per_min], [3]!players[name],A1004,[3]!players[hero_name],B1004)</f>
        <v>472.5</v>
      </c>
    </row>
    <row r="1005" spans="1:8" x14ac:dyDescent="0.3">
      <c r="A1005" t="str">
        <v>Kiri &lt;</v>
      </c>
      <c r="B1005" t="str">
        <v>Tiny</v>
      </c>
      <c r="C1005" t="str" cm="1">
        <f t="array" ref="C1005">_xlfn.XLOOKUP(1,([3]!players[name]=A1005)*([3]!players[hero_name]=B1005),[3]!players[lane_name])</f>
        <v>Roam</v>
      </c>
      <c r="D1005">
        <f>COUNTIFS([3]!players[name],A1005,[3]!players[hero_name],B1005)</f>
        <v>1</v>
      </c>
      <c r="E1005">
        <f>COUNTIFS([3]!players[name],A1005,[3]!players[hero_name],B1005, [3]!players[win], 1)</f>
        <v>1</v>
      </c>
      <c r="F1005" s="1">
        <f t="shared" si="15"/>
        <v>1</v>
      </c>
      <c r="G1005" s="2">
        <f>AVERAGEIFS([3]!players[gold_per_min], [3]!players[name],A1005,[3]!players[hero_name],B1005)</f>
        <v>473</v>
      </c>
      <c r="H1005" s="2">
        <f>AVERAGEIFS([3]!players[xp_per_min], [3]!players[name],A1005,[3]!players[hero_name],B1005)</f>
        <v>632</v>
      </c>
    </row>
    <row r="1006" spans="1:8" x14ac:dyDescent="0.3">
      <c r="A1006" t="str">
        <v>Kiri &lt;</v>
      </c>
      <c r="B1006" t="str">
        <v>Venomancer</v>
      </c>
      <c r="C1006" t="str" cm="1">
        <f t="array" ref="C1006">_xlfn.XLOOKUP(1,([3]!players[name]=A1006)*([3]!players[hero_name]=B1006),[3]!players[lane_name])</f>
        <v>Roam</v>
      </c>
      <c r="D1006">
        <f>COUNTIFS([3]!players[name],A1006,[3]!players[hero_name],B1006)</f>
        <v>1</v>
      </c>
      <c r="E1006">
        <f>COUNTIFS([3]!players[name],A1006,[3]!players[hero_name],B1006, [3]!players[win], 1)</f>
        <v>0</v>
      </c>
      <c r="F1006" s="1">
        <f t="shared" si="15"/>
        <v>0</v>
      </c>
      <c r="G1006" s="2">
        <f>AVERAGEIFS([3]!players[gold_per_min], [3]!players[name],A1006,[3]!players[hero_name],B1006)</f>
        <v>400</v>
      </c>
      <c r="H1006" s="2">
        <f>AVERAGEIFS([3]!players[xp_per_min], [3]!players[name],A1006,[3]!players[hero_name],B1006)</f>
        <v>429</v>
      </c>
    </row>
    <row r="1007" spans="1:8" x14ac:dyDescent="0.3">
      <c r="A1007" t="str">
        <v>Kiri &lt;</v>
      </c>
      <c r="B1007" t="str">
        <v>Techies</v>
      </c>
      <c r="C1007" t="str" cm="1">
        <f t="array" ref="C1007">_xlfn.XLOOKUP(1,([3]!players[name]=A1007)*([3]!players[hero_name]=B1007),[3]!players[lane_name])</f>
        <v>Soft Support</v>
      </c>
      <c r="D1007">
        <f>COUNTIFS([3]!players[name],A1007,[3]!players[hero_name],B1007)</f>
        <v>1</v>
      </c>
      <c r="E1007">
        <f>COUNTIFS([3]!players[name],A1007,[3]!players[hero_name],B1007, [3]!players[win], 1)</f>
        <v>1</v>
      </c>
      <c r="F1007" s="1">
        <f t="shared" si="15"/>
        <v>1</v>
      </c>
      <c r="G1007" s="2">
        <f>AVERAGEIFS([3]!players[gold_per_min], [3]!players[name],A1007,[3]!players[hero_name],B1007)</f>
        <v>288</v>
      </c>
      <c r="H1007" s="2">
        <f>AVERAGEIFS([3]!players[xp_per_min], [3]!players[name],A1007,[3]!players[hero_name],B1007)</f>
        <v>365</v>
      </c>
    </row>
    <row r="1008" spans="1:8" x14ac:dyDescent="0.3">
      <c r="A1008" t="str">
        <v>Kiritych~</v>
      </c>
      <c r="B1008" t="str">
        <v>Faceless Void</v>
      </c>
      <c r="C1008" t="str" cm="1">
        <f t="array" ref="C1008">_xlfn.XLOOKUP(1,([3]!players[name]=A1008)*([3]!players[hero_name]=B1008),[3]!players[lane_name])</f>
        <v>Carry</v>
      </c>
      <c r="D1008">
        <f>COUNTIFS([3]!players[name],A1008,[3]!players[hero_name],B1008)</f>
        <v>5</v>
      </c>
      <c r="E1008">
        <f>COUNTIFS([3]!players[name],A1008,[3]!players[hero_name],B1008, [3]!players[win], 1)</f>
        <v>3</v>
      </c>
      <c r="F1008" s="1">
        <f t="shared" si="15"/>
        <v>0.6</v>
      </c>
      <c r="G1008" s="2">
        <f>AVERAGEIFS([3]!players[gold_per_min], [3]!players[name],A1008,[3]!players[hero_name],B1008)</f>
        <v>647</v>
      </c>
      <c r="H1008" s="2">
        <f>AVERAGEIFS([3]!players[xp_per_min], [3]!players[name],A1008,[3]!players[hero_name],B1008)</f>
        <v>845</v>
      </c>
    </row>
    <row r="1009" spans="1:8" x14ac:dyDescent="0.3">
      <c r="A1009" t="str">
        <v>Kiritych~</v>
      </c>
      <c r="B1009" t="str">
        <v>Monkey King</v>
      </c>
      <c r="C1009" t="str" cm="1">
        <f t="array" ref="C1009">_xlfn.XLOOKUP(1,([3]!players[name]=A1009)*([3]!players[hero_name]=B1009),[3]!players[lane_name])</f>
        <v>Carry</v>
      </c>
      <c r="D1009">
        <f>COUNTIFS([3]!players[name],A1009,[3]!players[hero_name],B1009)</f>
        <v>6</v>
      </c>
      <c r="E1009">
        <f>COUNTIFS([3]!players[name],A1009,[3]!players[hero_name],B1009, [3]!players[win], 1)</f>
        <v>6</v>
      </c>
      <c r="F1009" s="1">
        <f t="shared" si="15"/>
        <v>1</v>
      </c>
      <c r="G1009" s="2">
        <f>AVERAGEIFS([3]!players[gold_per_min], [3]!players[name],A1009,[3]!players[hero_name],B1009)</f>
        <v>749.83333333333337</v>
      </c>
      <c r="H1009" s="2">
        <f>AVERAGEIFS([3]!players[xp_per_min], [3]!players[name],A1009,[3]!players[hero_name],B1009)</f>
        <v>909.5</v>
      </c>
    </row>
    <row r="1010" spans="1:8" x14ac:dyDescent="0.3">
      <c r="A1010" t="str">
        <v>Kiritych~</v>
      </c>
      <c r="B1010" t="str">
        <v>Terrorblade</v>
      </c>
      <c r="C1010" t="str" cm="1">
        <f t="array" ref="C1010">_xlfn.XLOOKUP(1,([3]!players[name]=A1010)*([3]!players[hero_name]=B1010),[3]!players[lane_name])</f>
        <v>Carry</v>
      </c>
      <c r="D1010">
        <f>COUNTIFS([3]!players[name],A1010,[3]!players[hero_name],B1010)</f>
        <v>1</v>
      </c>
      <c r="E1010">
        <f>COUNTIFS([3]!players[name],A1010,[3]!players[hero_name],B1010, [3]!players[win], 1)</f>
        <v>0</v>
      </c>
      <c r="F1010" s="1">
        <f t="shared" si="15"/>
        <v>0</v>
      </c>
      <c r="G1010" s="2">
        <f>AVERAGEIFS([3]!players[gold_per_min], [3]!players[name],A1010,[3]!players[hero_name],B1010)</f>
        <v>571</v>
      </c>
      <c r="H1010" s="2">
        <f>AVERAGEIFS([3]!players[xp_per_min], [3]!players[name],A1010,[3]!players[hero_name],B1010)</f>
        <v>567</v>
      </c>
    </row>
    <row r="1011" spans="1:8" x14ac:dyDescent="0.3">
      <c r="A1011" t="str">
        <v>Kiritych~</v>
      </c>
      <c r="B1011" t="str">
        <v>Weaver</v>
      </c>
      <c r="C1011" t="str" cm="1">
        <f t="array" ref="C1011">_xlfn.XLOOKUP(1,([3]!players[name]=A1011)*([3]!players[hero_name]=B1011),[3]!players[lane_name])</f>
        <v>Carry</v>
      </c>
      <c r="D1011">
        <f>COUNTIFS([3]!players[name],A1011,[3]!players[hero_name],B1011)</f>
        <v>1</v>
      </c>
      <c r="E1011">
        <f>COUNTIFS([3]!players[name],A1011,[3]!players[hero_name],B1011, [3]!players[win], 1)</f>
        <v>1</v>
      </c>
      <c r="F1011" s="1">
        <f t="shared" si="15"/>
        <v>1</v>
      </c>
      <c r="G1011" s="2">
        <f>AVERAGEIFS([3]!players[gold_per_min], [3]!players[name],A1011,[3]!players[hero_name],B1011)</f>
        <v>689</v>
      </c>
      <c r="H1011" s="2">
        <f>AVERAGEIFS([3]!players[xp_per_min], [3]!players[name],A1011,[3]!players[hero_name],B1011)</f>
        <v>877</v>
      </c>
    </row>
    <row r="1012" spans="1:8" x14ac:dyDescent="0.3">
      <c r="A1012" t="str">
        <v>Kiritych~</v>
      </c>
      <c r="B1012" t="str">
        <v>Alchemist</v>
      </c>
      <c r="C1012" t="str" cm="1">
        <f t="array" ref="C1012">_xlfn.XLOOKUP(1,([3]!players[name]=A1012)*([3]!players[hero_name]=B1012),[3]!players[lane_name])</f>
        <v>Carry</v>
      </c>
      <c r="D1012">
        <f>COUNTIFS([3]!players[name],A1012,[3]!players[hero_name],B1012)</f>
        <v>4</v>
      </c>
      <c r="E1012">
        <f>COUNTIFS([3]!players[name],A1012,[3]!players[hero_name],B1012, [3]!players[win], 1)</f>
        <v>3</v>
      </c>
      <c r="F1012" s="1">
        <f t="shared" si="15"/>
        <v>0.75</v>
      </c>
      <c r="G1012" s="2">
        <f>AVERAGEIFS([3]!players[gold_per_min], [3]!players[name],A1012,[3]!players[hero_name],B1012)</f>
        <v>972.75</v>
      </c>
      <c r="H1012" s="2">
        <f>AVERAGEIFS([3]!players[xp_per_min], [3]!players[name],A1012,[3]!players[hero_name],B1012)</f>
        <v>960.75</v>
      </c>
    </row>
    <row r="1013" spans="1:8" x14ac:dyDescent="0.3">
      <c r="A1013" t="str">
        <v>Kiritych~</v>
      </c>
      <c r="B1013" t="str">
        <v>Kez</v>
      </c>
      <c r="C1013" t="str" cm="1">
        <f t="array" ref="C1013">_xlfn.XLOOKUP(1,([3]!players[name]=A1013)*([3]!players[hero_name]=B1013),[3]!players[lane_name])</f>
        <v>Carry</v>
      </c>
      <c r="D1013">
        <f>COUNTIFS([3]!players[name],A1013,[3]!players[hero_name],B1013)</f>
        <v>6</v>
      </c>
      <c r="E1013">
        <f>COUNTIFS([3]!players[name],A1013,[3]!players[hero_name],B1013, [3]!players[win], 1)</f>
        <v>5</v>
      </c>
      <c r="F1013" s="1">
        <f t="shared" si="15"/>
        <v>0.83333333333333337</v>
      </c>
      <c r="G1013" s="2">
        <f>AVERAGEIFS([3]!players[gold_per_min], [3]!players[name],A1013,[3]!players[hero_name],B1013)</f>
        <v>770.16666666666663</v>
      </c>
      <c r="H1013" s="2">
        <f>AVERAGEIFS([3]!players[xp_per_min], [3]!players[name],A1013,[3]!players[hero_name],B1013)</f>
        <v>964.16666666666663</v>
      </c>
    </row>
    <row r="1014" spans="1:8" x14ac:dyDescent="0.3">
      <c r="A1014" t="str">
        <v>Kiritych~</v>
      </c>
      <c r="B1014" t="str">
        <v>Ursa</v>
      </c>
      <c r="C1014" t="str" cm="1">
        <f t="array" ref="C1014">_xlfn.XLOOKUP(1,([3]!players[name]=A1014)*([3]!players[hero_name]=B1014),[3]!players[lane_name])</f>
        <v>Carry</v>
      </c>
      <c r="D1014">
        <f>COUNTIFS([3]!players[name],A1014,[3]!players[hero_name],B1014)</f>
        <v>1</v>
      </c>
      <c r="E1014">
        <f>COUNTIFS([3]!players[name],A1014,[3]!players[hero_name],B1014, [3]!players[win], 1)</f>
        <v>0</v>
      </c>
      <c r="F1014" s="1">
        <f t="shared" si="15"/>
        <v>0</v>
      </c>
      <c r="G1014" s="2">
        <f>AVERAGEIFS([3]!players[gold_per_min], [3]!players[name],A1014,[3]!players[hero_name],B1014)</f>
        <v>599</v>
      </c>
      <c r="H1014" s="2">
        <f>AVERAGEIFS([3]!players[xp_per_min], [3]!players[name],A1014,[3]!players[hero_name],B1014)</f>
        <v>659</v>
      </c>
    </row>
    <row r="1015" spans="1:8" x14ac:dyDescent="0.3">
      <c r="A1015" t="str">
        <v>Kiritych~</v>
      </c>
      <c r="B1015" t="str">
        <v>Muerta</v>
      </c>
      <c r="C1015" t="str" cm="1">
        <f t="array" ref="C1015">_xlfn.XLOOKUP(1,([3]!players[name]=A1015)*([3]!players[hero_name]=B1015),[3]!players[lane_name])</f>
        <v>Carry</v>
      </c>
      <c r="D1015">
        <f>COUNTIFS([3]!players[name],A1015,[3]!players[hero_name],B1015)</f>
        <v>4</v>
      </c>
      <c r="E1015">
        <f>COUNTIFS([3]!players[name],A1015,[3]!players[hero_name],B1015, [3]!players[win], 1)</f>
        <v>4</v>
      </c>
      <c r="F1015" s="1">
        <f t="shared" si="15"/>
        <v>1</v>
      </c>
      <c r="G1015" s="2">
        <f>AVERAGEIFS([3]!players[gold_per_min], [3]!players[name],A1015,[3]!players[hero_name],B1015)</f>
        <v>816</v>
      </c>
      <c r="H1015" s="2">
        <f>AVERAGEIFS([3]!players[xp_per_min], [3]!players[name],A1015,[3]!players[hero_name],B1015)</f>
        <v>915</v>
      </c>
    </row>
    <row r="1016" spans="1:8" x14ac:dyDescent="0.3">
      <c r="A1016" t="str">
        <v>Kiritych~</v>
      </c>
      <c r="B1016" t="str">
        <v>Lifestealer</v>
      </c>
      <c r="C1016" t="str" cm="1">
        <f t="array" ref="C1016">_xlfn.XLOOKUP(1,([3]!players[name]=A1016)*([3]!players[hero_name]=B1016),[3]!players[lane_name])</f>
        <v>Carry</v>
      </c>
      <c r="D1016">
        <f>COUNTIFS([3]!players[name],A1016,[3]!players[hero_name],B1016)</f>
        <v>4</v>
      </c>
      <c r="E1016">
        <f>COUNTIFS([3]!players[name],A1016,[3]!players[hero_name],B1016, [3]!players[win], 1)</f>
        <v>3</v>
      </c>
      <c r="F1016" s="1">
        <f t="shared" si="15"/>
        <v>0.75</v>
      </c>
      <c r="G1016" s="2">
        <f>AVERAGEIFS([3]!players[gold_per_min], [3]!players[name],A1016,[3]!players[hero_name],B1016)</f>
        <v>696.75</v>
      </c>
      <c r="H1016" s="2">
        <f>AVERAGEIFS([3]!players[xp_per_min], [3]!players[name],A1016,[3]!players[hero_name],B1016)</f>
        <v>793</v>
      </c>
    </row>
    <row r="1017" spans="1:8" x14ac:dyDescent="0.3">
      <c r="A1017" t="str">
        <v>Kiritych~</v>
      </c>
      <c r="B1017" t="str">
        <v>Tiny</v>
      </c>
      <c r="C1017" t="str" cm="1">
        <f t="array" ref="C1017">_xlfn.XLOOKUP(1,([3]!players[name]=A1017)*([3]!players[hero_name]=B1017),[3]!players[lane_name])</f>
        <v>Carry</v>
      </c>
      <c r="D1017">
        <f>COUNTIFS([3]!players[name],A1017,[3]!players[hero_name],B1017)</f>
        <v>2</v>
      </c>
      <c r="E1017">
        <f>COUNTIFS([3]!players[name],A1017,[3]!players[hero_name],B1017, [3]!players[win], 1)</f>
        <v>2</v>
      </c>
      <c r="F1017" s="1">
        <f t="shared" si="15"/>
        <v>1</v>
      </c>
      <c r="G1017" s="2">
        <f>AVERAGEIFS([3]!players[gold_per_min], [3]!players[name],A1017,[3]!players[hero_name],B1017)</f>
        <v>697</v>
      </c>
      <c r="H1017" s="2">
        <f>AVERAGEIFS([3]!players[xp_per_min], [3]!players[name],A1017,[3]!players[hero_name],B1017)</f>
        <v>761</v>
      </c>
    </row>
    <row r="1018" spans="1:8" x14ac:dyDescent="0.3">
      <c r="A1018" t="str">
        <v>kiyotaka</v>
      </c>
      <c r="B1018" t="str">
        <v>Kez</v>
      </c>
      <c r="C1018" t="str" cm="1">
        <f t="array" ref="C1018">_xlfn.XLOOKUP(1,([3]!players[name]=A1018)*([3]!players[hero_name]=B1018),[3]!players[lane_name])</f>
        <v>Mid</v>
      </c>
      <c r="D1018">
        <f>COUNTIFS([3]!players[name],A1018,[3]!players[hero_name],B1018)</f>
        <v>1</v>
      </c>
      <c r="E1018">
        <f>COUNTIFS([3]!players[name],A1018,[3]!players[hero_name],B1018, [3]!players[win], 1)</f>
        <v>0</v>
      </c>
      <c r="F1018" s="1">
        <f t="shared" si="15"/>
        <v>0</v>
      </c>
      <c r="G1018" s="2">
        <f>AVERAGEIFS([3]!players[gold_per_min], [3]!players[name],A1018,[3]!players[hero_name],B1018)</f>
        <v>512</v>
      </c>
      <c r="H1018" s="2">
        <f>AVERAGEIFS([3]!players[xp_per_min], [3]!players[name],A1018,[3]!players[hero_name],B1018)</f>
        <v>625</v>
      </c>
    </row>
    <row r="1019" spans="1:8" x14ac:dyDescent="0.3">
      <c r="A1019" t="str">
        <v>kiyotaka</v>
      </c>
      <c r="B1019" t="str">
        <v>Earthshaker</v>
      </c>
      <c r="C1019" t="str" cm="1">
        <f t="array" ref="C1019">_xlfn.XLOOKUP(1,([3]!players[name]=A1019)*([3]!players[hero_name]=B1019),[3]!players[lane_name])</f>
        <v>Mid</v>
      </c>
      <c r="D1019">
        <f>COUNTIFS([3]!players[name],A1019,[3]!players[hero_name],B1019)</f>
        <v>1</v>
      </c>
      <c r="E1019">
        <f>COUNTIFS([3]!players[name],A1019,[3]!players[hero_name],B1019, [3]!players[win], 1)</f>
        <v>1</v>
      </c>
      <c r="F1019" s="1">
        <f t="shared" si="15"/>
        <v>1</v>
      </c>
      <c r="G1019" s="2">
        <f>AVERAGEIFS([3]!players[gold_per_min], [3]!players[name],A1019,[3]!players[hero_name],B1019)</f>
        <v>473</v>
      </c>
      <c r="H1019" s="2">
        <f>AVERAGEIFS([3]!players[xp_per_min], [3]!players[name],A1019,[3]!players[hero_name],B1019)</f>
        <v>609</v>
      </c>
    </row>
    <row r="1020" spans="1:8" x14ac:dyDescent="0.3">
      <c r="A1020" t="str">
        <v>kiyotaka</v>
      </c>
      <c r="B1020" t="str">
        <v>Keeper of the Light</v>
      </c>
      <c r="C1020" t="str" cm="1">
        <f t="array" ref="C1020">_xlfn.XLOOKUP(1,([3]!players[name]=A1020)*([3]!players[hero_name]=B1020),[3]!players[lane_name])</f>
        <v>Mid</v>
      </c>
      <c r="D1020">
        <f>COUNTIFS([3]!players[name],A1020,[3]!players[hero_name],B1020)</f>
        <v>1</v>
      </c>
      <c r="E1020">
        <f>COUNTIFS([3]!players[name],A1020,[3]!players[hero_name],B1020, [3]!players[win], 1)</f>
        <v>1</v>
      </c>
      <c r="F1020" s="1">
        <f t="shared" si="15"/>
        <v>1</v>
      </c>
      <c r="G1020" s="2">
        <f>AVERAGEIFS([3]!players[gold_per_min], [3]!players[name],A1020,[3]!players[hero_name],B1020)</f>
        <v>635</v>
      </c>
      <c r="H1020" s="2">
        <f>AVERAGEIFS([3]!players[xp_per_min], [3]!players[name],A1020,[3]!players[hero_name],B1020)</f>
        <v>744</v>
      </c>
    </row>
    <row r="1021" spans="1:8" x14ac:dyDescent="0.3">
      <c r="A1021" t="str">
        <v>KNP</v>
      </c>
      <c r="B1021" t="str">
        <v>Underlord</v>
      </c>
      <c r="C1021" t="str" cm="1">
        <f t="array" ref="C1021">_xlfn.XLOOKUP(1,([3]!players[name]=A1021)*([3]!players[hero_name]=B1021),[3]!players[lane_name])</f>
        <v>Off Lane</v>
      </c>
      <c r="D1021">
        <f>COUNTIFS([3]!players[name],A1021,[3]!players[hero_name],B1021)</f>
        <v>5</v>
      </c>
      <c r="E1021">
        <f>COUNTIFS([3]!players[name],A1021,[3]!players[hero_name],B1021, [3]!players[win], 1)</f>
        <v>1</v>
      </c>
      <c r="F1021" s="1">
        <f t="shared" si="15"/>
        <v>0.2</v>
      </c>
      <c r="G1021" s="2">
        <f>AVERAGEIFS([3]!players[gold_per_min], [3]!players[name],A1021,[3]!players[hero_name],B1021)</f>
        <v>461.6</v>
      </c>
      <c r="H1021" s="2">
        <f>AVERAGEIFS([3]!players[xp_per_min], [3]!players[name],A1021,[3]!players[hero_name],B1021)</f>
        <v>597.4</v>
      </c>
    </row>
    <row r="1022" spans="1:8" x14ac:dyDescent="0.3">
      <c r="A1022" t="str">
        <v>KNP</v>
      </c>
      <c r="B1022" t="str">
        <v>Razor</v>
      </c>
      <c r="C1022" t="str" cm="1">
        <f t="array" ref="C1022">_xlfn.XLOOKUP(1,([3]!players[name]=A1022)*([3]!players[hero_name]=B1022),[3]!players[lane_name])</f>
        <v>Off Lane</v>
      </c>
      <c r="D1022">
        <f>COUNTIFS([3]!players[name],A1022,[3]!players[hero_name],B1022)</f>
        <v>1</v>
      </c>
      <c r="E1022">
        <f>COUNTIFS([3]!players[name],A1022,[3]!players[hero_name],B1022, [3]!players[win], 1)</f>
        <v>0</v>
      </c>
      <c r="F1022" s="1">
        <f t="shared" si="15"/>
        <v>0</v>
      </c>
      <c r="G1022" s="2">
        <f>AVERAGEIFS([3]!players[gold_per_min], [3]!players[name],A1022,[3]!players[hero_name],B1022)</f>
        <v>564</v>
      </c>
      <c r="H1022" s="2">
        <f>AVERAGEIFS([3]!players[xp_per_min], [3]!players[name],A1022,[3]!players[hero_name],B1022)</f>
        <v>818</v>
      </c>
    </row>
    <row r="1023" spans="1:8" x14ac:dyDescent="0.3">
      <c r="A1023" t="str">
        <v>KNP</v>
      </c>
      <c r="B1023" t="str">
        <v>Viper</v>
      </c>
      <c r="C1023" t="str" cm="1">
        <f t="array" ref="C1023">_xlfn.XLOOKUP(1,([3]!players[name]=A1023)*([3]!players[hero_name]=B1023),[3]!players[lane_name])</f>
        <v>Off Lane</v>
      </c>
      <c r="D1023">
        <f>COUNTIFS([3]!players[name],A1023,[3]!players[hero_name],B1023)</f>
        <v>2</v>
      </c>
      <c r="E1023">
        <f>COUNTIFS([3]!players[name],A1023,[3]!players[hero_name],B1023, [3]!players[win], 1)</f>
        <v>1</v>
      </c>
      <c r="F1023" s="1">
        <f t="shared" si="15"/>
        <v>0.5</v>
      </c>
      <c r="G1023" s="2">
        <f>AVERAGEIFS([3]!players[gold_per_min], [3]!players[name],A1023,[3]!players[hero_name],B1023)</f>
        <v>599</v>
      </c>
      <c r="H1023" s="2">
        <f>AVERAGEIFS([3]!players[xp_per_min], [3]!players[name],A1023,[3]!players[hero_name],B1023)</f>
        <v>721.5</v>
      </c>
    </row>
    <row r="1024" spans="1:8" x14ac:dyDescent="0.3">
      <c r="A1024" t="str">
        <v>KNP</v>
      </c>
      <c r="B1024" t="str">
        <v>Alchemist</v>
      </c>
      <c r="C1024" t="str" cm="1">
        <f t="array" ref="C1024">_xlfn.XLOOKUP(1,([3]!players[name]=A1024)*([3]!players[hero_name]=B1024),[3]!players[lane_name])</f>
        <v>Off Lane</v>
      </c>
      <c r="D1024">
        <f>COUNTIFS([3]!players[name],A1024,[3]!players[hero_name],B1024)</f>
        <v>2</v>
      </c>
      <c r="E1024">
        <f>COUNTIFS([3]!players[name],A1024,[3]!players[hero_name],B1024, [3]!players[win], 1)</f>
        <v>2</v>
      </c>
      <c r="F1024" s="1">
        <f t="shared" si="15"/>
        <v>1</v>
      </c>
      <c r="G1024" s="2">
        <f>AVERAGEIFS([3]!players[gold_per_min], [3]!players[name],A1024,[3]!players[hero_name],B1024)</f>
        <v>739</v>
      </c>
      <c r="H1024" s="2">
        <f>AVERAGEIFS([3]!players[xp_per_min], [3]!players[name],A1024,[3]!players[hero_name],B1024)</f>
        <v>735.5</v>
      </c>
    </row>
    <row r="1025" spans="1:8" x14ac:dyDescent="0.3">
      <c r="A1025" t="str">
        <v>KNP</v>
      </c>
      <c r="B1025" t="str">
        <v>Bristleback</v>
      </c>
      <c r="C1025" t="str" cm="1">
        <f t="array" ref="C1025">_xlfn.XLOOKUP(1,([3]!players[name]=A1025)*([3]!players[hero_name]=B1025),[3]!players[lane_name])</f>
        <v>Off Lane</v>
      </c>
      <c r="D1025">
        <f>COUNTIFS([3]!players[name],A1025,[3]!players[hero_name],B1025)</f>
        <v>4</v>
      </c>
      <c r="E1025">
        <f>COUNTIFS([3]!players[name],A1025,[3]!players[hero_name],B1025, [3]!players[win], 1)</f>
        <v>2</v>
      </c>
      <c r="F1025" s="1">
        <f t="shared" si="15"/>
        <v>0.5</v>
      </c>
      <c r="G1025" s="2">
        <f>AVERAGEIFS([3]!players[gold_per_min], [3]!players[name],A1025,[3]!players[hero_name],B1025)</f>
        <v>562</v>
      </c>
      <c r="H1025" s="2">
        <f>AVERAGEIFS([3]!players[xp_per_min], [3]!players[name],A1025,[3]!players[hero_name],B1025)</f>
        <v>766</v>
      </c>
    </row>
    <row r="1026" spans="1:8" x14ac:dyDescent="0.3">
      <c r="A1026" t="str">
        <v>KNP</v>
      </c>
      <c r="B1026" t="str">
        <v>Tidehunter</v>
      </c>
      <c r="C1026" t="str" cm="1">
        <f t="array" ref="C1026">_xlfn.XLOOKUP(1,([3]!players[name]=A1026)*([3]!players[hero_name]=B1026),[3]!players[lane_name])</f>
        <v>Off Lane</v>
      </c>
      <c r="D1026">
        <f>COUNTIFS([3]!players[name],A1026,[3]!players[hero_name],B1026)</f>
        <v>1</v>
      </c>
      <c r="E1026">
        <f>COUNTIFS([3]!players[name],A1026,[3]!players[hero_name],B1026, [3]!players[win], 1)</f>
        <v>0</v>
      </c>
      <c r="F1026" s="1">
        <f t="shared" si="15"/>
        <v>0</v>
      </c>
      <c r="G1026" s="2">
        <f>AVERAGEIFS([3]!players[gold_per_min], [3]!players[name],A1026,[3]!players[hero_name],B1026)</f>
        <v>539</v>
      </c>
      <c r="H1026" s="2">
        <f>AVERAGEIFS([3]!players[xp_per_min], [3]!players[name],A1026,[3]!players[hero_name],B1026)</f>
        <v>615</v>
      </c>
    </row>
    <row r="1027" spans="1:8" x14ac:dyDescent="0.3">
      <c r="A1027" t="str">
        <v>KNP</v>
      </c>
      <c r="B1027" t="str">
        <v>Dawnbreaker</v>
      </c>
      <c r="C1027" t="str" cm="1">
        <f t="array" ref="C1027">_xlfn.XLOOKUP(1,([3]!players[name]=A1027)*([3]!players[hero_name]=B1027),[3]!players[lane_name])</f>
        <v>Off Lane</v>
      </c>
      <c r="D1027">
        <f>COUNTIFS([3]!players[name],A1027,[3]!players[hero_name],B1027)</f>
        <v>4</v>
      </c>
      <c r="E1027">
        <f>COUNTIFS([3]!players[name],A1027,[3]!players[hero_name],B1027, [3]!players[win], 1)</f>
        <v>3</v>
      </c>
      <c r="F1027" s="1">
        <f t="shared" ref="F1027:F1090" si="16">E1027/D1027</f>
        <v>0.75</v>
      </c>
      <c r="G1027" s="2">
        <f>AVERAGEIFS([3]!players[gold_per_min], [3]!players[name],A1027,[3]!players[hero_name],B1027)</f>
        <v>613.75</v>
      </c>
      <c r="H1027" s="2">
        <f>AVERAGEIFS([3]!players[xp_per_min], [3]!players[name],A1027,[3]!players[hero_name],B1027)</f>
        <v>854.25</v>
      </c>
    </row>
    <row r="1028" spans="1:8" x14ac:dyDescent="0.3">
      <c r="A1028" t="str">
        <v>KNP</v>
      </c>
      <c r="B1028" t="str">
        <v>Brewmaster</v>
      </c>
      <c r="C1028" t="str" cm="1">
        <f t="array" ref="C1028">_xlfn.XLOOKUP(1,([3]!players[name]=A1028)*([3]!players[hero_name]=B1028),[3]!players[lane_name])</f>
        <v>Off Lane</v>
      </c>
      <c r="D1028">
        <f>COUNTIFS([3]!players[name],A1028,[3]!players[hero_name],B1028)</f>
        <v>2</v>
      </c>
      <c r="E1028">
        <f>COUNTIFS([3]!players[name],A1028,[3]!players[hero_name],B1028, [3]!players[win], 1)</f>
        <v>1</v>
      </c>
      <c r="F1028" s="1">
        <f t="shared" si="16"/>
        <v>0.5</v>
      </c>
      <c r="G1028" s="2">
        <f>AVERAGEIFS([3]!players[gold_per_min], [3]!players[name],A1028,[3]!players[hero_name],B1028)</f>
        <v>544.5</v>
      </c>
      <c r="H1028" s="2">
        <f>AVERAGEIFS([3]!players[xp_per_min], [3]!players[name],A1028,[3]!players[hero_name],B1028)</f>
        <v>637</v>
      </c>
    </row>
    <row r="1029" spans="1:8" x14ac:dyDescent="0.3">
      <c r="A1029" t="str">
        <v>KNP</v>
      </c>
      <c r="B1029" t="str">
        <v>Beastmaster</v>
      </c>
      <c r="C1029" t="str" cm="1">
        <f t="array" ref="C1029">_xlfn.XLOOKUP(1,([3]!players[name]=A1029)*([3]!players[hero_name]=B1029),[3]!players[lane_name])</f>
        <v>Off Lane</v>
      </c>
      <c r="D1029">
        <f>COUNTIFS([3]!players[name],A1029,[3]!players[hero_name],B1029)</f>
        <v>1</v>
      </c>
      <c r="E1029">
        <f>COUNTIFS([3]!players[name],A1029,[3]!players[hero_name],B1029, [3]!players[win], 1)</f>
        <v>0</v>
      </c>
      <c r="F1029" s="1">
        <f t="shared" si="16"/>
        <v>0</v>
      </c>
      <c r="G1029" s="2">
        <f>AVERAGEIFS([3]!players[gold_per_min], [3]!players[name],A1029,[3]!players[hero_name],B1029)</f>
        <v>524</v>
      </c>
      <c r="H1029" s="2">
        <f>AVERAGEIFS([3]!players[xp_per_min], [3]!players[name],A1029,[3]!players[hero_name],B1029)</f>
        <v>506</v>
      </c>
    </row>
    <row r="1030" spans="1:8" x14ac:dyDescent="0.3">
      <c r="A1030" t="str">
        <v>KNP</v>
      </c>
      <c r="B1030" t="str">
        <v>Axe</v>
      </c>
      <c r="C1030" t="str" cm="1">
        <f t="array" ref="C1030">_xlfn.XLOOKUP(1,([3]!players[name]=A1030)*([3]!players[hero_name]=B1030),[3]!players[lane_name])</f>
        <v>Off Lane</v>
      </c>
      <c r="D1030">
        <f>COUNTIFS([3]!players[name],A1030,[3]!players[hero_name],B1030)</f>
        <v>1</v>
      </c>
      <c r="E1030">
        <f>COUNTIFS([3]!players[name],A1030,[3]!players[hero_name],B1030, [3]!players[win], 1)</f>
        <v>0</v>
      </c>
      <c r="F1030" s="1">
        <f t="shared" si="16"/>
        <v>0</v>
      </c>
      <c r="G1030" s="2">
        <f>AVERAGEIFS([3]!players[gold_per_min], [3]!players[name],A1030,[3]!players[hero_name],B1030)</f>
        <v>472</v>
      </c>
      <c r="H1030" s="2">
        <f>AVERAGEIFS([3]!players[xp_per_min], [3]!players[name],A1030,[3]!players[hero_name],B1030)</f>
        <v>620</v>
      </c>
    </row>
    <row r="1031" spans="1:8" x14ac:dyDescent="0.3">
      <c r="A1031" t="str">
        <v>KNP</v>
      </c>
      <c r="B1031" t="str">
        <v>Slardar</v>
      </c>
      <c r="C1031" t="str" cm="1">
        <f t="array" ref="C1031">_xlfn.XLOOKUP(1,([3]!players[name]=A1031)*([3]!players[hero_name]=B1031),[3]!players[lane_name])</f>
        <v>Off Lane</v>
      </c>
      <c r="D1031">
        <f>COUNTIFS([3]!players[name],A1031,[3]!players[hero_name],B1031)</f>
        <v>1</v>
      </c>
      <c r="E1031">
        <f>COUNTIFS([3]!players[name],A1031,[3]!players[hero_name],B1031, [3]!players[win], 1)</f>
        <v>0</v>
      </c>
      <c r="F1031" s="1">
        <f t="shared" si="16"/>
        <v>0</v>
      </c>
      <c r="G1031" s="2">
        <f>AVERAGEIFS([3]!players[gold_per_min], [3]!players[name],A1031,[3]!players[hero_name],B1031)</f>
        <v>467</v>
      </c>
      <c r="H1031" s="2">
        <f>AVERAGEIFS([3]!players[xp_per_min], [3]!players[name],A1031,[3]!players[hero_name],B1031)</f>
        <v>631</v>
      </c>
    </row>
    <row r="1032" spans="1:8" x14ac:dyDescent="0.3">
      <c r="A1032" t="str">
        <v>Kr1sStå¨‡å°</v>
      </c>
      <c r="B1032" t="str">
        <v>Phoenix</v>
      </c>
      <c r="C1032" t="str" cm="1">
        <f t="array" ref="C1032">_xlfn.XLOOKUP(1,([3]!players[name]=A1032)*([3]!players[hero_name]=B1032),[3]!players[lane_name])</f>
        <v>Soft Support</v>
      </c>
      <c r="D1032">
        <f>COUNTIFS([3]!players[name],A1032,[3]!players[hero_name],B1032)</f>
        <v>2</v>
      </c>
      <c r="E1032">
        <f>COUNTIFS([3]!players[name],A1032,[3]!players[hero_name],B1032, [3]!players[win], 1)</f>
        <v>2</v>
      </c>
      <c r="F1032" s="1">
        <f t="shared" si="16"/>
        <v>1</v>
      </c>
      <c r="G1032" s="2">
        <f>AVERAGEIFS([3]!players[gold_per_min], [3]!players[name],A1032,[3]!players[hero_name],B1032)</f>
        <v>387.5</v>
      </c>
      <c r="H1032" s="2">
        <f>AVERAGEIFS([3]!players[xp_per_min], [3]!players[name],A1032,[3]!players[hero_name],B1032)</f>
        <v>439</v>
      </c>
    </row>
    <row r="1033" spans="1:8" x14ac:dyDescent="0.3">
      <c r="A1033" t="str">
        <v>Kr1sStå¨‡å°</v>
      </c>
      <c r="B1033" t="str">
        <v>Tusk</v>
      </c>
      <c r="C1033" t="str" cm="1">
        <f t="array" ref="C1033">_xlfn.XLOOKUP(1,([3]!players[name]=A1033)*([3]!players[hero_name]=B1033),[3]!players[lane_name])</f>
        <v>Hard Support</v>
      </c>
      <c r="D1033">
        <f>COUNTIFS([3]!players[name],A1033,[3]!players[hero_name],B1033)</f>
        <v>1</v>
      </c>
      <c r="E1033">
        <f>COUNTIFS([3]!players[name],A1033,[3]!players[hero_name],B1033, [3]!players[win], 1)</f>
        <v>1</v>
      </c>
      <c r="F1033" s="1">
        <f t="shared" si="16"/>
        <v>1</v>
      </c>
      <c r="G1033" s="2">
        <f>AVERAGEIFS([3]!players[gold_per_min], [3]!players[name],A1033,[3]!players[hero_name],B1033)</f>
        <v>418</v>
      </c>
      <c r="H1033" s="2">
        <f>AVERAGEIFS([3]!players[xp_per_min], [3]!players[name],A1033,[3]!players[hero_name],B1033)</f>
        <v>693</v>
      </c>
    </row>
    <row r="1034" spans="1:8" x14ac:dyDescent="0.3">
      <c r="A1034" t="str">
        <v>Kr1sStå¨‡å°</v>
      </c>
      <c r="B1034" t="str">
        <v>Disruptor</v>
      </c>
      <c r="C1034" t="str" cm="1">
        <f t="array" ref="C1034">_xlfn.XLOOKUP(1,([3]!players[name]=A1034)*([3]!players[hero_name]=B1034),[3]!players[lane_name])</f>
        <v>Soft Support</v>
      </c>
      <c r="D1034">
        <f>COUNTIFS([3]!players[name],A1034,[3]!players[hero_name],B1034)</f>
        <v>3</v>
      </c>
      <c r="E1034">
        <f>COUNTIFS([3]!players[name],A1034,[3]!players[hero_name],B1034, [3]!players[win], 1)</f>
        <v>1</v>
      </c>
      <c r="F1034" s="1">
        <f t="shared" si="16"/>
        <v>0.33333333333333331</v>
      </c>
      <c r="G1034" s="2">
        <f>AVERAGEIFS([3]!players[gold_per_min], [3]!players[name],A1034,[3]!players[hero_name],B1034)</f>
        <v>341.33333333333331</v>
      </c>
      <c r="H1034" s="2">
        <f>AVERAGEIFS([3]!players[xp_per_min], [3]!players[name],A1034,[3]!players[hero_name],B1034)</f>
        <v>461.66666666666669</v>
      </c>
    </row>
    <row r="1035" spans="1:8" x14ac:dyDescent="0.3">
      <c r="A1035" t="str">
        <v>Kr1sStå¨‡å°</v>
      </c>
      <c r="B1035" t="str">
        <v>Jakiro</v>
      </c>
      <c r="C1035" t="str" cm="1">
        <f t="array" ref="C1035">_xlfn.XLOOKUP(1,([3]!players[name]=A1035)*([3]!players[hero_name]=B1035),[3]!players[lane_name])</f>
        <v>Soft Support</v>
      </c>
      <c r="D1035">
        <f>COUNTIFS([3]!players[name],A1035,[3]!players[hero_name],B1035)</f>
        <v>5</v>
      </c>
      <c r="E1035">
        <f>COUNTIFS([3]!players[name],A1035,[3]!players[hero_name],B1035, [3]!players[win], 1)</f>
        <v>3</v>
      </c>
      <c r="F1035" s="1">
        <f t="shared" si="16"/>
        <v>0.6</v>
      </c>
      <c r="G1035" s="2">
        <f>AVERAGEIFS([3]!players[gold_per_min], [3]!players[name],A1035,[3]!players[hero_name],B1035)</f>
        <v>363.8</v>
      </c>
      <c r="H1035" s="2">
        <f>AVERAGEIFS([3]!players[xp_per_min], [3]!players[name],A1035,[3]!players[hero_name],B1035)</f>
        <v>495.6</v>
      </c>
    </row>
    <row r="1036" spans="1:8" x14ac:dyDescent="0.3">
      <c r="A1036" t="str">
        <v>Kr1sStå¨‡å°</v>
      </c>
      <c r="B1036" t="str">
        <v>Rubick</v>
      </c>
      <c r="C1036" t="str" cm="1">
        <f t="array" ref="C1036">_xlfn.XLOOKUP(1,([3]!players[name]=A1036)*([3]!players[hero_name]=B1036),[3]!players[lane_name])</f>
        <v>Soft Support</v>
      </c>
      <c r="D1036">
        <f>COUNTIFS([3]!players[name],A1036,[3]!players[hero_name],B1036)</f>
        <v>1</v>
      </c>
      <c r="E1036">
        <f>COUNTIFS([3]!players[name],A1036,[3]!players[hero_name],B1036, [3]!players[win], 1)</f>
        <v>0</v>
      </c>
      <c r="F1036" s="1">
        <f t="shared" si="16"/>
        <v>0</v>
      </c>
      <c r="G1036" s="2">
        <f>AVERAGEIFS([3]!players[gold_per_min], [3]!players[name],A1036,[3]!players[hero_name],B1036)</f>
        <v>372</v>
      </c>
      <c r="H1036" s="2">
        <f>AVERAGEIFS([3]!players[xp_per_min], [3]!players[name],A1036,[3]!players[hero_name],B1036)</f>
        <v>571</v>
      </c>
    </row>
    <row r="1037" spans="1:8" x14ac:dyDescent="0.3">
      <c r="A1037" t="str">
        <v>Kr1sStå¨‡å°</v>
      </c>
      <c r="B1037" t="str">
        <v>Treant Protector</v>
      </c>
      <c r="C1037" t="str" cm="1">
        <f t="array" ref="C1037">_xlfn.XLOOKUP(1,([3]!players[name]=A1037)*([3]!players[hero_name]=B1037),[3]!players[lane_name])</f>
        <v>Hard Support</v>
      </c>
      <c r="D1037">
        <f>COUNTIFS([3]!players[name],A1037,[3]!players[hero_name],B1037)</f>
        <v>1</v>
      </c>
      <c r="E1037">
        <f>COUNTIFS([3]!players[name],A1037,[3]!players[hero_name],B1037, [3]!players[win], 1)</f>
        <v>1</v>
      </c>
      <c r="F1037" s="1">
        <f t="shared" si="16"/>
        <v>1</v>
      </c>
      <c r="G1037" s="2">
        <f>AVERAGEIFS([3]!players[gold_per_min], [3]!players[name],A1037,[3]!players[hero_name],B1037)</f>
        <v>314</v>
      </c>
      <c r="H1037" s="2">
        <f>AVERAGEIFS([3]!players[xp_per_min], [3]!players[name],A1037,[3]!players[hero_name],B1037)</f>
        <v>584</v>
      </c>
    </row>
    <row r="1038" spans="1:8" x14ac:dyDescent="0.3">
      <c r="A1038" t="str">
        <v>Kr1sStå¨‡å°</v>
      </c>
      <c r="B1038" t="str">
        <v>Enchantress</v>
      </c>
      <c r="C1038" t="str" cm="1">
        <f t="array" ref="C1038">_xlfn.XLOOKUP(1,([3]!players[name]=A1038)*([3]!players[hero_name]=B1038),[3]!players[lane_name])</f>
        <v>Soft Support</v>
      </c>
      <c r="D1038">
        <f>COUNTIFS([3]!players[name],A1038,[3]!players[hero_name],B1038)</f>
        <v>2</v>
      </c>
      <c r="E1038">
        <f>COUNTIFS([3]!players[name],A1038,[3]!players[hero_name],B1038, [3]!players[win], 1)</f>
        <v>0</v>
      </c>
      <c r="F1038" s="1">
        <f t="shared" si="16"/>
        <v>0</v>
      </c>
      <c r="G1038" s="2">
        <f>AVERAGEIFS([3]!players[gold_per_min], [3]!players[name],A1038,[3]!players[hero_name],B1038)</f>
        <v>317.5</v>
      </c>
      <c r="H1038" s="2">
        <f>AVERAGEIFS([3]!players[xp_per_min], [3]!players[name],A1038,[3]!players[hero_name],B1038)</f>
        <v>472</v>
      </c>
    </row>
    <row r="1039" spans="1:8" x14ac:dyDescent="0.3">
      <c r="A1039" t="str">
        <v>krol9ash</v>
      </c>
      <c r="B1039" t="str">
        <v>Brewmaster</v>
      </c>
      <c r="C1039" t="str" cm="1">
        <f t="array" ref="C1039">_xlfn.XLOOKUP(1,([3]!players[name]=A1039)*([3]!players[hero_name]=B1039),[3]!players[lane_name])</f>
        <v>Off Lane</v>
      </c>
      <c r="D1039">
        <f>COUNTIFS([3]!players[name],A1039,[3]!players[hero_name],B1039)</f>
        <v>2</v>
      </c>
      <c r="E1039">
        <f>COUNTIFS([3]!players[name],A1039,[3]!players[hero_name],B1039, [3]!players[win], 1)</f>
        <v>1</v>
      </c>
      <c r="F1039" s="1">
        <f t="shared" si="16"/>
        <v>0.5</v>
      </c>
      <c r="G1039" s="2">
        <f>AVERAGEIFS([3]!players[gold_per_min], [3]!players[name],A1039,[3]!players[hero_name],B1039)</f>
        <v>594.5</v>
      </c>
      <c r="H1039" s="2">
        <f>AVERAGEIFS([3]!players[xp_per_min], [3]!players[name],A1039,[3]!players[hero_name],B1039)</f>
        <v>814</v>
      </c>
    </row>
    <row r="1040" spans="1:8" x14ac:dyDescent="0.3">
      <c r="A1040" t="str">
        <v>krol9ash</v>
      </c>
      <c r="B1040" t="str">
        <v>Bristleback</v>
      </c>
      <c r="C1040" t="str" cm="1">
        <f t="array" ref="C1040">_xlfn.XLOOKUP(1,([3]!players[name]=A1040)*([3]!players[hero_name]=B1040),[3]!players[lane_name])</f>
        <v>Off Lane</v>
      </c>
      <c r="D1040">
        <f>COUNTIFS([3]!players[name],A1040,[3]!players[hero_name],B1040)</f>
        <v>6</v>
      </c>
      <c r="E1040">
        <f>COUNTIFS([3]!players[name],A1040,[3]!players[hero_name],B1040, [3]!players[win], 1)</f>
        <v>3</v>
      </c>
      <c r="F1040" s="1">
        <f t="shared" si="16"/>
        <v>0.5</v>
      </c>
      <c r="G1040" s="2">
        <f>AVERAGEIFS([3]!players[gold_per_min], [3]!players[name],A1040,[3]!players[hero_name],B1040)</f>
        <v>586.83333333333337</v>
      </c>
      <c r="H1040" s="2">
        <f>AVERAGEIFS([3]!players[xp_per_min], [3]!players[name],A1040,[3]!players[hero_name],B1040)</f>
        <v>683.83333333333337</v>
      </c>
    </row>
    <row r="1041" spans="1:8" x14ac:dyDescent="0.3">
      <c r="A1041" t="str">
        <v>krol9ash</v>
      </c>
      <c r="B1041" t="str">
        <v>Dawnbreaker</v>
      </c>
      <c r="C1041" t="str" cm="1">
        <f t="array" ref="C1041">_xlfn.XLOOKUP(1,([3]!players[name]=A1041)*([3]!players[hero_name]=B1041),[3]!players[lane_name])</f>
        <v>Off Lane</v>
      </c>
      <c r="D1041">
        <f>COUNTIFS([3]!players[name],A1041,[3]!players[hero_name],B1041)</f>
        <v>2</v>
      </c>
      <c r="E1041">
        <f>COUNTIFS([3]!players[name],A1041,[3]!players[hero_name],B1041, [3]!players[win], 1)</f>
        <v>0</v>
      </c>
      <c r="F1041" s="1">
        <f t="shared" si="16"/>
        <v>0</v>
      </c>
      <c r="G1041" s="2">
        <f>AVERAGEIFS([3]!players[gold_per_min], [3]!players[name],A1041,[3]!players[hero_name],B1041)</f>
        <v>484</v>
      </c>
      <c r="H1041" s="2">
        <f>AVERAGEIFS([3]!players[xp_per_min], [3]!players[name],A1041,[3]!players[hero_name],B1041)</f>
        <v>584.5</v>
      </c>
    </row>
    <row r="1042" spans="1:8" x14ac:dyDescent="0.3">
      <c r="A1042" t="str">
        <v>krol9ash</v>
      </c>
      <c r="B1042" t="str">
        <v>Doom</v>
      </c>
      <c r="C1042" t="str" cm="1">
        <f t="array" ref="C1042">_xlfn.XLOOKUP(1,([3]!players[name]=A1042)*([3]!players[hero_name]=B1042),[3]!players[lane_name])</f>
        <v>Off Lane</v>
      </c>
      <c r="D1042">
        <f>COUNTIFS([3]!players[name],A1042,[3]!players[hero_name],B1042)</f>
        <v>1</v>
      </c>
      <c r="E1042">
        <f>COUNTIFS([3]!players[name],A1042,[3]!players[hero_name],B1042, [3]!players[win], 1)</f>
        <v>0</v>
      </c>
      <c r="F1042" s="1">
        <f t="shared" si="16"/>
        <v>0</v>
      </c>
      <c r="G1042" s="2">
        <f>AVERAGEIFS([3]!players[gold_per_min], [3]!players[name],A1042,[3]!players[hero_name],B1042)</f>
        <v>521</v>
      </c>
      <c r="H1042" s="2">
        <f>AVERAGEIFS([3]!players[xp_per_min], [3]!players[name],A1042,[3]!players[hero_name],B1042)</f>
        <v>557</v>
      </c>
    </row>
    <row r="1043" spans="1:8" x14ac:dyDescent="0.3">
      <c r="A1043" t="str">
        <v>krol9ash</v>
      </c>
      <c r="B1043" t="str">
        <v>Night Stalker</v>
      </c>
      <c r="C1043" t="str" cm="1">
        <f t="array" ref="C1043">_xlfn.XLOOKUP(1,([3]!players[name]=A1043)*([3]!players[hero_name]=B1043),[3]!players[lane_name])</f>
        <v>Off Lane</v>
      </c>
      <c r="D1043">
        <f>COUNTIFS([3]!players[name],A1043,[3]!players[hero_name],B1043)</f>
        <v>1</v>
      </c>
      <c r="E1043">
        <f>COUNTIFS([3]!players[name],A1043,[3]!players[hero_name],B1043, [3]!players[win], 1)</f>
        <v>0</v>
      </c>
      <c r="F1043" s="1">
        <f t="shared" si="16"/>
        <v>0</v>
      </c>
      <c r="G1043" s="2">
        <f>AVERAGEIFS([3]!players[gold_per_min], [3]!players[name],A1043,[3]!players[hero_name],B1043)</f>
        <v>471</v>
      </c>
      <c r="H1043" s="2">
        <f>AVERAGEIFS([3]!players[xp_per_min], [3]!players[name],A1043,[3]!players[hero_name],B1043)</f>
        <v>518</v>
      </c>
    </row>
    <row r="1044" spans="1:8" x14ac:dyDescent="0.3">
      <c r="A1044" t="str">
        <v>krol9ash</v>
      </c>
      <c r="B1044" t="str">
        <v>Tidehunter</v>
      </c>
      <c r="C1044" t="str" cm="1">
        <f t="array" ref="C1044">_xlfn.XLOOKUP(1,([3]!players[name]=A1044)*([3]!players[hero_name]=B1044),[3]!players[lane_name])</f>
        <v>Off Lane</v>
      </c>
      <c r="D1044">
        <f>COUNTIFS([3]!players[name],A1044,[3]!players[hero_name],B1044)</f>
        <v>2</v>
      </c>
      <c r="E1044">
        <f>COUNTIFS([3]!players[name],A1044,[3]!players[hero_name],B1044, [3]!players[win], 1)</f>
        <v>1</v>
      </c>
      <c r="F1044" s="1">
        <f t="shared" si="16"/>
        <v>0.5</v>
      </c>
      <c r="G1044" s="2">
        <f>AVERAGEIFS([3]!players[gold_per_min], [3]!players[name],A1044,[3]!players[hero_name],B1044)</f>
        <v>494.5</v>
      </c>
      <c r="H1044" s="2">
        <f>AVERAGEIFS([3]!players[xp_per_min], [3]!players[name],A1044,[3]!players[hero_name],B1044)</f>
        <v>585.5</v>
      </c>
    </row>
    <row r="1045" spans="1:8" x14ac:dyDescent="0.3">
      <c r="A1045" t="str">
        <v>krol9ash</v>
      </c>
      <c r="B1045" t="str">
        <v>Batrider</v>
      </c>
      <c r="C1045" t="str" cm="1">
        <f t="array" ref="C1045">_xlfn.XLOOKUP(1,([3]!players[name]=A1045)*([3]!players[hero_name]=B1045),[3]!players[lane_name])</f>
        <v>Off Lane</v>
      </c>
      <c r="D1045">
        <f>COUNTIFS([3]!players[name],A1045,[3]!players[hero_name],B1045)</f>
        <v>1</v>
      </c>
      <c r="E1045">
        <f>COUNTIFS([3]!players[name],A1045,[3]!players[hero_name],B1045, [3]!players[win], 1)</f>
        <v>0</v>
      </c>
      <c r="F1045" s="1">
        <f t="shared" si="16"/>
        <v>0</v>
      </c>
      <c r="G1045" s="2">
        <f>AVERAGEIFS([3]!players[gold_per_min], [3]!players[name],A1045,[3]!players[hero_name],B1045)</f>
        <v>479</v>
      </c>
      <c r="H1045" s="2">
        <f>AVERAGEIFS([3]!players[xp_per_min], [3]!players[name],A1045,[3]!players[hero_name],B1045)</f>
        <v>521</v>
      </c>
    </row>
    <row r="1046" spans="1:8" x14ac:dyDescent="0.3">
      <c r="A1046" t="str">
        <v>krol9ash</v>
      </c>
      <c r="B1046" t="str">
        <v>Lycan</v>
      </c>
      <c r="C1046" t="str" cm="1">
        <f t="array" ref="C1046">_xlfn.XLOOKUP(1,([3]!players[name]=A1046)*([3]!players[hero_name]=B1046),[3]!players[lane_name])</f>
        <v>Off Lane</v>
      </c>
      <c r="D1046">
        <f>COUNTIFS([3]!players[name],A1046,[3]!players[hero_name],B1046)</f>
        <v>1</v>
      </c>
      <c r="E1046">
        <f>COUNTIFS([3]!players[name],A1046,[3]!players[hero_name],B1046, [3]!players[win], 1)</f>
        <v>1</v>
      </c>
      <c r="F1046" s="1">
        <f t="shared" si="16"/>
        <v>1</v>
      </c>
      <c r="G1046" s="2">
        <f>AVERAGEIFS([3]!players[gold_per_min], [3]!players[name],A1046,[3]!players[hero_name],B1046)</f>
        <v>589</v>
      </c>
      <c r="H1046" s="2">
        <f>AVERAGEIFS([3]!players[xp_per_min], [3]!players[name],A1046,[3]!players[hero_name],B1046)</f>
        <v>522</v>
      </c>
    </row>
    <row r="1047" spans="1:8" x14ac:dyDescent="0.3">
      <c r="A1047" t="str">
        <v>Kuku^</v>
      </c>
      <c r="B1047" t="str">
        <v>Phoenix</v>
      </c>
      <c r="C1047" t="str" cm="1">
        <f t="array" ref="C1047">_xlfn.XLOOKUP(1,([3]!players[name]=A1047)*([3]!players[hero_name]=B1047),[3]!players[lane_name])</f>
        <v>Hard Support</v>
      </c>
      <c r="D1047">
        <f>COUNTIFS([3]!players[name],A1047,[3]!players[hero_name],B1047)</f>
        <v>3</v>
      </c>
      <c r="E1047">
        <f>COUNTIFS([3]!players[name],A1047,[3]!players[hero_name],B1047, [3]!players[win], 1)</f>
        <v>1</v>
      </c>
      <c r="F1047" s="1">
        <f t="shared" si="16"/>
        <v>0.33333333333333331</v>
      </c>
      <c r="G1047" s="2">
        <f>AVERAGEIFS([3]!players[gold_per_min], [3]!players[name],A1047,[3]!players[hero_name],B1047)</f>
        <v>433</v>
      </c>
      <c r="H1047" s="2">
        <f>AVERAGEIFS([3]!players[xp_per_min], [3]!players[name],A1047,[3]!players[hero_name],B1047)</f>
        <v>521.33333333333337</v>
      </c>
    </row>
    <row r="1048" spans="1:8" x14ac:dyDescent="0.3">
      <c r="A1048" t="str">
        <v>Kuku^</v>
      </c>
      <c r="B1048" t="str">
        <v>Jakiro</v>
      </c>
      <c r="C1048" t="str" cm="1">
        <f t="array" ref="C1048">_xlfn.XLOOKUP(1,([3]!players[name]=A1048)*([3]!players[hero_name]=B1048),[3]!players[lane_name])</f>
        <v>Hard Support</v>
      </c>
      <c r="D1048">
        <f>COUNTIFS([3]!players[name],A1048,[3]!players[hero_name],B1048)</f>
        <v>1</v>
      </c>
      <c r="E1048">
        <f>COUNTIFS([3]!players[name],A1048,[3]!players[hero_name],B1048, [3]!players[win], 1)</f>
        <v>0</v>
      </c>
      <c r="F1048" s="1">
        <f t="shared" si="16"/>
        <v>0</v>
      </c>
      <c r="G1048" s="2">
        <f>AVERAGEIFS([3]!players[gold_per_min], [3]!players[name],A1048,[3]!players[hero_name],B1048)</f>
        <v>294</v>
      </c>
      <c r="H1048" s="2">
        <f>AVERAGEIFS([3]!players[xp_per_min], [3]!players[name],A1048,[3]!players[hero_name],B1048)</f>
        <v>488</v>
      </c>
    </row>
    <row r="1049" spans="1:8" x14ac:dyDescent="0.3">
      <c r="A1049" t="str">
        <v>Kuku^</v>
      </c>
      <c r="B1049" t="str">
        <v>Venomancer</v>
      </c>
      <c r="C1049" t="str" cm="1">
        <f t="array" ref="C1049">_xlfn.XLOOKUP(1,([3]!players[name]=A1049)*([3]!players[hero_name]=B1049),[3]!players[lane_name])</f>
        <v>Soft Support</v>
      </c>
      <c r="D1049">
        <f>COUNTIFS([3]!players[name],A1049,[3]!players[hero_name],B1049)</f>
        <v>2</v>
      </c>
      <c r="E1049">
        <f>COUNTIFS([3]!players[name],A1049,[3]!players[hero_name],B1049, [3]!players[win], 1)</f>
        <v>2</v>
      </c>
      <c r="F1049" s="1">
        <f t="shared" si="16"/>
        <v>1</v>
      </c>
      <c r="G1049" s="2">
        <f>AVERAGEIFS([3]!players[gold_per_min], [3]!players[name],A1049,[3]!players[hero_name],B1049)</f>
        <v>425.5</v>
      </c>
      <c r="H1049" s="2">
        <f>AVERAGEIFS([3]!players[xp_per_min], [3]!players[name],A1049,[3]!players[hero_name],B1049)</f>
        <v>464.5</v>
      </c>
    </row>
    <row r="1050" spans="1:8" x14ac:dyDescent="0.3">
      <c r="A1050" t="str">
        <v>Kuku^</v>
      </c>
      <c r="B1050" t="str">
        <v>Crystal Maiden</v>
      </c>
      <c r="C1050" t="str" cm="1">
        <f t="array" ref="C1050">_xlfn.XLOOKUP(1,([3]!players[name]=A1050)*([3]!players[hero_name]=B1050),[3]!players[lane_name])</f>
        <v>Soft Support</v>
      </c>
      <c r="D1050">
        <f>COUNTIFS([3]!players[name],A1050,[3]!players[hero_name],B1050)</f>
        <v>1</v>
      </c>
      <c r="E1050">
        <f>COUNTIFS([3]!players[name],A1050,[3]!players[hero_name],B1050, [3]!players[win], 1)</f>
        <v>0</v>
      </c>
      <c r="F1050" s="1">
        <f t="shared" si="16"/>
        <v>0</v>
      </c>
      <c r="G1050" s="2">
        <f>AVERAGEIFS([3]!players[gold_per_min], [3]!players[name],A1050,[3]!players[hero_name],B1050)</f>
        <v>284</v>
      </c>
      <c r="H1050" s="2">
        <f>AVERAGEIFS([3]!players[xp_per_min], [3]!players[name],A1050,[3]!players[hero_name],B1050)</f>
        <v>380</v>
      </c>
    </row>
    <row r="1051" spans="1:8" x14ac:dyDescent="0.3">
      <c r="A1051" t="str">
        <v>Kuku^</v>
      </c>
      <c r="B1051" t="str">
        <v>Bane</v>
      </c>
      <c r="C1051" t="str" cm="1">
        <f t="array" ref="C1051">_xlfn.XLOOKUP(1,([3]!players[name]=A1051)*([3]!players[hero_name]=B1051),[3]!players[lane_name])</f>
        <v>Soft Support</v>
      </c>
      <c r="D1051">
        <f>COUNTIFS([3]!players[name],A1051,[3]!players[hero_name],B1051)</f>
        <v>1</v>
      </c>
      <c r="E1051">
        <f>COUNTIFS([3]!players[name],A1051,[3]!players[hero_name],B1051, [3]!players[win], 1)</f>
        <v>0</v>
      </c>
      <c r="F1051" s="1">
        <f t="shared" si="16"/>
        <v>0</v>
      </c>
      <c r="G1051" s="2">
        <f>AVERAGEIFS([3]!players[gold_per_min], [3]!players[name],A1051,[3]!players[hero_name],B1051)</f>
        <v>201</v>
      </c>
      <c r="H1051" s="2">
        <f>AVERAGEIFS([3]!players[xp_per_min], [3]!players[name],A1051,[3]!players[hero_name],B1051)</f>
        <v>279</v>
      </c>
    </row>
    <row r="1052" spans="1:8" x14ac:dyDescent="0.3">
      <c r="A1052" t="str">
        <v>Kuku^</v>
      </c>
      <c r="B1052" t="str">
        <v>Treant Protector</v>
      </c>
      <c r="C1052" t="str" cm="1">
        <f t="array" ref="C1052">_xlfn.XLOOKUP(1,([3]!players[name]=A1052)*([3]!players[hero_name]=B1052),[3]!players[lane_name])</f>
        <v>Hard Support</v>
      </c>
      <c r="D1052">
        <f>COUNTIFS([3]!players[name],A1052,[3]!players[hero_name],B1052)</f>
        <v>2</v>
      </c>
      <c r="E1052">
        <f>COUNTIFS([3]!players[name],A1052,[3]!players[hero_name],B1052, [3]!players[win], 1)</f>
        <v>2</v>
      </c>
      <c r="F1052" s="1">
        <f t="shared" si="16"/>
        <v>1</v>
      </c>
      <c r="G1052" s="2">
        <f>AVERAGEIFS([3]!players[gold_per_min], [3]!players[name],A1052,[3]!players[hero_name],B1052)</f>
        <v>341.5</v>
      </c>
      <c r="H1052" s="2">
        <f>AVERAGEIFS([3]!players[xp_per_min], [3]!players[name],A1052,[3]!players[hero_name],B1052)</f>
        <v>498</v>
      </c>
    </row>
    <row r="1053" spans="1:8" x14ac:dyDescent="0.3">
      <c r="A1053" t="str">
        <v>Kuku^</v>
      </c>
      <c r="B1053" t="str">
        <v>Shadow Demon</v>
      </c>
      <c r="C1053" t="str" cm="1">
        <f t="array" ref="C1053">_xlfn.XLOOKUP(1,([3]!players[name]=A1053)*([3]!players[hero_name]=B1053),[3]!players[lane_name])</f>
        <v>Hard Support</v>
      </c>
      <c r="D1053">
        <f>COUNTIFS([3]!players[name],A1053,[3]!players[hero_name],B1053)</f>
        <v>1</v>
      </c>
      <c r="E1053">
        <f>COUNTIFS([3]!players[name],A1053,[3]!players[hero_name],B1053, [3]!players[win], 1)</f>
        <v>0</v>
      </c>
      <c r="F1053" s="1">
        <f t="shared" si="16"/>
        <v>0</v>
      </c>
      <c r="G1053" s="2">
        <f>AVERAGEIFS([3]!players[gold_per_min], [3]!players[name],A1053,[3]!players[hero_name],B1053)</f>
        <v>236</v>
      </c>
      <c r="H1053" s="2">
        <f>AVERAGEIFS([3]!players[xp_per_min], [3]!players[name],A1053,[3]!players[hero_name],B1053)</f>
        <v>346</v>
      </c>
    </row>
    <row r="1054" spans="1:8" x14ac:dyDescent="0.3">
      <c r="A1054" t="str">
        <v>laise</v>
      </c>
      <c r="B1054" t="str">
        <v>Brewmaster</v>
      </c>
      <c r="C1054" t="str" cm="1">
        <f t="array" ref="C1054">_xlfn.XLOOKUP(1,([3]!players[name]=A1054)*([3]!players[hero_name]=B1054),[3]!players[lane_name])</f>
        <v>Off Lane</v>
      </c>
      <c r="D1054">
        <f>COUNTIFS([3]!players[name],A1054,[3]!players[hero_name],B1054)</f>
        <v>7</v>
      </c>
      <c r="E1054">
        <f>COUNTIFS([3]!players[name],A1054,[3]!players[hero_name],B1054, [3]!players[win], 1)</f>
        <v>5</v>
      </c>
      <c r="F1054" s="1">
        <f t="shared" si="16"/>
        <v>0.7142857142857143</v>
      </c>
      <c r="G1054" s="2">
        <f>AVERAGEIFS([3]!players[gold_per_min], [3]!players[name],A1054,[3]!players[hero_name],B1054)</f>
        <v>588</v>
      </c>
      <c r="H1054" s="2">
        <f>AVERAGEIFS([3]!players[xp_per_min], [3]!players[name],A1054,[3]!players[hero_name],B1054)</f>
        <v>664.14285714285711</v>
      </c>
    </row>
    <row r="1055" spans="1:8" x14ac:dyDescent="0.3">
      <c r="A1055" t="str">
        <v>laise</v>
      </c>
      <c r="B1055" t="str">
        <v>Pangolier</v>
      </c>
      <c r="C1055" t="str" cm="1">
        <f t="array" ref="C1055">_xlfn.XLOOKUP(1,([3]!players[name]=A1055)*([3]!players[hero_name]=B1055),[3]!players[lane_name])</f>
        <v>Off Lane</v>
      </c>
      <c r="D1055">
        <f>COUNTIFS([3]!players[name],A1055,[3]!players[hero_name],B1055)</f>
        <v>3</v>
      </c>
      <c r="E1055">
        <f>COUNTIFS([3]!players[name],A1055,[3]!players[hero_name],B1055, [3]!players[win], 1)</f>
        <v>2</v>
      </c>
      <c r="F1055" s="1">
        <f t="shared" si="16"/>
        <v>0.66666666666666663</v>
      </c>
      <c r="G1055" s="2">
        <f>AVERAGEIFS([3]!players[gold_per_min], [3]!players[name],A1055,[3]!players[hero_name],B1055)</f>
        <v>550.66666666666663</v>
      </c>
      <c r="H1055" s="2">
        <f>AVERAGEIFS([3]!players[xp_per_min], [3]!players[name],A1055,[3]!players[hero_name],B1055)</f>
        <v>813.33333333333337</v>
      </c>
    </row>
    <row r="1056" spans="1:8" x14ac:dyDescent="0.3">
      <c r="A1056" t="str">
        <v>laise</v>
      </c>
      <c r="B1056" t="str">
        <v>Tidehunter</v>
      </c>
      <c r="C1056" t="str" cm="1">
        <f t="array" ref="C1056">_xlfn.XLOOKUP(1,([3]!players[name]=A1056)*([3]!players[hero_name]=B1056),[3]!players[lane_name])</f>
        <v>Off Lane</v>
      </c>
      <c r="D1056">
        <f>COUNTIFS([3]!players[name],A1056,[3]!players[hero_name],B1056)</f>
        <v>5</v>
      </c>
      <c r="E1056">
        <f>COUNTIFS([3]!players[name],A1056,[3]!players[hero_name],B1056, [3]!players[win], 1)</f>
        <v>4</v>
      </c>
      <c r="F1056" s="1">
        <f t="shared" si="16"/>
        <v>0.8</v>
      </c>
      <c r="G1056" s="2">
        <f>AVERAGEIFS([3]!players[gold_per_min], [3]!players[name],A1056,[3]!players[hero_name],B1056)</f>
        <v>591.4</v>
      </c>
      <c r="H1056" s="2">
        <f>AVERAGEIFS([3]!players[xp_per_min], [3]!players[name],A1056,[3]!players[hero_name],B1056)</f>
        <v>744.2</v>
      </c>
    </row>
    <row r="1057" spans="1:8" x14ac:dyDescent="0.3">
      <c r="A1057" t="str">
        <v>laise</v>
      </c>
      <c r="B1057" t="str">
        <v>Slardar</v>
      </c>
      <c r="C1057" t="str" cm="1">
        <f t="array" ref="C1057">_xlfn.XLOOKUP(1,([3]!players[name]=A1057)*([3]!players[hero_name]=B1057),[3]!players[lane_name])</f>
        <v>Off Lane</v>
      </c>
      <c r="D1057">
        <f>COUNTIFS([3]!players[name],A1057,[3]!players[hero_name],B1057)</f>
        <v>4</v>
      </c>
      <c r="E1057">
        <f>COUNTIFS([3]!players[name],A1057,[3]!players[hero_name],B1057, [3]!players[win], 1)</f>
        <v>2</v>
      </c>
      <c r="F1057" s="1">
        <f t="shared" si="16"/>
        <v>0.5</v>
      </c>
      <c r="G1057" s="2">
        <f>AVERAGEIFS([3]!players[gold_per_min], [3]!players[name],A1057,[3]!players[hero_name],B1057)</f>
        <v>535</v>
      </c>
      <c r="H1057" s="2">
        <f>AVERAGEIFS([3]!players[xp_per_min], [3]!players[name],A1057,[3]!players[hero_name],B1057)</f>
        <v>762</v>
      </c>
    </row>
    <row r="1058" spans="1:8" x14ac:dyDescent="0.3">
      <c r="A1058" t="str">
        <v>laise</v>
      </c>
      <c r="B1058" t="str">
        <v>Mars</v>
      </c>
      <c r="C1058" t="str" cm="1">
        <f t="array" ref="C1058">_xlfn.XLOOKUP(1,([3]!players[name]=A1058)*([3]!players[hero_name]=B1058),[3]!players[lane_name])</f>
        <v>Off Lane</v>
      </c>
      <c r="D1058">
        <f>COUNTIFS([3]!players[name],A1058,[3]!players[hero_name],B1058)</f>
        <v>1</v>
      </c>
      <c r="E1058">
        <f>COUNTIFS([3]!players[name],A1058,[3]!players[hero_name],B1058, [3]!players[win], 1)</f>
        <v>1</v>
      </c>
      <c r="F1058" s="1">
        <f t="shared" si="16"/>
        <v>1</v>
      </c>
      <c r="G1058" s="2">
        <f>AVERAGEIFS([3]!players[gold_per_min], [3]!players[name],A1058,[3]!players[hero_name],B1058)</f>
        <v>523</v>
      </c>
      <c r="H1058" s="2">
        <f>AVERAGEIFS([3]!players[xp_per_min], [3]!players[name],A1058,[3]!players[hero_name],B1058)</f>
        <v>598</v>
      </c>
    </row>
    <row r="1059" spans="1:8" x14ac:dyDescent="0.3">
      <c r="A1059" t="str">
        <v>laise</v>
      </c>
      <c r="B1059" t="str">
        <v>Enigma</v>
      </c>
      <c r="C1059" t="str" cm="1">
        <f t="array" ref="C1059">_xlfn.XLOOKUP(1,([3]!players[name]=A1059)*([3]!players[hero_name]=B1059),[3]!players[lane_name])</f>
        <v>Roam</v>
      </c>
      <c r="D1059">
        <f>COUNTIFS([3]!players[name],A1059,[3]!players[hero_name],B1059)</f>
        <v>1</v>
      </c>
      <c r="E1059">
        <f>COUNTIFS([3]!players[name],A1059,[3]!players[hero_name],B1059, [3]!players[win], 1)</f>
        <v>1</v>
      </c>
      <c r="F1059" s="1">
        <f t="shared" si="16"/>
        <v>1</v>
      </c>
      <c r="G1059" s="2">
        <f>AVERAGEIFS([3]!players[gold_per_min], [3]!players[name],A1059,[3]!players[hero_name],B1059)</f>
        <v>680</v>
      </c>
      <c r="H1059" s="2">
        <f>AVERAGEIFS([3]!players[xp_per_min], [3]!players[name],A1059,[3]!players[hero_name],B1059)</f>
        <v>692</v>
      </c>
    </row>
    <row r="1060" spans="1:8" x14ac:dyDescent="0.3">
      <c r="A1060" t="str">
        <v>laise</v>
      </c>
      <c r="B1060" t="str">
        <v>Underlord</v>
      </c>
      <c r="C1060" t="str" cm="1">
        <f t="array" ref="C1060">_xlfn.XLOOKUP(1,([3]!players[name]=A1060)*([3]!players[hero_name]=B1060),[3]!players[lane_name])</f>
        <v>Off Lane</v>
      </c>
      <c r="D1060">
        <f>COUNTIFS([3]!players[name],A1060,[3]!players[hero_name],B1060)</f>
        <v>4</v>
      </c>
      <c r="E1060">
        <f>COUNTIFS([3]!players[name],A1060,[3]!players[hero_name],B1060, [3]!players[win], 1)</f>
        <v>3</v>
      </c>
      <c r="F1060" s="1">
        <f t="shared" si="16"/>
        <v>0.75</v>
      </c>
      <c r="G1060" s="2">
        <f>AVERAGEIFS([3]!players[gold_per_min], [3]!players[name],A1060,[3]!players[hero_name],B1060)</f>
        <v>591.5</v>
      </c>
      <c r="H1060" s="2">
        <f>AVERAGEIFS([3]!players[xp_per_min], [3]!players[name],A1060,[3]!players[hero_name],B1060)</f>
        <v>844</v>
      </c>
    </row>
    <row r="1061" spans="1:8" x14ac:dyDescent="0.3">
      <c r="A1061" t="str">
        <v>laise</v>
      </c>
      <c r="B1061" t="str">
        <v>Dawnbreaker</v>
      </c>
      <c r="C1061" t="str" cm="1">
        <f t="array" ref="C1061">_xlfn.XLOOKUP(1,([3]!players[name]=A1061)*([3]!players[hero_name]=B1061),[3]!players[lane_name])</f>
        <v>Off Lane</v>
      </c>
      <c r="D1061">
        <f>COUNTIFS([3]!players[name],A1061,[3]!players[hero_name],B1061)</f>
        <v>1</v>
      </c>
      <c r="E1061">
        <f>COUNTIFS([3]!players[name],A1061,[3]!players[hero_name],B1061, [3]!players[win], 1)</f>
        <v>1</v>
      </c>
      <c r="F1061" s="1">
        <f t="shared" si="16"/>
        <v>1</v>
      </c>
      <c r="G1061" s="2">
        <f>AVERAGEIFS([3]!players[gold_per_min], [3]!players[name],A1061,[3]!players[hero_name],B1061)</f>
        <v>730</v>
      </c>
      <c r="H1061" s="2">
        <f>AVERAGEIFS([3]!players[xp_per_min], [3]!players[name],A1061,[3]!players[hero_name],B1061)</f>
        <v>1039</v>
      </c>
    </row>
    <row r="1062" spans="1:8" x14ac:dyDescent="0.3">
      <c r="A1062" t="str">
        <v>laise</v>
      </c>
      <c r="B1062" t="str">
        <v>Viper</v>
      </c>
      <c r="C1062" t="str" cm="1">
        <f t="array" ref="C1062">_xlfn.XLOOKUP(1,([3]!players[name]=A1062)*([3]!players[hero_name]=B1062),[3]!players[lane_name])</f>
        <v>Off Lane</v>
      </c>
      <c r="D1062">
        <f>COUNTIFS([3]!players[name],A1062,[3]!players[hero_name],B1062)</f>
        <v>1</v>
      </c>
      <c r="E1062">
        <f>COUNTIFS([3]!players[name],A1062,[3]!players[hero_name],B1062, [3]!players[win], 1)</f>
        <v>0</v>
      </c>
      <c r="F1062" s="1">
        <f t="shared" si="16"/>
        <v>0</v>
      </c>
      <c r="G1062" s="2">
        <f>AVERAGEIFS([3]!players[gold_per_min], [3]!players[name],A1062,[3]!players[hero_name],B1062)</f>
        <v>528</v>
      </c>
      <c r="H1062" s="2">
        <f>AVERAGEIFS([3]!players[xp_per_min], [3]!players[name],A1062,[3]!players[hero_name],B1062)</f>
        <v>756</v>
      </c>
    </row>
    <row r="1063" spans="1:8" x14ac:dyDescent="0.3">
      <c r="A1063" t="str">
        <v>laise</v>
      </c>
      <c r="B1063" t="str">
        <v>Legion Commander</v>
      </c>
      <c r="C1063" t="str" cm="1">
        <f t="array" ref="C1063">_xlfn.XLOOKUP(1,([3]!players[name]=A1063)*([3]!players[hero_name]=B1063),[3]!players[lane_name])</f>
        <v>Off Lane</v>
      </c>
      <c r="D1063">
        <f>COUNTIFS([3]!players[name],A1063,[3]!players[hero_name],B1063)</f>
        <v>1</v>
      </c>
      <c r="E1063">
        <f>COUNTIFS([3]!players[name],A1063,[3]!players[hero_name],B1063, [3]!players[win], 1)</f>
        <v>0</v>
      </c>
      <c r="F1063" s="1">
        <f t="shared" si="16"/>
        <v>0</v>
      </c>
      <c r="G1063" s="2">
        <f>AVERAGEIFS([3]!players[gold_per_min], [3]!players[name],A1063,[3]!players[hero_name],B1063)</f>
        <v>466</v>
      </c>
      <c r="H1063" s="2">
        <f>AVERAGEIFS([3]!players[xp_per_min], [3]!players[name],A1063,[3]!players[hero_name],B1063)</f>
        <v>588</v>
      </c>
    </row>
    <row r="1064" spans="1:8" x14ac:dyDescent="0.3">
      <c r="A1064" t="str">
        <v>laise</v>
      </c>
      <c r="B1064" t="str">
        <v>Axe</v>
      </c>
      <c r="C1064" t="str" cm="1">
        <f t="array" ref="C1064">_xlfn.XLOOKUP(1,([3]!players[name]=A1064)*([3]!players[hero_name]=B1064),[3]!players[lane_name])</f>
        <v>Off Lane</v>
      </c>
      <c r="D1064">
        <f>COUNTIFS([3]!players[name],A1064,[3]!players[hero_name],B1064)</f>
        <v>3</v>
      </c>
      <c r="E1064">
        <f>COUNTIFS([3]!players[name],A1064,[3]!players[hero_name],B1064, [3]!players[win], 1)</f>
        <v>3</v>
      </c>
      <c r="F1064" s="1">
        <f t="shared" si="16"/>
        <v>1</v>
      </c>
      <c r="G1064" s="2">
        <f>AVERAGEIFS([3]!players[gold_per_min], [3]!players[name],A1064,[3]!players[hero_name],B1064)</f>
        <v>552.33333333333337</v>
      </c>
      <c r="H1064" s="2">
        <f>AVERAGEIFS([3]!players[xp_per_min], [3]!players[name],A1064,[3]!players[hero_name],B1064)</f>
        <v>720.33333333333337</v>
      </c>
    </row>
    <row r="1065" spans="1:8" x14ac:dyDescent="0.3">
      <c r="A1065" t="str">
        <v>laise</v>
      </c>
      <c r="B1065" t="str">
        <v>Bristleback</v>
      </c>
      <c r="C1065" t="str" cm="1">
        <f t="array" ref="C1065">_xlfn.XLOOKUP(1,([3]!players[name]=A1065)*([3]!players[hero_name]=B1065),[3]!players[lane_name])</f>
        <v>Off Lane</v>
      </c>
      <c r="D1065">
        <f>COUNTIFS([3]!players[name],A1065,[3]!players[hero_name],B1065)</f>
        <v>1</v>
      </c>
      <c r="E1065">
        <f>COUNTIFS([3]!players[name],A1065,[3]!players[hero_name],B1065, [3]!players[win], 1)</f>
        <v>1</v>
      </c>
      <c r="F1065" s="1">
        <f t="shared" si="16"/>
        <v>1</v>
      </c>
      <c r="G1065" s="2">
        <f>AVERAGEIFS([3]!players[gold_per_min], [3]!players[name],A1065,[3]!players[hero_name],B1065)</f>
        <v>664</v>
      </c>
      <c r="H1065" s="2">
        <f>AVERAGEIFS([3]!players[xp_per_min], [3]!players[name],A1065,[3]!players[hero_name],B1065)</f>
        <v>804</v>
      </c>
    </row>
    <row r="1066" spans="1:8" x14ac:dyDescent="0.3">
      <c r="A1066" t="str">
        <v>lalatronii &lt;</v>
      </c>
      <c r="B1066" t="str">
        <v>Pangolier</v>
      </c>
      <c r="C1066" t="str" cm="1">
        <f t="array" ref="C1066">_xlfn.XLOOKUP(1,([3]!players[name]=A1066)*([3]!players[hero_name]=B1066),[3]!players[lane_name])</f>
        <v>Mid</v>
      </c>
      <c r="D1066">
        <f>COUNTIFS([3]!players[name],A1066,[3]!players[hero_name],B1066)</f>
        <v>3</v>
      </c>
      <c r="E1066">
        <f>COUNTIFS([3]!players[name],A1066,[3]!players[hero_name],B1066, [3]!players[win], 1)</f>
        <v>1</v>
      </c>
      <c r="F1066" s="1">
        <f t="shared" si="16"/>
        <v>0.33333333333333331</v>
      </c>
      <c r="G1066" s="2">
        <f>AVERAGEIFS([3]!players[gold_per_min], [3]!players[name],A1066,[3]!players[hero_name],B1066)</f>
        <v>565</v>
      </c>
      <c r="H1066" s="2">
        <f>AVERAGEIFS([3]!players[xp_per_min], [3]!players[name],A1066,[3]!players[hero_name],B1066)</f>
        <v>760</v>
      </c>
    </row>
    <row r="1067" spans="1:8" x14ac:dyDescent="0.3">
      <c r="A1067" t="str">
        <v>lalatronii &lt;</v>
      </c>
      <c r="B1067" t="str">
        <v>Rubick</v>
      </c>
      <c r="C1067" t="str" cm="1">
        <f t="array" ref="C1067">_xlfn.XLOOKUP(1,([3]!players[name]=A1067)*([3]!players[hero_name]=B1067),[3]!players[lane_name])</f>
        <v>Mid</v>
      </c>
      <c r="D1067">
        <f>COUNTIFS([3]!players[name],A1067,[3]!players[hero_name],B1067)</f>
        <v>4</v>
      </c>
      <c r="E1067">
        <f>COUNTIFS([3]!players[name],A1067,[3]!players[hero_name],B1067, [3]!players[win], 1)</f>
        <v>2</v>
      </c>
      <c r="F1067" s="1">
        <f t="shared" si="16"/>
        <v>0.5</v>
      </c>
      <c r="G1067" s="2">
        <f>AVERAGEIFS([3]!players[gold_per_min], [3]!players[name],A1067,[3]!players[hero_name],B1067)</f>
        <v>547.5</v>
      </c>
      <c r="H1067" s="2">
        <f>AVERAGEIFS([3]!players[xp_per_min], [3]!players[name],A1067,[3]!players[hero_name],B1067)</f>
        <v>654.25</v>
      </c>
    </row>
    <row r="1068" spans="1:8" x14ac:dyDescent="0.3">
      <c r="A1068" t="str">
        <v>lalatronii &lt;</v>
      </c>
      <c r="B1068" t="str">
        <v>Monkey King</v>
      </c>
      <c r="C1068" t="str" cm="1">
        <f t="array" ref="C1068">_xlfn.XLOOKUP(1,([3]!players[name]=A1068)*([3]!players[hero_name]=B1068),[3]!players[lane_name])</f>
        <v>Mid</v>
      </c>
      <c r="D1068">
        <f>COUNTIFS([3]!players[name],A1068,[3]!players[hero_name],B1068)</f>
        <v>3</v>
      </c>
      <c r="E1068">
        <f>COUNTIFS([3]!players[name],A1068,[3]!players[hero_name],B1068, [3]!players[win], 1)</f>
        <v>1</v>
      </c>
      <c r="F1068" s="1">
        <f t="shared" si="16"/>
        <v>0.33333333333333331</v>
      </c>
      <c r="G1068" s="2">
        <f>AVERAGEIFS([3]!players[gold_per_min], [3]!players[name],A1068,[3]!players[hero_name],B1068)</f>
        <v>505</v>
      </c>
      <c r="H1068" s="2">
        <f>AVERAGEIFS([3]!players[xp_per_min], [3]!players[name],A1068,[3]!players[hero_name],B1068)</f>
        <v>679.66666666666663</v>
      </c>
    </row>
    <row r="1069" spans="1:8" x14ac:dyDescent="0.3">
      <c r="A1069" t="str">
        <v>lalatronii &lt;</v>
      </c>
      <c r="B1069" t="str">
        <v>Keeper of the Light</v>
      </c>
      <c r="C1069" t="str" cm="1">
        <f t="array" ref="C1069">_xlfn.XLOOKUP(1,([3]!players[name]=A1069)*([3]!players[hero_name]=B1069),[3]!players[lane_name])</f>
        <v>Mid</v>
      </c>
      <c r="D1069">
        <f>COUNTIFS([3]!players[name],A1069,[3]!players[hero_name],B1069)</f>
        <v>2</v>
      </c>
      <c r="E1069">
        <f>COUNTIFS([3]!players[name],A1069,[3]!players[hero_name],B1069, [3]!players[win], 1)</f>
        <v>1</v>
      </c>
      <c r="F1069" s="1">
        <f t="shared" si="16"/>
        <v>0.5</v>
      </c>
      <c r="G1069" s="2">
        <f>AVERAGEIFS([3]!players[gold_per_min], [3]!players[name],A1069,[3]!players[hero_name],B1069)</f>
        <v>599</v>
      </c>
      <c r="H1069" s="2">
        <f>AVERAGEIFS([3]!players[xp_per_min], [3]!players[name],A1069,[3]!players[hero_name],B1069)</f>
        <v>714</v>
      </c>
    </row>
    <row r="1070" spans="1:8" x14ac:dyDescent="0.3">
      <c r="A1070" t="str">
        <v>lalatronii &lt;</v>
      </c>
      <c r="B1070" t="str">
        <v>Riki</v>
      </c>
      <c r="C1070" t="str" cm="1">
        <f t="array" ref="C1070">_xlfn.XLOOKUP(1,([3]!players[name]=A1070)*([3]!players[hero_name]=B1070),[3]!players[lane_name])</f>
        <v>Mid</v>
      </c>
      <c r="D1070">
        <f>COUNTIFS([3]!players[name],A1070,[3]!players[hero_name],B1070)</f>
        <v>3</v>
      </c>
      <c r="E1070">
        <f>COUNTIFS([3]!players[name],A1070,[3]!players[hero_name],B1070, [3]!players[win], 1)</f>
        <v>1</v>
      </c>
      <c r="F1070" s="1">
        <f t="shared" si="16"/>
        <v>0.33333333333333331</v>
      </c>
      <c r="G1070" s="2">
        <f>AVERAGEIFS([3]!players[gold_per_min], [3]!players[name],A1070,[3]!players[hero_name],B1070)</f>
        <v>491</v>
      </c>
      <c r="H1070" s="2">
        <f>AVERAGEIFS([3]!players[xp_per_min], [3]!players[name],A1070,[3]!players[hero_name],B1070)</f>
        <v>741</v>
      </c>
    </row>
    <row r="1071" spans="1:8" x14ac:dyDescent="0.3">
      <c r="A1071" t="str">
        <v>lalatronii &lt;</v>
      </c>
      <c r="B1071" t="str">
        <v>Sand King</v>
      </c>
      <c r="C1071" t="str" cm="1">
        <f t="array" ref="C1071">_xlfn.XLOOKUP(1,([3]!players[name]=A1071)*([3]!players[hero_name]=B1071),[3]!players[lane_name])</f>
        <v>Mid</v>
      </c>
      <c r="D1071">
        <f>COUNTIFS([3]!players[name],A1071,[3]!players[hero_name],B1071)</f>
        <v>1</v>
      </c>
      <c r="E1071">
        <f>COUNTIFS([3]!players[name],A1071,[3]!players[hero_name],B1071, [3]!players[win], 1)</f>
        <v>0</v>
      </c>
      <c r="F1071" s="1">
        <f t="shared" si="16"/>
        <v>0</v>
      </c>
      <c r="G1071" s="2">
        <f>AVERAGEIFS([3]!players[gold_per_min], [3]!players[name],A1071,[3]!players[hero_name],B1071)</f>
        <v>493</v>
      </c>
      <c r="H1071" s="2">
        <f>AVERAGEIFS([3]!players[xp_per_min], [3]!players[name],A1071,[3]!players[hero_name],B1071)</f>
        <v>652</v>
      </c>
    </row>
    <row r="1072" spans="1:8" x14ac:dyDescent="0.3">
      <c r="A1072" t="str">
        <v>lalatronii &lt;</v>
      </c>
      <c r="B1072" t="str">
        <v>Huskar</v>
      </c>
      <c r="C1072" t="str" cm="1">
        <f t="array" ref="C1072">_xlfn.XLOOKUP(1,([3]!players[name]=A1072)*([3]!players[hero_name]=B1072),[3]!players[lane_name])</f>
        <v>Mid</v>
      </c>
      <c r="D1072">
        <f>COUNTIFS([3]!players[name],A1072,[3]!players[hero_name],B1072)</f>
        <v>1</v>
      </c>
      <c r="E1072">
        <f>COUNTIFS([3]!players[name],A1072,[3]!players[hero_name],B1072, [3]!players[win], 1)</f>
        <v>0</v>
      </c>
      <c r="F1072" s="1">
        <f t="shared" si="16"/>
        <v>0</v>
      </c>
      <c r="G1072" s="2">
        <f>AVERAGEIFS([3]!players[gold_per_min], [3]!players[name],A1072,[3]!players[hero_name],B1072)</f>
        <v>492</v>
      </c>
      <c r="H1072" s="2">
        <f>AVERAGEIFS([3]!players[xp_per_min], [3]!players[name],A1072,[3]!players[hero_name],B1072)</f>
        <v>545</v>
      </c>
    </row>
    <row r="1073" spans="1:8" x14ac:dyDescent="0.3">
      <c r="A1073" t="str">
        <v>lalatronii &lt;</v>
      </c>
      <c r="B1073" t="str">
        <v>Alchemist</v>
      </c>
      <c r="C1073" t="str" cm="1">
        <f t="array" ref="C1073">_xlfn.XLOOKUP(1,([3]!players[name]=A1073)*([3]!players[hero_name]=B1073),[3]!players[lane_name])</f>
        <v>Mid</v>
      </c>
      <c r="D1073">
        <f>COUNTIFS([3]!players[name],A1073,[3]!players[hero_name],B1073)</f>
        <v>1</v>
      </c>
      <c r="E1073">
        <f>COUNTIFS([3]!players[name],A1073,[3]!players[hero_name],B1073, [3]!players[win], 1)</f>
        <v>0</v>
      </c>
      <c r="F1073" s="1">
        <f t="shared" si="16"/>
        <v>0</v>
      </c>
      <c r="G1073" s="2">
        <f>AVERAGEIFS([3]!players[gold_per_min], [3]!players[name],A1073,[3]!players[hero_name],B1073)</f>
        <v>447</v>
      </c>
      <c r="H1073" s="2">
        <f>AVERAGEIFS([3]!players[xp_per_min], [3]!players[name],A1073,[3]!players[hero_name],B1073)</f>
        <v>440</v>
      </c>
    </row>
    <row r="1074" spans="1:8" x14ac:dyDescent="0.3">
      <c r="A1074" t="str">
        <v>lalatronii &lt;</v>
      </c>
      <c r="B1074" t="str">
        <v>Ember Spirit</v>
      </c>
      <c r="C1074" t="str" cm="1">
        <f t="array" ref="C1074">_xlfn.XLOOKUP(1,([3]!players[name]=A1074)*([3]!players[hero_name]=B1074),[3]!players[lane_name])</f>
        <v>Mid</v>
      </c>
      <c r="D1074">
        <f>COUNTIFS([3]!players[name],A1074,[3]!players[hero_name],B1074)</f>
        <v>1</v>
      </c>
      <c r="E1074">
        <f>COUNTIFS([3]!players[name],A1074,[3]!players[hero_name],B1074, [3]!players[win], 1)</f>
        <v>0</v>
      </c>
      <c r="F1074" s="1">
        <f t="shared" si="16"/>
        <v>0</v>
      </c>
      <c r="G1074" s="2">
        <f>AVERAGEIFS([3]!players[gold_per_min], [3]!players[name],A1074,[3]!players[hero_name],B1074)</f>
        <v>422</v>
      </c>
      <c r="H1074" s="2">
        <f>AVERAGEIFS([3]!players[xp_per_min], [3]!players[name],A1074,[3]!players[hero_name],B1074)</f>
        <v>378</v>
      </c>
    </row>
    <row r="1075" spans="1:8" x14ac:dyDescent="0.3">
      <c r="A1075" t="str">
        <v>lalatronii &lt;</v>
      </c>
      <c r="B1075" t="str">
        <v>Viper</v>
      </c>
      <c r="C1075" t="str" cm="1">
        <f t="array" ref="C1075">_xlfn.XLOOKUP(1,([3]!players[name]=A1075)*([3]!players[hero_name]=B1075),[3]!players[lane_name])</f>
        <v>Mid</v>
      </c>
      <c r="D1075">
        <f>COUNTIFS([3]!players[name],A1075,[3]!players[hero_name],B1075)</f>
        <v>2</v>
      </c>
      <c r="E1075">
        <f>COUNTIFS([3]!players[name],A1075,[3]!players[hero_name],B1075, [3]!players[win], 1)</f>
        <v>0</v>
      </c>
      <c r="F1075" s="1">
        <f t="shared" si="16"/>
        <v>0</v>
      </c>
      <c r="G1075" s="2">
        <f>AVERAGEIFS([3]!players[gold_per_min], [3]!players[name],A1075,[3]!players[hero_name],B1075)</f>
        <v>585</v>
      </c>
      <c r="H1075" s="2">
        <f>AVERAGEIFS([3]!players[xp_per_min], [3]!players[name],A1075,[3]!players[hero_name],B1075)</f>
        <v>784.5</v>
      </c>
    </row>
    <row r="1076" spans="1:8" x14ac:dyDescent="0.3">
      <c r="A1076" t="str">
        <v>lalatronii &lt;</v>
      </c>
      <c r="B1076" t="str">
        <v>Slardar</v>
      </c>
      <c r="C1076" t="str" cm="1">
        <f t="array" ref="C1076">_xlfn.XLOOKUP(1,([3]!players[name]=A1076)*([3]!players[hero_name]=B1076),[3]!players[lane_name])</f>
        <v>Mid</v>
      </c>
      <c r="D1076">
        <f>COUNTIFS([3]!players[name],A1076,[3]!players[hero_name],B1076)</f>
        <v>2</v>
      </c>
      <c r="E1076">
        <f>COUNTIFS([3]!players[name],A1076,[3]!players[hero_name],B1076, [3]!players[win], 1)</f>
        <v>0</v>
      </c>
      <c r="F1076" s="1">
        <f t="shared" si="16"/>
        <v>0</v>
      </c>
      <c r="G1076" s="2">
        <f>AVERAGEIFS([3]!players[gold_per_min], [3]!players[name],A1076,[3]!players[hero_name],B1076)</f>
        <v>519.5</v>
      </c>
      <c r="H1076" s="2">
        <f>AVERAGEIFS([3]!players[xp_per_min], [3]!players[name],A1076,[3]!players[hero_name],B1076)</f>
        <v>712.5</v>
      </c>
    </row>
    <row r="1077" spans="1:8" x14ac:dyDescent="0.3">
      <c r="A1077" t="str">
        <v>lalatronii &lt;</v>
      </c>
      <c r="B1077" t="str">
        <v>Windranger</v>
      </c>
      <c r="C1077" t="str" cm="1">
        <f t="array" ref="C1077">_xlfn.XLOOKUP(1,([3]!players[name]=A1077)*([3]!players[hero_name]=B1077),[3]!players[lane_name])</f>
        <v>Mid</v>
      </c>
      <c r="D1077">
        <f>COUNTIFS([3]!players[name],A1077,[3]!players[hero_name],B1077)</f>
        <v>1</v>
      </c>
      <c r="E1077">
        <f>COUNTIFS([3]!players[name],A1077,[3]!players[hero_name],B1077, [3]!players[win], 1)</f>
        <v>0</v>
      </c>
      <c r="F1077" s="1">
        <f t="shared" si="16"/>
        <v>0</v>
      </c>
      <c r="G1077" s="2">
        <f>AVERAGEIFS([3]!players[gold_per_min], [3]!players[name],A1077,[3]!players[hero_name],B1077)</f>
        <v>479</v>
      </c>
      <c r="H1077" s="2">
        <f>AVERAGEIFS([3]!players[xp_per_min], [3]!players[name],A1077,[3]!players[hero_name],B1077)</f>
        <v>502</v>
      </c>
    </row>
    <row r="1078" spans="1:8" x14ac:dyDescent="0.3">
      <c r="A1078" t="str">
        <v>Larl</v>
      </c>
      <c r="B1078" t="str">
        <v>Beastmaster</v>
      </c>
      <c r="C1078" t="str" cm="1">
        <f t="array" ref="C1078">_xlfn.XLOOKUP(1,([3]!players[name]=A1078)*([3]!players[hero_name]=B1078),[3]!players[lane_name])</f>
        <v>Mid</v>
      </c>
      <c r="D1078">
        <f>COUNTIFS([3]!players[name],A1078,[3]!players[hero_name],B1078)</f>
        <v>4</v>
      </c>
      <c r="E1078">
        <f>COUNTIFS([3]!players[name],A1078,[3]!players[hero_name],B1078, [3]!players[win], 1)</f>
        <v>2</v>
      </c>
      <c r="F1078" s="1">
        <f t="shared" si="16"/>
        <v>0.5</v>
      </c>
      <c r="G1078" s="2">
        <f>AVERAGEIFS([3]!players[gold_per_min], [3]!players[name],A1078,[3]!players[hero_name],B1078)</f>
        <v>605.5</v>
      </c>
      <c r="H1078" s="2">
        <f>AVERAGEIFS([3]!players[xp_per_min], [3]!players[name],A1078,[3]!players[hero_name],B1078)</f>
        <v>758.25</v>
      </c>
    </row>
    <row r="1079" spans="1:8" x14ac:dyDescent="0.3">
      <c r="A1079" t="str">
        <v>Larl</v>
      </c>
      <c r="B1079" t="str">
        <v>Void Spirit</v>
      </c>
      <c r="C1079" t="str" cm="1">
        <f t="array" ref="C1079">_xlfn.XLOOKUP(1,([3]!players[name]=A1079)*([3]!players[hero_name]=B1079),[3]!players[lane_name])</f>
        <v>Mid</v>
      </c>
      <c r="D1079">
        <f>COUNTIFS([3]!players[name],A1079,[3]!players[hero_name],B1079)</f>
        <v>2</v>
      </c>
      <c r="E1079">
        <f>COUNTIFS([3]!players[name],A1079,[3]!players[hero_name],B1079, [3]!players[win], 1)</f>
        <v>0</v>
      </c>
      <c r="F1079" s="1">
        <f t="shared" si="16"/>
        <v>0</v>
      </c>
      <c r="G1079" s="2">
        <f>AVERAGEIFS([3]!players[gold_per_min], [3]!players[name],A1079,[3]!players[hero_name],B1079)</f>
        <v>446</v>
      </c>
      <c r="H1079" s="2">
        <f>AVERAGEIFS([3]!players[xp_per_min], [3]!players[name],A1079,[3]!players[hero_name],B1079)</f>
        <v>522.5</v>
      </c>
    </row>
    <row r="1080" spans="1:8" x14ac:dyDescent="0.3">
      <c r="A1080" t="str">
        <v>Larl</v>
      </c>
      <c r="B1080" t="str">
        <v>Invoker</v>
      </c>
      <c r="C1080" t="str" cm="1">
        <f t="array" ref="C1080">_xlfn.XLOOKUP(1,([3]!players[name]=A1080)*([3]!players[hero_name]=B1080),[3]!players[lane_name])</f>
        <v>Mid</v>
      </c>
      <c r="D1080">
        <f>COUNTIFS([3]!players[name],A1080,[3]!players[hero_name],B1080)</f>
        <v>2</v>
      </c>
      <c r="E1080">
        <f>COUNTIFS([3]!players[name],A1080,[3]!players[hero_name],B1080, [3]!players[win], 1)</f>
        <v>0</v>
      </c>
      <c r="F1080" s="1">
        <f t="shared" si="16"/>
        <v>0</v>
      </c>
      <c r="G1080" s="2">
        <f>AVERAGEIFS([3]!players[gold_per_min], [3]!players[name],A1080,[3]!players[hero_name],B1080)</f>
        <v>592.5</v>
      </c>
      <c r="H1080" s="2">
        <f>AVERAGEIFS([3]!players[xp_per_min], [3]!players[name],A1080,[3]!players[hero_name],B1080)</f>
        <v>685.5</v>
      </c>
    </row>
    <row r="1081" spans="1:8" x14ac:dyDescent="0.3">
      <c r="A1081" t="str">
        <v>Larl</v>
      </c>
      <c r="B1081" t="str">
        <v>Leshrac</v>
      </c>
      <c r="C1081" t="str" cm="1">
        <f t="array" ref="C1081">_xlfn.XLOOKUP(1,([3]!players[name]=A1081)*([3]!players[hero_name]=B1081),[3]!players[lane_name])</f>
        <v>Mid</v>
      </c>
      <c r="D1081">
        <f>COUNTIFS([3]!players[name],A1081,[3]!players[hero_name],B1081)</f>
        <v>1</v>
      </c>
      <c r="E1081">
        <f>COUNTIFS([3]!players[name],A1081,[3]!players[hero_name],B1081, [3]!players[win], 1)</f>
        <v>1</v>
      </c>
      <c r="F1081" s="1">
        <f t="shared" si="16"/>
        <v>1</v>
      </c>
      <c r="G1081" s="2">
        <f>AVERAGEIFS([3]!players[gold_per_min], [3]!players[name],A1081,[3]!players[hero_name],B1081)</f>
        <v>703</v>
      </c>
      <c r="H1081" s="2">
        <f>AVERAGEIFS([3]!players[xp_per_min], [3]!players[name],A1081,[3]!players[hero_name],B1081)</f>
        <v>1005</v>
      </c>
    </row>
    <row r="1082" spans="1:8" x14ac:dyDescent="0.3">
      <c r="A1082" t="str">
        <v>Larl</v>
      </c>
      <c r="B1082" t="str">
        <v>Pangolier</v>
      </c>
      <c r="C1082" t="str" cm="1">
        <f t="array" ref="C1082">_xlfn.XLOOKUP(1,([3]!players[name]=A1082)*([3]!players[hero_name]=B1082),[3]!players[lane_name])</f>
        <v>Mid</v>
      </c>
      <c r="D1082">
        <f>COUNTIFS([3]!players[name],A1082,[3]!players[hero_name],B1082)</f>
        <v>1</v>
      </c>
      <c r="E1082">
        <f>COUNTIFS([3]!players[name],A1082,[3]!players[hero_name],B1082, [3]!players[win], 1)</f>
        <v>0</v>
      </c>
      <c r="F1082" s="1">
        <f t="shared" si="16"/>
        <v>0</v>
      </c>
      <c r="G1082" s="2">
        <f>AVERAGEIFS([3]!players[gold_per_min], [3]!players[name],A1082,[3]!players[hero_name],B1082)</f>
        <v>573</v>
      </c>
      <c r="H1082" s="2">
        <f>AVERAGEIFS([3]!players[xp_per_min], [3]!players[name],A1082,[3]!players[hero_name],B1082)</f>
        <v>704</v>
      </c>
    </row>
    <row r="1083" spans="1:8" x14ac:dyDescent="0.3">
      <c r="A1083" t="str">
        <v>Larl</v>
      </c>
      <c r="B1083" t="str">
        <v>Queen of Pain</v>
      </c>
      <c r="C1083" t="str" cm="1">
        <f t="array" ref="C1083">_xlfn.XLOOKUP(1,([3]!players[name]=A1083)*([3]!players[hero_name]=B1083),[3]!players[lane_name])</f>
        <v>Mid</v>
      </c>
      <c r="D1083">
        <f>COUNTIFS([3]!players[name],A1083,[3]!players[hero_name],B1083)</f>
        <v>4</v>
      </c>
      <c r="E1083">
        <f>COUNTIFS([3]!players[name],A1083,[3]!players[hero_name],B1083, [3]!players[win], 1)</f>
        <v>2</v>
      </c>
      <c r="F1083" s="1">
        <f t="shared" si="16"/>
        <v>0.5</v>
      </c>
      <c r="G1083" s="2">
        <f>AVERAGEIFS([3]!players[gold_per_min], [3]!players[name],A1083,[3]!players[hero_name],B1083)</f>
        <v>626.25</v>
      </c>
      <c r="H1083" s="2">
        <f>AVERAGEIFS([3]!players[xp_per_min], [3]!players[name],A1083,[3]!players[hero_name],B1083)</f>
        <v>963.75</v>
      </c>
    </row>
    <row r="1084" spans="1:8" x14ac:dyDescent="0.3">
      <c r="A1084" t="str">
        <v>Larl</v>
      </c>
      <c r="B1084" t="str">
        <v>Tiny</v>
      </c>
      <c r="C1084" t="str" cm="1">
        <f t="array" ref="C1084">_xlfn.XLOOKUP(1,([3]!players[name]=A1084)*([3]!players[hero_name]=B1084),[3]!players[lane_name])</f>
        <v>Mid</v>
      </c>
      <c r="D1084">
        <f>COUNTIFS([3]!players[name],A1084,[3]!players[hero_name],B1084)</f>
        <v>2</v>
      </c>
      <c r="E1084">
        <f>COUNTIFS([3]!players[name],A1084,[3]!players[hero_name],B1084, [3]!players[win], 1)</f>
        <v>1</v>
      </c>
      <c r="F1084" s="1">
        <f t="shared" si="16"/>
        <v>0.5</v>
      </c>
      <c r="G1084" s="2">
        <f>AVERAGEIFS([3]!players[gold_per_min], [3]!players[name],A1084,[3]!players[hero_name],B1084)</f>
        <v>557.5</v>
      </c>
      <c r="H1084" s="2">
        <f>AVERAGEIFS([3]!players[xp_per_min], [3]!players[name],A1084,[3]!players[hero_name],B1084)</f>
        <v>621</v>
      </c>
    </row>
    <row r="1085" spans="1:8" x14ac:dyDescent="0.3">
      <c r="A1085" t="str">
        <v>Larl</v>
      </c>
      <c r="B1085" t="str">
        <v>Keeper of the Light</v>
      </c>
      <c r="C1085" t="str" cm="1">
        <f t="array" ref="C1085">_xlfn.XLOOKUP(1,([3]!players[name]=A1085)*([3]!players[hero_name]=B1085),[3]!players[lane_name])</f>
        <v>Mid</v>
      </c>
      <c r="D1085">
        <f>COUNTIFS([3]!players[name],A1085,[3]!players[hero_name],B1085)</f>
        <v>1</v>
      </c>
      <c r="E1085">
        <f>COUNTIFS([3]!players[name],A1085,[3]!players[hero_name],B1085, [3]!players[win], 1)</f>
        <v>0</v>
      </c>
      <c r="F1085" s="1">
        <f t="shared" si="16"/>
        <v>0</v>
      </c>
      <c r="G1085" s="2">
        <f>AVERAGEIFS([3]!players[gold_per_min], [3]!players[name],A1085,[3]!players[hero_name],B1085)</f>
        <v>482</v>
      </c>
      <c r="H1085" s="2">
        <f>AVERAGEIFS([3]!players[xp_per_min], [3]!players[name],A1085,[3]!players[hero_name],B1085)</f>
        <v>506</v>
      </c>
    </row>
    <row r="1086" spans="1:8" x14ac:dyDescent="0.3">
      <c r="A1086" t="str">
        <v>Larl</v>
      </c>
      <c r="B1086" t="str">
        <v>Storm Spirit</v>
      </c>
      <c r="C1086" t="str" cm="1">
        <f t="array" ref="C1086">_xlfn.XLOOKUP(1,([3]!players[name]=A1086)*([3]!players[hero_name]=B1086),[3]!players[lane_name])</f>
        <v>Mid</v>
      </c>
      <c r="D1086">
        <f>COUNTIFS([3]!players[name],A1086,[3]!players[hero_name],B1086)</f>
        <v>2</v>
      </c>
      <c r="E1086">
        <f>COUNTIFS([3]!players[name],A1086,[3]!players[hero_name],B1086, [3]!players[win], 1)</f>
        <v>1</v>
      </c>
      <c r="F1086" s="1">
        <f t="shared" si="16"/>
        <v>0.5</v>
      </c>
      <c r="G1086" s="2">
        <f>AVERAGEIFS([3]!players[gold_per_min], [3]!players[name],A1086,[3]!players[hero_name],B1086)</f>
        <v>654</v>
      </c>
      <c r="H1086" s="2">
        <f>AVERAGEIFS([3]!players[xp_per_min], [3]!players[name],A1086,[3]!players[hero_name],B1086)</f>
        <v>944</v>
      </c>
    </row>
    <row r="1087" spans="1:8" x14ac:dyDescent="0.3">
      <c r="A1087" t="str">
        <v>Larl</v>
      </c>
      <c r="B1087" t="str">
        <v>Sand King</v>
      </c>
      <c r="C1087" t="str" cm="1">
        <f t="array" ref="C1087">_xlfn.XLOOKUP(1,([3]!players[name]=A1087)*([3]!players[hero_name]=B1087),[3]!players[lane_name])</f>
        <v>Mid</v>
      </c>
      <c r="D1087">
        <f>COUNTIFS([3]!players[name],A1087,[3]!players[hero_name],B1087)</f>
        <v>1</v>
      </c>
      <c r="E1087">
        <f>COUNTIFS([3]!players[name],A1087,[3]!players[hero_name],B1087, [3]!players[win], 1)</f>
        <v>0</v>
      </c>
      <c r="F1087" s="1">
        <f t="shared" si="16"/>
        <v>0</v>
      </c>
      <c r="G1087" s="2">
        <f>AVERAGEIFS([3]!players[gold_per_min], [3]!players[name],A1087,[3]!players[hero_name],B1087)</f>
        <v>426</v>
      </c>
      <c r="H1087" s="2">
        <f>AVERAGEIFS([3]!players[xp_per_min], [3]!players[name],A1087,[3]!players[hero_name],B1087)</f>
        <v>492</v>
      </c>
    </row>
    <row r="1088" spans="1:8" x14ac:dyDescent="0.3">
      <c r="A1088" t="str">
        <v>Larl</v>
      </c>
      <c r="B1088" t="str">
        <v>Puck</v>
      </c>
      <c r="C1088" t="str" cm="1">
        <f t="array" ref="C1088">_xlfn.XLOOKUP(1,([3]!players[name]=A1088)*([3]!players[hero_name]=B1088),[3]!players[lane_name])</f>
        <v>Mid</v>
      </c>
      <c r="D1088">
        <f>COUNTIFS([3]!players[name],A1088,[3]!players[hero_name],B1088)</f>
        <v>2</v>
      </c>
      <c r="E1088">
        <f>COUNTIFS([3]!players[name],A1088,[3]!players[hero_name],B1088, [3]!players[win], 1)</f>
        <v>1</v>
      </c>
      <c r="F1088" s="1">
        <f t="shared" si="16"/>
        <v>0.5</v>
      </c>
      <c r="G1088" s="2">
        <f>AVERAGEIFS([3]!players[gold_per_min], [3]!players[name],A1088,[3]!players[hero_name],B1088)</f>
        <v>592.5</v>
      </c>
      <c r="H1088" s="2">
        <f>AVERAGEIFS([3]!players[xp_per_min], [3]!players[name],A1088,[3]!players[hero_name],B1088)</f>
        <v>714.5</v>
      </c>
    </row>
    <row r="1089" spans="1:8" x14ac:dyDescent="0.3">
      <c r="A1089" t="str">
        <v>Larl</v>
      </c>
      <c r="B1089" t="str">
        <v>Primal Beast</v>
      </c>
      <c r="C1089" t="str" cm="1">
        <f t="array" ref="C1089">_xlfn.XLOOKUP(1,([3]!players[name]=A1089)*([3]!players[hero_name]=B1089),[3]!players[lane_name])</f>
        <v>Mid</v>
      </c>
      <c r="D1089">
        <f>COUNTIFS([3]!players[name],A1089,[3]!players[hero_name],B1089)</f>
        <v>1</v>
      </c>
      <c r="E1089">
        <f>COUNTIFS([3]!players[name],A1089,[3]!players[hero_name],B1089, [3]!players[win], 1)</f>
        <v>1</v>
      </c>
      <c r="F1089" s="1">
        <f t="shared" si="16"/>
        <v>1</v>
      </c>
      <c r="G1089" s="2">
        <f>AVERAGEIFS([3]!players[gold_per_min], [3]!players[name],A1089,[3]!players[hero_name],B1089)</f>
        <v>598</v>
      </c>
      <c r="H1089" s="2">
        <f>AVERAGEIFS([3]!players[xp_per_min], [3]!players[name],A1089,[3]!players[hero_name],B1089)</f>
        <v>872</v>
      </c>
    </row>
    <row r="1090" spans="1:8" x14ac:dyDescent="0.3">
      <c r="A1090" t="str">
        <v>lewis</v>
      </c>
      <c r="B1090" t="str">
        <v>Sand King</v>
      </c>
      <c r="C1090" t="str" cm="1">
        <f t="array" ref="C1090">_xlfn.XLOOKUP(1,([3]!players[name]=A1090)*([3]!players[hero_name]=B1090),[3]!players[lane_name])</f>
        <v>Mid</v>
      </c>
      <c r="D1090">
        <f>COUNTIFS([3]!players[name],A1090,[3]!players[hero_name],B1090)</f>
        <v>7</v>
      </c>
      <c r="E1090">
        <f>COUNTIFS([3]!players[name],A1090,[3]!players[hero_name],B1090, [3]!players[win], 1)</f>
        <v>6</v>
      </c>
      <c r="F1090" s="1">
        <f t="shared" si="16"/>
        <v>0.8571428571428571</v>
      </c>
      <c r="G1090" s="2">
        <f>AVERAGEIFS([3]!players[gold_per_min], [3]!players[name],A1090,[3]!players[hero_name],B1090)</f>
        <v>614.57142857142856</v>
      </c>
      <c r="H1090" s="2">
        <f>AVERAGEIFS([3]!players[xp_per_min], [3]!players[name],A1090,[3]!players[hero_name],B1090)</f>
        <v>810.28571428571433</v>
      </c>
    </row>
    <row r="1091" spans="1:8" x14ac:dyDescent="0.3">
      <c r="A1091" t="str">
        <v>lewis</v>
      </c>
      <c r="B1091" t="str">
        <v>Tiny</v>
      </c>
      <c r="C1091" t="str" cm="1">
        <f t="array" ref="C1091">_xlfn.XLOOKUP(1,([3]!players[name]=A1091)*([3]!players[hero_name]=B1091),[3]!players[lane_name])</f>
        <v>Mid</v>
      </c>
      <c r="D1091">
        <f>COUNTIFS([3]!players[name],A1091,[3]!players[hero_name],B1091)</f>
        <v>3</v>
      </c>
      <c r="E1091">
        <f>COUNTIFS([3]!players[name],A1091,[3]!players[hero_name],B1091, [3]!players[win], 1)</f>
        <v>2</v>
      </c>
      <c r="F1091" s="1">
        <f t="shared" ref="F1091:F1154" si="17">E1091/D1091</f>
        <v>0.66666666666666663</v>
      </c>
      <c r="G1091" s="2">
        <f>AVERAGEIFS([3]!players[gold_per_min], [3]!players[name],A1091,[3]!players[hero_name],B1091)</f>
        <v>553</v>
      </c>
      <c r="H1091" s="2">
        <f>AVERAGEIFS([3]!players[xp_per_min], [3]!players[name],A1091,[3]!players[hero_name],B1091)</f>
        <v>701.66666666666663</v>
      </c>
    </row>
    <row r="1092" spans="1:8" x14ac:dyDescent="0.3">
      <c r="A1092" t="str">
        <v>lewis</v>
      </c>
      <c r="B1092" t="str">
        <v>Pangolier</v>
      </c>
      <c r="C1092" t="str" cm="1">
        <f t="array" ref="C1092">_xlfn.XLOOKUP(1,([3]!players[name]=A1092)*([3]!players[hero_name]=B1092),[3]!players[lane_name])</f>
        <v>Mid</v>
      </c>
      <c r="D1092">
        <f>COUNTIFS([3]!players[name],A1092,[3]!players[hero_name],B1092)</f>
        <v>3</v>
      </c>
      <c r="E1092">
        <f>COUNTIFS([3]!players[name],A1092,[3]!players[hero_name],B1092, [3]!players[win], 1)</f>
        <v>1</v>
      </c>
      <c r="F1092" s="1">
        <f t="shared" si="17"/>
        <v>0.33333333333333331</v>
      </c>
      <c r="G1092" s="2">
        <f>AVERAGEIFS([3]!players[gold_per_min], [3]!players[name],A1092,[3]!players[hero_name],B1092)</f>
        <v>556</v>
      </c>
      <c r="H1092" s="2">
        <f>AVERAGEIFS([3]!players[xp_per_min], [3]!players[name],A1092,[3]!players[hero_name],B1092)</f>
        <v>678</v>
      </c>
    </row>
    <row r="1093" spans="1:8" x14ac:dyDescent="0.3">
      <c r="A1093" t="str">
        <v>lewis</v>
      </c>
      <c r="B1093" t="str">
        <v>Puck</v>
      </c>
      <c r="C1093" t="str" cm="1">
        <f t="array" ref="C1093">_xlfn.XLOOKUP(1,([3]!players[name]=A1093)*([3]!players[hero_name]=B1093),[3]!players[lane_name])</f>
        <v>Mid</v>
      </c>
      <c r="D1093">
        <f>COUNTIFS([3]!players[name],A1093,[3]!players[hero_name],B1093)</f>
        <v>2</v>
      </c>
      <c r="E1093">
        <f>COUNTIFS([3]!players[name],A1093,[3]!players[hero_name],B1093, [3]!players[win], 1)</f>
        <v>2</v>
      </c>
      <c r="F1093" s="1">
        <f t="shared" si="17"/>
        <v>1</v>
      </c>
      <c r="G1093" s="2">
        <f>AVERAGEIFS([3]!players[gold_per_min], [3]!players[name],A1093,[3]!players[hero_name],B1093)</f>
        <v>605.5</v>
      </c>
      <c r="H1093" s="2">
        <f>AVERAGEIFS([3]!players[xp_per_min], [3]!players[name],A1093,[3]!players[hero_name],B1093)</f>
        <v>856.5</v>
      </c>
    </row>
    <row r="1094" spans="1:8" x14ac:dyDescent="0.3">
      <c r="A1094" t="str">
        <v>lewis</v>
      </c>
      <c r="B1094" t="str">
        <v>Ember Spirit</v>
      </c>
      <c r="C1094" t="str" cm="1">
        <f t="array" ref="C1094">_xlfn.XLOOKUP(1,([3]!players[name]=A1094)*([3]!players[hero_name]=B1094),[3]!players[lane_name])</f>
        <v>Mid</v>
      </c>
      <c r="D1094">
        <f>COUNTIFS([3]!players[name],A1094,[3]!players[hero_name],B1094)</f>
        <v>4</v>
      </c>
      <c r="E1094">
        <f>COUNTIFS([3]!players[name],A1094,[3]!players[hero_name],B1094, [3]!players[win], 1)</f>
        <v>2</v>
      </c>
      <c r="F1094" s="1">
        <f t="shared" si="17"/>
        <v>0.5</v>
      </c>
      <c r="G1094" s="2">
        <f>AVERAGEIFS([3]!players[gold_per_min], [3]!players[name],A1094,[3]!players[hero_name],B1094)</f>
        <v>581.75</v>
      </c>
      <c r="H1094" s="2">
        <f>AVERAGEIFS([3]!players[xp_per_min], [3]!players[name],A1094,[3]!players[hero_name],B1094)</f>
        <v>758.25</v>
      </c>
    </row>
    <row r="1095" spans="1:8" x14ac:dyDescent="0.3">
      <c r="A1095" t="str">
        <v>lewis</v>
      </c>
      <c r="B1095" t="str">
        <v>Slardar</v>
      </c>
      <c r="C1095" t="str" cm="1">
        <f t="array" ref="C1095">_xlfn.XLOOKUP(1,([3]!players[name]=A1095)*([3]!players[hero_name]=B1095),[3]!players[lane_name])</f>
        <v>Mid</v>
      </c>
      <c r="D1095">
        <f>COUNTIFS([3]!players[name],A1095,[3]!players[hero_name],B1095)</f>
        <v>1</v>
      </c>
      <c r="E1095">
        <f>COUNTIFS([3]!players[name],A1095,[3]!players[hero_name],B1095, [3]!players[win], 1)</f>
        <v>0</v>
      </c>
      <c r="F1095" s="1">
        <f t="shared" si="17"/>
        <v>0</v>
      </c>
      <c r="G1095" s="2">
        <f>AVERAGEIFS([3]!players[gold_per_min], [3]!players[name],A1095,[3]!players[hero_name],B1095)</f>
        <v>444</v>
      </c>
      <c r="H1095" s="2">
        <f>AVERAGEIFS([3]!players[xp_per_min], [3]!players[name],A1095,[3]!players[hero_name],B1095)</f>
        <v>594</v>
      </c>
    </row>
    <row r="1096" spans="1:8" x14ac:dyDescent="0.3">
      <c r="A1096" t="str">
        <v>lewis</v>
      </c>
      <c r="B1096" t="str">
        <v>Primal Beast</v>
      </c>
      <c r="C1096" t="str" cm="1">
        <f t="array" ref="C1096">_xlfn.XLOOKUP(1,([3]!players[name]=A1096)*([3]!players[hero_name]=B1096),[3]!players[lane_name])</f>
        <v>Mid</v>
      </c>
      <c r="D1096">
        <f>COUNTIFS([3]!players[name],A1096,[3]!players[hero_name],B1096)</f>
        <v>1</v>
      </c>
      <c r="E1096">
        <f>COUNTIFS([3]!players[name],A1096,[3]!players[hero_name],B1096, [3]!players[win], 1)</f>
        <v>1</v>
      </c>
      <c r="F1096" s="1">
        <f t="shared" si="17"/>
        <v>1</v>
      </c>
      <c r="G1096" s="2">
        <f>AVERAGEIFS([3]!players[gold_per_min], [3]!players[name],A1096,[3]!players[hero_name],B1096)</f>
        <v>584</v>
      </c>
      <c r="H1096" s="2">
        <f>AVERAGEIFS([3]!players[xp_per_min], [3]!players[name],A1096,[3]!players[hero_name],B1096)</f>
        <v>774</v>
      </c>
    </row>
    <row r="1097" spans="1:8" x14ac:dyDescent="0.3">
      <c r="A1097" t="str">
        <v>lewis</v>
      </c>
      <c r="B1097" t="str">
        <v>Storm Spirit</v>
      </c>
      <c r="C1097" t="str" cm="1">
        <f t="array" ref="C1097">_xlfn.XLOOKUP(1,([3]!players[name]=A1097)*([3]!players[hero_name]=B1097),[3]!players[lane_name])</f>
        <v>Mid</v>
      </c>
      <c r="D1097">
        <f>COUNTIFS([3]!players[name],A1097,[3]!players[hero_name],B1097)</f>
        <v>1</v>
      </c>
      <c r="E1097">
        <f>COUNTIFS([3]!players[name],A1097,[3]!players[hero_name],B1097, [3]!players[win], 1)</f>
        <v>0</v>
      </c>
      <c r="F1097" s="1">
        <f t="shared" si="17"/>
        <v>0</v>
      </c>
      <c r="G1097" s="2">
        <f>AVERAGEIFS([3]!players[gold_per_min], [3]!players[name],A1097,[3]!players[hero_name],B1097)</f>
        <v>552</v>
      </c>
      <c r="H1097" s="2">
        <f>AVERAGEIFS([3]!players[xp_per_min], [3]!players[name],A1097,[3]!players[hero_name],B1097)</f>
        <v>702</v>
      </c>
    </row>
    <row r="1098" spans="1:8" x14ac:dyDescent="0.3">
      <c r="A1098" t="str">
        <v>lorenof</v>
      </c>
      <c r="B1098" t="str">
        <v>Void Spirit</v>
      </c>
      <c r="C1098" t="str" cm="1">
        <f t="array" ref="C1098">_xlfn.XLOOKUP(1,([3]!players[name]=A1098)*([3]!players[hero_name]=B1098),[3]!players[lane_name])</f>
        <v>Mid</v>
      </c>
      <c r="D1098">
        <f>COUNTIFS([3]!players[name],A1098,[3]!players[hero_name],B1098)</f>
        <v>2</v>
      </c>
      <c r="E1098">
        <f>COUNTIFS([3]!players[name],A1098,[3]!players[hero_name],B1098, [3]!players[win], 1)</f>
        <v>1</v>
      </c>
      <c r="F1098" s="1">
        <f t="shared" si="17"/>
        <v>0.5</v>
      </c>
      <c r="G1098" s="2">
        <f>AVERAGEIFS([3]!players[gold_per_min], [3]!players[name],A1098,[3]!players[hero_name],B1098)</f>
        <v>722.5</v>
      </c>
      <c r="H1098" s="2">
        <f>AVERAGEIFS([3]!players[xp_per_min], [3]!players[name],A1098,[3]!players[hero_name],B1098)</f>
        <v>798.5</v>
      </c>
    </row>
    <row r="1099" spans="1:8" x14ac:dyDescent="0.3">
      <c r="A1099" t="str">
        <v>lorenof</v>
      </c>
      <c r="B1099" t="str">
        <v>Pangolier</v>
      </c>
      <c r="C1099" t="str" cm="1">
        <f t="array" ref="C1099">_xlfn.XLOOKUP(1,([3]!players[name]=A1099)*([3]!players[hero_name]=B1099),[3]!players[lane_name])</f>
        <v>Mid</v>
      </c>
      <c r="D1099">
        <f>COUNTIFS([3]!players[name],A1099,[3]!players[hero_name],B1099)</f>
        <v>3</v>
      </c>
      <c r="E1099">
        <f>COUNTIFS([3]!players[name],A1099,[3]!players[hero_name],B1099, [3]!players[win], 1)</f>
        <v>1</v>
      </c>
      <c r="F1099" s="1">
        <f t="shared" si="17"/>
        <v>0.33333333333333331</v>
      </c>
      <c r="G1099" s="2">
        <f>AVERAGEIFS([3]!players[gold_per_min], [3]!players[name],A1099,[3]!players[hero_name],B1099)</f>
        <v>647.33333333333337</v>
      </c>
      <c r="H1099" s="2">
        <f>AVERAGEIFS([3]!players[xp_per_min], [3]!players[name],A1099,[3]!players[hero_name],B1099)</f>
        <v>891</v>
      </c>
    </row>
    <row r="1100" spans="1:8" x14ac:dyDescent="0.3">
      <c r="A1100" t="str">
        <v>lorenof</v>
      </c>
      <c r="B1100" t="str">
        <v>Storm Spirit</v>
      </c>
      <c r="C1100" t="str" cm="1">
        <f t="array" ref="C1100">_xlfn.XLOOKUP(1,([3]!players[name]=A1100)*([3]!players[hero_name]=B1100),[3]!players[lane_name])</f>
        <v>Mid</v>
      </c>
      <c r="D1100">
        <f>COUNTIFS([3]!players[name],A1100,[3]!players[hero_name],B1100)</f>
        <v>3</v>
      </c>
      <c r="E1100">
        <f>COUNTIFS([3]!players[name],A1100,[3]!players[hero_name],B1100, [3]!players[win], 1)</f>
        <v>1</v>
      </c>
      <c r="F1100" s="1">
        <f t="shared" si="17"/>
        <v>0.33333333333333331</v>
      </c>
      <c r="G1100" s="2">
        <f>AVERAGEIFS([3]!players[gold_per_min], [3]!players[name],A1100,[3]!players[hero_name],B1100)</f>
        <v>606</v>
      </c>
      <c r="H1100" s="2">
        <f>AVERAGEIFS([3]!players[xp_per_min], [3]!players[name],A1100,[3]!players[hero_name],B1100)</f>
        <v>847.33333333333337</v>
      </c>
    </row>
    <row r="1101" spans="1:8" x14ac:dyDescent="0.3">
      <c r="A1101" t="str">
        <v>lorenof</v>
      </c>
      <c r="B1101" t="str">
        <v>Puck</v>
      </c>
      <c r="C1101" t="str" cm="1">
        <f t="array" ref="C1101">_xlfn.XLOOKUP(1,([3]!players[name]=A1101)*([3]!players[hero_name]=B1101),[3]!players[lane_name])</f>
        <v>Mid</v>
      </c>
      <c r="D1101">
        <f>COUNTIFS([3]!players[name],A1101,[3]!players[hero_name],B1101)</f>
        <v>3</v>
      </c>
      <c r="E1101">
        <f>COUNTIFS([3]!players[name],A1101,[3]!players[hero_name],B1101, [3]!players[win], 1)</f>
        <v>2</v>
      </c>
      <c r="F1101" s="1">
        <f t="shared" si="17"/>
        <v>0.66666666666666663</v>
      </c>
      <c r="G1101" s="2">
        <f>AVERAGEIFS([3]!players[gold_per_min], [3]!players[name],A1101,[3]!players[hero_name],B1101)</f>
        <v>655.66666666666663</v>
      </c>
      <c r="H1101" s="2">
        <f>AVERAGEIFS([3]!players[xp_per_min], [3]!players[name],A1101,[3]!players[hero_name],B1101)</f>
        <v>852.33333333333337</v>
      </c>
    </row>
    <row r="1102" spans="1:8" x14ac:dyDescent="0.3">
      <c r="A1102" t="str">
        <v>lorenof</v>
      </c>
      <c r="B1102" t="str">
        <v>Ember Spirit</v>
      </c>
      <c r="C1102" t="str" cm="1">
        <f t="array" ref="C1102">_xlfn.XLOOKUP(1,([3]!players[name]=A1102)*([3]!players[hero_name]=B1102),[3]!players[lane_name])</f>
        <v>Mid</v>
      </c>
      <c r="D1102">
        <f>COUNTIFS([3]!players[name],A1102,[3]!players[hero_name],B1102)</f>
        <v>8</v>
      </c>
      <c r="E1102">
        <f>COUNTIFS([3]!players[name],A1102,[3]!players[hero_name],B1102, [3]!players[win], 1)</f>
        <v>4</v>
      </c>
      <c r="F1102" s="1">
        <f t="shared" si="17"/>
        <v>0.5</v>
      </c>
      <c r="G1102" s="2">
        <f>AVERAGEIFS([3]!players[gold_per_min], [3]!players[name],A1102,[3]!players[hero_name],B1102)</f>
        <v>624.125</v>
      </c>
      <c r="H1102" s="2">
        <f>AVERAGEIFS([3]!players[xp_per_min], [3]!players[name],A1102,[3]!players[hero_name],B1102)</f>
        <v>849</v>
      </c>
    </row>
    <row r="1103" spans="1:8" x14ac:dyDescent="0.3">
      <c r="A1103" t="str">
        <v>lorenof</v>
      </c>
      <c r="B1103" t="str">
        <v>Viper</v>
      </c>
      <c r="C1103" t="str" cm="1">
        <f t="array" ref="C1103">_xlfn.XLOOKUP(1,([3]!players[name]=A1103)*([3]!players[hero_name]=B1103),[3]!players[lane_name])</f>
        <v>Mid</v>
      </c>
      <c r="D1103">
        <f>COUNTIFS([3]!players[name],A1103,[3]!players[hero_name],B1103)</f>
        <v>4</v>
      </c>
      <c r="E1103">
        <f>COUNTIFS([3]!players[name],A1103,[3]!players[hero_name],B1103, [3]!players[win], 1)</f>
        <v>1</v>
      </c>
      <c r="F1103" s="1">
        <f t="shared" si="17"/>
        <v>0.25</v>
      </c>
      <c r="G1103" s="2">
        <f>AVERAGEIFS([3]!players[gold_per_min], [3]!players[name],A1103,[3]!players[hero_name],B1103)</f>
        <v>596</v>
      </c>
      <c r="H1103" s="2">
        <f>AVERAGEIFS([3]!players[xp_per_min], [3]!players[name],A1103,[3]!players[hero_name],B1103)</f>
        <v>815</v>
      </c>
    </row>
    <row r="1104" spans="1:8" x14ac:dyDescent="0.3">
      <c r="A1104" t="str">
        <v>lorenof</v>
      </c>
      <c r="B1104" t="str">
        <v>Beastmaster</v>
      </c>
      <c r="C1104" t="str" cm="1">
        <f t="array" ref="C1104">_xlfn.XLOOKUP(1,([3]!players[name]=A1104)*([3]!players[hero_name]=B1104),[3]!players[lane_name])</f>
        <v>Mid</v>
      </c>
      <c r="D1104">
        <f>COUNTIFS([3]!players[name],A1104,[3]!players[hero_name],B1104)</f>
        <v>2</v>
      </c>
      <c r="E1104">
        <f>COUNTIFS([3]!players[name],A1104,[3]!players[hero_name],B1104, [3]!players[win], 1)</f>
        <v>1</v>
      </c>
      <c r="F1104" s="1">
        <f t="shared" si="17"/>
        <v>0.5</v>
      </c>
      <c r="G1104" s="2">
        <f>AVERAGEIFS([3]!players[gold_per_min], [3]!players[name],A1104,[3]!players[hero_name],B1104)</f>
        <v>699.5</v>
      </c>
      <c r="H1104" s="2">
        <f>AVERAGEIFS([3]!players[xp_per_min], [3]!players[name],A1104,[3]!players[hero_name],B1104)</f>
        <v>828.5</v>
      </c>
    </row>
    <row r="1105" spans="1:8" x14ac:dyDescent="0.3">
      <c r="A1105" t="str">
        <v>lorenof</v>
      </c>
      <c r="B1105" t="str">
        <v>Huskar</v>
      </c>
      <c r="C1105" t="str" cm="1">
        <f t="array" ref="C1105">_xlfn.XLOOKUP(1,([3]!players[name]=A1105)*([3]!players[hero_name]=B1105),[3]!players[lane_name])</f>
        <v>Mid</v>
      </c>
      <c r="D1105">
        <f>COUNTIFS([3]!players[name],A1105,[3]!players[hero_name],B1105)</f>
        <v>1</v>
      </c>
      <c r="E1105">
        <f>COUNTIFS([3]!players[name],A1105,[3]!players[hero_name],B1105, [3]!players[win], 1)</f>
        <v>0</v>
      </c>
      <c r="F1105" s="1">
        <f t="shared" si="17"/>
        <v>0</v>
      </c>
      <c r="G1105" s="2">
        <f>AVERAGEIFS([3]!players[gold_per_min], [3]!players[name],A1105,[3]!players[hero_name],B1105)</f>
        <v>486</v>
      </c>
      <c r="H1105" s="2">
        <f>AVERAGEIFS([3]!players[xp_per_min], [3]!players[name],A1105,[3]!players[hero_name],B1105)</f>
        <v>765</v>
      </c>
    </row>
    <row r="1106" spans="1:8" x14ac:dyDescent="0.3">
      <c r="A1106" t="str">
        <v>lowskill</v>
      </c>
      <c r="B1106" t="str">
        <v>Monkey King</v>
      </c>
      <c r="C1106" t="str" cm="1">
        <f t="array" ref="C1106">_xlfn.XLOOKUP(1,([3]!players[name]=A1106)*([3]!players[hero_name]=B1106),[3]!players[lane_name])</f>
        <v>Carry</v>
      </c>
      <c r="D1106">
        <f>COUNTIFS([3]!players[name],A1106,[3]!players[hero_name],B1106)</f>
        <v>1</v>
      </c>
      <c r="E1106">
        <f>COUNTIFS([3]!players[name],A1106,[3]!players[hero_name],B1106, [3]!players[win], 1)</f>
        <v>0</v>
      </c>
      <c r="F1106" s="1">
        <f t="shared" si="17"/>
        <v>0</v>
      </c>
      <c r="G1106" s="2">
        <f>AVERAGEIFS([3]!players[gold_per_min], [3]!players[name],A1106,[3]!players[hero_name],B1106)</f>
        <v>573</v>
      </c>
      <c r="H1106" s="2">
        <f>AVERAGEIFS([3]!players[xp_per_min], [3]!players[name],A1106,[3]!players[hero_name],B1106)</f>
        <v>617</v>
      </c>
    </row>
    <row r="1107" spans="1:8" x14ac:dyDescent="0.3">
      <c r="A1107" t="str">
        <v>lowskill</v>
      </c>
      <c r="B1107" t="str">
        <v>Alchemist</v>
      </c>
      <c r="C1107" t="str" cm="1">
        <f t="array" ref="C1107">_xlfn.XLOOKUP(1,([3]!players[name]=A1107)*([3]!players[hero_name]=B1107),[3]!players[lane_name])</f>
        <v>Carry</v>
      </c>
      <c r="D1107">
        <f>COUNTIFS([3]!players[name],A1107,[3]!players[hero_name],B1107)</f>
        <v>1</v>
      </c>
      <c r="E1107">
        <f>COUNTIFS([3]!players[name],A1107,[3]!players[hero_name],B1107, [3]!players[win], 1)</f>
        <v>1</v>
      </c>
      <c r="F1107" s="1">
        <f t="shared" si="17"/>
        <v>1</v>
      </c>
      <c r="G1107" s="2">
        <f>AVERAGEIFS([3]!players[gold_per_min], [3]!players[name],A1107,[3]!players[hero_name],B1107)</f>
        <v>858</v>
      </c>
      <c r="H1107" s="2">
        <f>AVERAGEIFS([3]!players[xp_per_min], [3]!players[name],A1107,[3]!players[hero_name],B1107)</f>
        <v>865</v>
      </c>
    </row>
    <row r="1108" spans="1:8" x14ac:dyDescent="0.3">
      <c r="A1108" t="str">
        <v>lowskill</v>
      </c>
      <c r="B1108" t="str">
        <v>Gyrocopter</v>
      </c>
      <c r="C1108" t="str" cm="1">
        <f t="array" ref="C1108">_xlfn.XLOOKUP(1,([3]!players[name]=A1108)*([3]!players[hero_name]=B1108),[3]!players[lane_name])</f>
        <v>Carry</v>
      </c>
      <c r="D1108">
        <f>COUNTIFS([3]!players[name],A1108,[3]!players[hero_name],B1108)</f>
        <v>1</v>
      </c>
      <c r="E1108">
        <f>COUNTIFS([3]!players[name],A1108,[3]!players[hero_name],B1108, [3]!players[win], 1)</f>
        <v>1</v>
      </c>
      <c r="F1108" s="1">
        <f t="shared" si="17"/>
        <v>1</v>
      </c>
      <c r="G1108" s="2">
        <f>AVERAGEIFS([3]!players[gold_per_min], [3]!players[name],A1108,[3]!players[hero_name],B1108)</f>
        <v>847</v>
      </c>
      <c r="H1108" s="2">
        <f>AVERAGEIFS([3]!players[xp_per_min], [3]!players[name],A1108,[3]!players[hero_name],B1108)</f>
        <v>852</v>
      </c>
    </row>
    <row r="1109" spans="1:8" x14ac:dyDescent="0.3">
      <c r="A1109" t="str">
        <v>lowskill</v>
      </c>
      <c r="B1109" t="str">
        <v>Luna</v>
      </c>
      <c r="C1109" t="str" cm="1">
        <f t="array" ref="C1109">_xlfn.XLOOKUP(1,([3]!players[name]=A1109)*([3]!players[hero_name]=B1109),[3]!players[lane_name])</f>
        <v>Carry</v>
      </c>
      <c r="D1109">
        <f>COUNTIFS([3]!players[name],A1109,[3]!players[hero_name],B1109)</f>
        <v>2</v>
      </c>
      <c r="E1109">
        <f>COUNTIFS([3]!players[name],A1109,[3]!players[hero_name],B1109, [3]!players[win], 1)</f>
        <v>1</v>
      </c>
      <c r="F1109" s="1">
        <f t="shared" si="17"/>
        <v>0.5</v>
      </c>
      <c r="G1109" s="2">
        <f>AVERAGEIFS([3]!players[gold_per_min], [3]!players[name],A1109,[3]!players[hero_name],B1109)</f>
        <v>781</v>
      </c>
      <c r="H1109" s="2">
        <f>AVERAGEIFS([3]!players[xp_per_min], [3]!players[name],A1109,[3]!players[hero_name],B1109)</f>
        <v>821.5</v>
      </c>
    </row>
    <row r="1110" spans="1:8" x14ac:dyDescent="0.3">
      <c r="A1110" t="str">
        <v>lowskill</v>
      </c>
      <c r="B1110" t="str">
        <v>Meepo</v>
      </c>
      <c r="C1110" t="str" cm="1">
        <f t="array" ref="C1110">_xlfn.XLOOKUP(1,([3]!players[name]=A1110)*([3]!players[hero_name]=B1110),[3]!players[lane_name])</f>
        <v>Carry</v>
      </c>
      <c r="D1110">
        <f>COUNTIFS([3]!players[name],A1110,[3]!players[hero_name],B1110)</f>
        <v>1</v>
      </c>
      <c r="E1110">
        <f>COUNTIFS([3]!players[name],A1110,[3]!players[hero_name],B1110, [3]!players[win], 1)</f>
        <v>0</v>
      </c>
      <c r="F1110" s="1">
        <f t="shared" si="17"/>
        <v>0</v>
      </c>
      <c r="G1110" s="2">
        <f>AVERAGEIFS([3]!players[gold_per_min], [3]!players[name],A1110,[3]!players[hero_name],B1110)</f>
        <v>654</v>
      </c>
      <c r="H1110" s="2">
        <f>AVERAGEIFS([3]!players[xp_per_min], [3]!players[name],A1110,[3]!players[hero_name],B1110)</f>
        <v>758</v>
      </c>
    </row>
    <row r="1111" spans="1:8" x14ac:dyDescent="0.3">
      <c r="A1111" t="str">
        <v>lowskill</v>
      </c>
      <c r="B1111" t="str">
        <v>Weaver</v>
      </c>
      <c r="C1111" t="str" cm="1">
        <f t="array" ref="C1111">_xlfn.XLOOKUP(1,([3]!players[name]=A1111)*([3]!players[hero_name]=B1111),[3]!players[lane_name])</f>
        <v>Carry</v>
      </c>
      <c r="D1111">
        <f>COUNTIFS([3]!players[name],A1111,[3]!players[hero_name],B1111)</f>
        <v>1</v>
      </c>
      <c r="E1111">
        <f>COUNTIFS([3]!players[name],A1111,[3]!players[hero_name],B1111, [3]!players[win], 1)</f>
        <v>0</v>
      </c>
      <c r="F1111" s="1">
        <f t="shared" si="17"/>
        <v>0</v>
      </c>
      <c r="G1111" s="2">
        <f>AVERAGEIFS([3]!players[gold_per_min], [3]!players[name],A1111,[3]!players[hero_name],B1111)</f>
        <v>488</v>
      </c>
      <c r="H1111" s="2">
        <f>AVERAGEIFS([3]!players[xp_per_min], [3]!players[name],A1111,[3]!players[hero_name],B1111)</f>
        <v>573</v>
      </c>
    </row>
    <row r="1112" spans="1:8" x14ac:dyDescent="0.3">
      <c r="A1112" t="str">
        <v>lowskill</v>
      </c>
      <c r="B1112" t="str">
        <v>Ursa</v>
      </c>
      <c r="C1112" t="str" cm="1">
        <f t="array" ref="C1112">_xlfn.XLOOKUP(1,([3]!players[name]=A1112)*([3]!players[hero_name]=B1112),[3]!players[lane_name])</f>
        <v>Carry</v>
      </c>
      <c r="D1112">
        <f>COUNTIFS([3]!players[name],A1112,[3]!players[hero_name],B1112)</f>
        <v>1</v>
      </c>
      <c r="E1112">
        <f>COUNTIFS([3]!players[name],A1112,[3]!players[hero_name],B1112, [3]!players[win], 1)</f>
        <v>1</v>
      </c>
      <c r="F1112" s="1">
        <f t="shared" si="17"/>
        <v>1</v>
      </c>
      <c r="G1112" s="2">
        <f>AVERAGEIFS([3]!players[gold_per_min], [3]!players[name],A1112,[3]!players[hero_name],B1112)</f>
        <v>718</v>
      </c>
      <c r="H1112" s="2">
        <f>AVERAGEIFS([3]!players[xp_per_min], [3]!players[name],A1112,[3]!players[hero_name],B1112)</f>
        <v>858</v>
      </c>
    </row>
    <row r="1113" spans="1:8" x14ac:dyDescent="0.3">
      <c r="A1113" t="str">
        <v>lowskill</v>
      </c>
      <c r="B1113" t="str">
        <v>Faceless Void</v>
      </c>
      <c r="C1113" t="str" cm="1">
        <f t="array" ref="C1113">_xlfn.XLOOKUP(1,([3]!players[name]=A1113)*([3]!players[hero_name]=B1113),[3]!players[lane_name])</f>
        <v>Carry</v>
      </c>
      <c r="D1113">
        <f>COUNTIFS([3]!players[name],A1113,[3]!players[hero_name],B1113)</f>
        <v>1</v>
      </c>
      <c r="E1113">
        <f>COUNTIFS([3]!players[name],A1113,[3]!players[hero_name],B1113, [3]!players[win], 1)</f>
        <v>0</v>
      </c>
      <c r="F1113" s="1">
        <f t="shared" si="17"/>
        <v>0</v>
      </c>
      <c r="G1113" s="2">
        <f>AVERAGEIFS([3]!players[gold_per_min], [3]!players[name],A1113,[3]!players[hero_name],B1113)</f>
        <v>785</v>
      </c>
      <c r="H1113" s="2">
        <f>AVERAGEIFS([3]!players[xp_per_min], [3]!players[name],A1113,[3]!players[hero_name],B1113)</f>
        <v>894</v>
      </c>
    </row>
    <row r="1114" spans="1:8" x14ac:dyDescent="0.3">
      <c r="A1114" t="str">
        <v>lowskill</v>
      </c>
      <c r="B1114" t="str">
        <v>Muerta</v>
      </c>
      <c r="C1114" t="str" cm="1">
        <f t="array" ref="C1114">_xlfn.XLOOKUP(1,([3]!players[name]=A1114)*([3]!players[hero_name]=B1114),[3]!players[lane_name])</f>
        <v>Carry</v>
      </c>
      <c r="D1114">
        <f>COUNTIFS([3]!players[name],A1114,[3]!players[hero_name],B1114)</f>
        <v>2</v>
      </c>
      <c r="E1114">
        <f>COUNTIFS([3]!players[name],A1114,[3]!players[hero_name],B1114, [3]!players[win], 1)</f>
        <v>0</v>
      </c>
      <c r="F1114" s="1">
        <f t="shared" si="17"/>
        <v>0</v>
      </c>
      <c r="G1114" s="2">
        <f>AVERAGEIFS([3]!players[gold_per_min], [3]!players[name],A1114,[3]!players[hero_name],B1114)</f>
        <v>666</v>
      </c>
      <c r="H1114" s="2">
        <f>AVERAGEIFS([3]!players[xp_per_min], [3]!players[name],A1114,[3]!players[hero_name],B1114)</f>
        <v>836.5</v>
      </c>
    </row>
    <row r="1115" spans="1:8" x14ac:dyDescent="0.3">
      <c r="A1115" t="str">
        <v>Lqc.</v>
      </c>
      <c r="B1115" t="str">
        <v>Ringmaster</v>
      </c>
      <c r="C1115" t="str" cm="1">
        <f t="array" ref="C1115">_xlfn.XLOOKUP(1,([3]!players[name]=A1115)*([3]!players[hero_name]=B1115),[3]!players[lane_name])</f>
        <v>Hard Support</v>
      </c>
      <c r="D1115">
        <f>COUNTIFS([3]!players[name],A1115,[3]!players[hero_name],B1115)</f>
        <v>2</v>
      </c>
      <c r="E1115">
        <f>COUNTIFS([3]!players[name],A1115,[3]!players[hero_name],B1115, [3]!players[win], 1)</f>
        <v>2</v>
      </c>
      <c r="F1115" s="1">
        <f t="shared" si="17"/>
        <v>1</v>
      </c>
      <c r="G1115" s="2">
        <f>AVERAGEIFS([3]!players[gold_per_min], [3]!players[name],A1115,[3]!players[hero_name],B1115)</f>
        <v>333</v>
      </c>
      <c r="H1115" s="2">
        <f>AVERAGEIFS([3]!players[xp_per_min], [3]!players[name],A1115,[3]!players[hero_name],B1115)</f>
        <v>475.5</v>
      </c>
    </row>
    <row r="1116" spans="1:8" x14ac:dyDescent="0.3">
      <c r="A1116" t="str">
        <v>Lqc.</v>
      </c>
      <c r="B1116" t="str">
        <v>Disruptor</v>
      </c>
      <c r="C1116" t="str" cm="1">
        <f t="array" ref="C1116">_xlfn.XLOOKUP(1,([3]!players[name]=A1116)*([3]!players[hero_name]=B1116),[3]!players[lane_name])</f>
        <v>Roam</v>
      </c>
      <c r="D1116">
        <f>COUNTIFS([3]!players[name],A1116,[3]!players[hero_name],B1116)</f>
        <v>5</v>
      </c>
      <c r="E1116">
        <f>COUNTIFS([3]!players[name],A1116,[3]!players[hero_name],B1116, [3]!players[win], 1)</f>
        <v>1</v>
      </c>
      <c r="F1116" s="1">
        <f t="shared" si="17"/>
        <v>0.2</v>
      </c>
      <c r="G1116" s="2">
        <f>AVERAGEIFS([3]!players[gold_per_min], [3]!players[name],A1116,[3]!players[hero_name],B1116)</f>
        <v>275.2</v>
      </c>
      <c r="H1116" s="2">
        <f>AVERAGEIFS([3]!players[xp_per_min], [3]!players[name],A1116,[3]!players[hero_name],B1116)</f>
        <v>394.8</v>
      </c>
    </row>
    <row r="1117" spans="1:8" x14ac:dyDescent="0.3">
      <c r="A1117" t="str">
        <v>Lqc.</v>
      </c>
      <c r="B1117" t="str">
        <v>Undying</v>
      </c>
      <c r="C1117" t="str" cm="1">
        <f t="array" ref="C1117">_xlfn.XLOOKUP(1,([3]!players[name]=A1117)*([3]!players[hero_name]=B1117),[3]!players[lane_name])</f>
        <v>Soft Support</v>
      </c>
      <c r="D1117">
        <f>COUNTIFS([3]!players[name],A1117,[3]!players[hero_name],B1117)</f>
        <v>2</v>
      </c>
      <c r="E1117">
        <f>COUNTIFS([3]!players[name],A1117,[3]!players[hero_name],B1117, [3]!players[win], 1)</f>
        <v>1</v>
      </c>
      <c r="F1117" s="1">
        <f t="shared" si="17"/>
        <v>0.5</v>
      </c>
      <c r="G1117" s="2">
        <f>AVERAGEIFS([3]!players[gold_per_min], [3]!players[name],A1117,[3]!players[hero_name],B1117)</f>
        <v>401.5</v>
      </c>
      <c r="H1117" s="2">
        <f>AVERAGEIFS([3]!players[xp_per_min], [3]!players[name],A1117,[3]!players[hero_name],B1117)</f>
        <v>493</v>
      </c>
    </row>
    <row r="1118" spans="1:8" x14ac:dyDescent="0.3">
      <c r="A1118" t="str">
        <v>Lqc.</v>
      </c>
      <c r="B1118" t="str">
        <v>Shadow Demon</v>
      </c>
      <c r="C1118" t="str" cm="1">
        <f t="array" ref="C1118">_xlfn.XLOOKUP(1,([3]!players[name]=A1118)*([3]!players[hero_name]=B1118),[3]!players[lane_name])</f>
        <v>Soft Support</v>
      </c>
      <c r="D1118">
        <f>COUNTIFS([3]!players[name],A1118,[3]!players[hero_name],B1118)</f>
        <v>2</v>
      </c>
      <c r="E1118">
        <f>COUNTIFS([3]!players[name],A1118,[3]!players[hero_name],B1118, [3]!players[win], 1)</f>
        <v>0</v>
      </c>
      <c r="F1118" s="1">
        <f t="shared" si="17"/>
        <v>0</v>
      </c>
      <c r="G1118" s="2">
        <f>AVERAGEIFS([3]!players[gold_per_min], [3]!players[name],A1118,[3]!players[hero_name],B1118)</f>
        <v>273.5</v>
      </c>
      <c r="H1118" s="2">
        <f>AVERAGEIFS([3]!players[xp_per_min], [3]!players[name],A1118,[3]!players[hero_name],B1118)</f>
        <v>325</v>
      </c>
    </row>
    <row r="1119" spans="1:8" x14ac:dyDescent="0.3">
      <c r="A1119" t="str">
        <v>Lqc.</v>
      </c>
      <c r="B1119" t="str">
        <v>Ancient Apparition</v>
      </c>
      <c r="C1119" t="str" cm="1">
        <f t="array" ref="C1119">_xlfn.XLOOKUP(1,([3]!players[name]=A1119)*([3]!players[hero_name]=B1119),[3]!players[lane_name])</f>
        <v>Hard Support</v>
      </c>
      <c r="D1119">
        <f>COUNTIFS([3]!players[name],A1119,[3]!players[hero_name],B1119)</f>
        <v>1</v>
      </c>
      <c r="E1119">
        <f>COUNTIFS([3]!players[name],A1119,[3]!players[hero_name],B1119, [3]!players[win], 1)</f>
        <v>0</v>
      </c>
      <c r="F1119" s="1">
        <f t="shared" si="17"/>
        <v>0</v>
      </c>
      <c r="G1119" s="2">
        <f>AVERAGEIFS([3]!players[gold_per_min], [3]!players[name],A1119,[3]!players[hero_name],B1119)</f>
        <v>290</v>
      </c>
      <c r="H1119" s="2">
        <f>AVERAGEIFS([3]!players[xp_per_min], [3]!players[name],A1119,[3]!players[hero_name],B1119)</f>
        <v>387</v>
      </c>
    </row>
    <row r="1120" spans="1:8" x14ac:dyDescent="0.3">
      <c r="A1120" t="str">
        <v>Lqc.</v>
      </c>
      <c r="B1120" t="str">
        <v>Pugna</v>
      </c>
      <c r="C1120" t="str" cm="1">
        <f t="array" ref="C1120">_xlfn.XLOOKUP(1,([3]!players[name]=A1120)*([3]!players[hero_name]=B1120),[3]!players[lane_name])</f>
        <v>Soft Support</v>
      </c>
      <c r="D1120">
        <f>COUNTIFS([3]!players[name],A1120,[3]!players[hero_name],B1120)</f>
        <v>1</v>
      </c>
      <c r="E1120">
        <f>COUNTIFS([3]!players[name],A1120,[3]!players[hero_name],B1120, [3]!players[win], 1)</f>
        <v>0</v>
      </c>
      <c r="F1120" s="1">
        <f t="shared" si="17"/>
        <v>0</v>
      </c>
      <c r="G1120" s="2">
        <f>AVERAGEIFS([3]!players[gold_per_min], [3]!players[name],A1120,[3]!players[hero_name],B1120)</f>
        <v>287</v>
      </c>
      <c r="H1120" s="2">
        <f>AVERAGEIFS([3]!players[xp_per_min], [3]!players[name],A1120,[3]!players[hero_name],B1120)</f>
        <v>304</v>
      </c>
    </row>
    <row r="1121" spans="1:8" x14ac:dyDescent="0.3">
      <c r="A1121" t="str">
        <v>Lqc.</v>
      </c>
      <c r="B1121" t="str">
        <v>Dazzle</v>
      </c>
      <c r="C1121" t="str" cm="1">
        <f t="array" ref="C1121">_xlfn.XLOOKUP(1,([3]!players[name]=A1121)*([3]!players[hero_name]=B1121),[3]!players[lane_name])</f>
        <v>Hard Support</v>
      </c>
      <c r="D1121">
        <f>COUNTIFS([3]!players[name],A1121,[3]!players[hero_name],B1121)</f>
        <v>6</v>
      </c>
      <c r="E1121">
        <f>COUNTIFS([3]!players[name],A1121,[3]!players[hero_name],B1121, [3]!players[win], 1)</f>
        <v>3</v>
      </c>
      <c r="F1121" s="1">
        <f t="shared" si="17"/>
        <v>0.5</v>
      </c>
      <c r="G1121" s="2">
        <f>AVERAGEIFS([3]!players[gold_per_min], [3]!players[name],A1121,[3]!players[hero_name],B1121)</f>
        <v>328.33333333333331</v>
      </c>
      <c r="H1121" s="2">
        <f>AVERAGEIFS([3]!players[xp_per_min], [3]!players[name],A1121,[3]!players[hero_name],B1121)</f>
        <v>481.83333333333331</v>
      </c>
    </row>
    <row r="1122" spans="1:8" x14ac:dyDescent="0.3">
      <c r="A1122" t="str">
        <v>Lqc.</v>
      </c>
      <c r="B1122" t="str">
        <v>Jakiro</v>
      </c>
      <c r="C1122" t="str" cm="1">
        <f t="array" ref="C1122">_xlfn.XLOOKUP(1,([3]!players[name]=A1122)*([3]!players[hero_name]=B1122),[3]!players[lane_name])</f>
        <v>Soft Support</v>
      </c>
      <c r="D1122">
        <f>COUNTIFS([3]!players[name],A1122,[3]!players[hero_name],B1122)</f>
        <v>2</v>
      </c>
      <c r="E1122">
        <f>COUNTIFS([3]!players[name],A1122,[3]!players[hero_name],B1122, [3]!players[win], 1)</f>
        <v>1</v>
      </c>
      <c r="F1122" s="1">
        <f t="shared" si="17"/>
        <v>0.5</v>
      </c>
      <c r="G1122" s="2">
        <f>AVERAGEIFS([3]!players[gold_per_min], [3]!players[name],A1122,[3]!players[hero_name],B1122)</f>
        <v>339</v>
      </c>
      <c r="H1122" s="2">
        <f>AVERAGEIFS([3]!players[xp_per_min], [3]!players[name],A1122,[3]!players[hero_name],B1122)</f>
        <v>426</v>
      </c>
    </row>
    <row r="1123" spans="1:8" x14ac:dyDescent="0.3">
      <c r="A1123" t="str">
        <v>Lqc.</v>
      </c>
      <c r="B1123" t="str">
        <v>Phoenix</v>
      </c>
      <c r="C1123" t="str" cm="1">
        <f t="array" ref="C1123">_xlfn.XLOOKUP(1,([3]!players[name]=A1123)*([3]!players[hero_name]=B1123),[3]!players[lane_name])</f>
        <v>Soft Support</v>
      </c>
      <c r="D1123">
        <f>COUNTIFS([3]!players[name],A1123,[3]!players[hero_name],B1123)</f>
        <v>4</v>
      </c>
      <c r="E1123">
        <f>COUNTIFS([3]!players[name],A1123,[3]!players[hero_name],B1123, [3]!players[win], 1)</f>
        <v>2</v>
      </c>
      <c r="F1123" s="1">
        <f t="shared" si="17"/>
        <v>0.5</v>
      </c>
      <c r="G1123" s="2">
        <f>AVERAGEIFS([3]!players[gold_per_min], [3]!players[name],A1123,[3]!players[hero_name],B1123)</f>
        <v>376</v>
      </c>
      <c r="H1123" s="2">
        <f>AVERAGEIFS([3]!players[xp_per_min], [3]!players[name],A1123,[3]!players[hero_name],B1123)</f>
        <v>504.5</v>
      </c>
    </row>
    <row r="1124" spans="1:8" x14ac:dyDescent="0.3">
      <c r="A1124" t="str">
        <v>Lqc.</v>
      </c>
      <c r="B1124" t="str">
        <v>Techies</v>
      </c>
      <c r="C1124" t="str" cm="1">
        <f t="array" ref="C1124">_xlfn.XLOOKUP(1,([3]!players[name]=A1124)*([3]!players[hero_name]=B1124),[3]!players[lane_name])</f>
        <v>Hard Support</v>
      </c>
      <c r="D1124">
        <f>COUNTIFS([3]!players[name],A1124,[3]!players[hero_name],B1124)</f>
        <v>1</v>
      </c>
      <c r="E1124">
        <f>COUNTIFS([3]!players[name],A1124,[3]!players[hero_name],B1124, [3]!players[win], 1)</f>
        <v>0</v>
      </c>
      <c r="F1124" s="1">
        <f t="shared" si="17"/>
        <v>0</v>
      </c>
      <c r="G1124" s="2">
        <f>AVERAGEIFS([3]!players[gold_per_min], [3]!players[name],A1124,[3]!players[hero_name],B1124)</f>
        <v>279</v>
      </c>
      <c r="H1124" s="2">
        <f>AVERAGEIFS([3]!players[xp_per_min], [3]!players[name],A1124,[3]!players[hero_name],B1124)</f>
        <v>316</v>
      </c>
    </row>
    <row r="1125" spans="1:8" x14ac:dyDescent="0.3">
      <c r="A1125" t="str">
        <v>Lqc.</v>
      </c>
      <c r="B1125" t="str">
        <v>Treant Protector</v>
      </c>
      <c r="C1125" t="str" cm="1">
        <f t="array" ref="C1125">_xlfn.XLOOKUP(1,([3]!players[name]=A1125)*([3]!players[hero_name]=B1125),[3]!players[lane_name])</f>
        <v>Hard Support</v>
      </c>
      <c r="D1125">
        <f>COUNTIFS([3]!players[name],A1125,[3]!players[hero_name],B1125)</f>
        <v>3</v>
      </c>
      <c r="E1125">
        <f>COUNTIFS([3]!players[name],A1125,[3]!players[hero_name],B1125, [3]!players[win], 1)</f>
        <v>2</v>
      </c>
      <c r="F1125" s="1">
        <f t="shared" si="17"/>
        <v>0.66666666666666663</v>
      </c>
      <c r="G1125" s="2">
        <f>AVERAGEIFS([3]!players[gold_per_min], [3]!players[name],A1125,[3]!players[hero_name],B1125)</f>
        <v>295.66666666666669</v>
      </c>
      <c r="H1125" s="2">
        <f>AVERAGEIFS([3]!players[xp_per_min], [3]!players[name],A1125,[3]!players[hero_name],B1125)</f>
        <v>418</v>
      </c>
    </row>
    <row r="1126" spans="1:8" x14ac:dyDescent="0.3">
      <c r="A1126" t="str">
        <v>Lqc.</v>
      </c>
      <c r="B1126" t="str">
        <v>Pudge</v>
      </c>
      <c r="C1126" t="str" cm="1">
        <f t="array" ref="C1126">_xlfn.XLOOKUP(1,([3]!players[name]=A1126)*([3]!players[hero_name]=B1126),[3]!players[lane_name])</f>
        <v>Hard Support</v>
      </c>
      <c r="D1126">
        <f>COUNTIFS([3]!players[name],A1126,[3]!players[hero_name],B1126)</f>
        <v>2</v>
      </c>
      <c r="E1126">
        <f>COUNTIFS([3]!players[name],A1126,[3]!players[hero_name],B1126, [3]!players[win], 1)</f>
        <v>1</v>
      </c>
      <c r="F1126" s="1">
        <f t="shared" si="17"/>
        <v>0.5</v>
      </c>
      <c r="G1126" s="2">
        <f>AVERAGEIFS([3]!players[gold_per_min], [3]!players[name],A1126,[3]!players[hero_name],B1126)</f>
        <v>339.5</v>
      </c>
      <c r="H1126" s="2">
        <f>AVERAGEIFS([3]!players[xp_per_min], [3]!players[name],A1126,[3]!players[hero_name],B1126)</f>
        <v>551.5</v>
      </c>
    </row>
    <row r="1127" spans="1:8" x14ac:dyDescent="0.3">
      <c r="A1127" t="str">
        <v>Lqc.</v>
      </c>
      <c r="B1127" t="str">
        <v>Winter Wyvern</v>
      </c>
      <c r="C1127" t="str" cm="1">
        <f t="array" ref="C1127">_xlfn.XLOOKUP(1,([3]!players[name]=A1127)*([3]!players[hero_name]=B1127),[3]!players[lane_name])</f>
        <v>Soft Support</v>
      </c>
      <c r="D1127">
        <f>COUNTIFS([3]!players[name],A1127,[3]!players[hero_name],B1127)</f>
        <v>2</v>
      </c>
      <c r="E1127">
        <f>COUNTIFS([3]!players[name],A1127,[3]!players[hero_name],B1127, [3]!players[win], 1)</f>
        <v>1</v>
      </c>
      <c r="F1127" s="1">
        <f t="shared" si="17"/>
        <v>0.5</v>
      </c>
      <c r="G1127" s="2">
        <f>AVERAGEIFS([3]!players[gold_per_min], [3]!players[name],A1127,[3]!players[hero_name],B1127)</f>
        <v>359.5</v>
      </c>
      <c r="H1127" s="2">
        <f>AVERAGEIFS([3]!players[xp_per_min], [3]!players[name],A1127,[3]!players[hero_name],B1127)</f>
        <v>543</v>
      </c>
    </row>
    <row r="1128" spans="1:8" x14ac:dyDescent="0.3">
      <c r="A1128" t="str">
        <v>Lqc.</v>
      </c>
      <c r="B1128" t="str">
        <v>Tusk</v>
      </c>
      <c r="C1128" t="str" cm="1">
        <f t="array" ref="C1128">_xlfn.XLOOKUP(1,([3]!players[name]=A1128)*([3]!players[hero_name]=B1128),[3]!players[lane_name])</f>
        <v>Roam</v>
      </c>
      <c r="D1128">
        <f>COUNTIFS([3]!players[name],A1128,[3]!players[hero_name],B1128)</f>
        <v>2</v>
      </c>
      <c r="E1128">
        <f>COUNTIFS([3]!players[name],A1128,[3]!players[hero_name],B1128, [3]!players[win], 1)</f>
        <v>2</v>
      </c>
      <c r="F1128" s="1">
        <f t="shared" si="17"/>
        <v>1</v>
      </c>
      <c r="G1128" s="2">
        <f>AVERAGEIFS([3]!players[gold_per_min], [3]!players[name],A1128,[3]!players[hero_name],B1128)</f>
        <v>386.5</v>
      </c>
      <c r="H1128" s="2">
        <f>AVERAGEIFS([3]!players[xp_per_min], [3]!players[name],A1128,[3]!players[hero_name],B1128)</f>
        <v>684.5</v>
      </c>
    </row>
    <row r="1129" spans="1:8" x14ac:dyDescent="0.3">
      <c r="A1129" t="str">
        <v>Lqc.</v>
      </c>
      <c r="B1129" t="str">
        <v>Silencer</v>
      </c>
      <c r="C1129" t="str" cm="1">
        <f t="array" ref="C1129">_xlfn.XLOOKUP(1,([3]!players[name]=A1129)*([3]!players[hero_name]=B1129),[3]!players[lane_name])</f>
        <v>Hard Support</v>
      </c>
      <c r="D1129">
        <f>COUNTIFS([3]!players[name],A1129,[3]!players[hero_name],B1129)</f>
        <v>2</v>
      </c>
      <c r="E1129">
        <f>COUNTIFS([3]!players[name],A1129,[3]!players[hero_name],B1129, [3]!players[win], 1)</f>
        <v>2</v>
      </c>
      <c r="F1129" s="1">
        <f t="shared" si="17"/>
        <v>1</v>
      </c>
      <c r="G1129" s="2">
        <f>AVERAGEIFS([3]!players[gold_per_min], [3]!players[name],A1129,[3]!players[hero_name],B1129)</f>
        <v>349</v>
      </c>
      <c r="H1129" s="2">
        <f>AVERAGEIFS([3]!players[xp_per_min], [3]!players[name],A1129,[3]!players[hero_name],B1129)</f>
        <v>444</v>
      </c>
    </row>
    <row r="1130" spans="1:8" x14ac:dyDescent="0.3">
      <c r="A1130" t="str">
        <v>Lqc.</v>
      </c>
      <c r="B1130" t="str">
        <v>Lich</v>
      </c>
      <c r="C1130" t="str" cm="1">
        <f t="array" ref="C1130">_xlfn.XLOOKUP(1,([3]!players[name]=A1130)*([3]!players[hero_name]=B1130),[3]!players[lane_name])</f>
        <v>Soft Support</v>
      </c>
      <c r="D1130">
        <f>COUNTIFS([3]!players[name],A1130,[3]!players[hero_name],B1130)</f>
        <v>2</v>
      </c>
      <c r="E1130">
        <f>COUNTIFS([3]!players[name],A1130,[3]!players[hero_name],B1130, [3]!players[win], 1)</f>
        <v>1</v>
      </c>
      <c r="F1130" s="1">
        <f t="shared" si="17"/>
        <v>0.5</v>
      </c>
      <c r="G1130" s="2">
        <f>AVERAGEIFS([3]!players[gold_per_min], [3]!players[name],A1130,[3]!players[hero_name],B1130)</f>
        <v>256.5</v>
      </c>
      <c r="H1130" s="2">
        <f>AVERAGEIFS([3]!players[xp_per_min], [3]!players[name],A1130,[3]!players[hero_name],B1130)</f>
        <v>339.5</v>
      </c>
    </row>
    <row r="1131" spans="1:8" x14ac:dyDescent="0.3">
      <c r="A1131" t="str">
        <v>Lqc.</v>
      </c>
      <c r="B1131" t="str">
        <v>Grimstroke</v>
      </c>
      <c r="C1131" t="str" cm="1">
        <f t="array" ref="C1131">_xlfn.XLOOKUP(1,([3]!players[name]=A1131)*([3]!players[hero_name]=B1131),[3]!players[lane_name])</f>
        <v>Soft Support</v>
      </c>
      <c r="D1131">
        <f>COUNTIFS([3]!players[name],A1131,[3]!players[hero_name],B1131)</f>
        <v>1</v>
      </c>
      <c r="E1131">
        <f>COUNTIFS([3]!players[name],A1131,[3]!players[hero_name],B1131, [3]!players[win], 1)</f>
        <v>1</v>
      </c>
      <c r="F1131" s="1">
        <f t="shared" si="17"/>
        <v>1</v>
      </c>
      <c r="G1131" s="2">
        <f>AVERAGEIFS([3]!players[gold_per_min], [3]!players[name],A1131,[3]!players[hero_name],B1131)</f>
        <v>318</v>
      </c>
      <c r="H1131" s="2">
        <f>AVERAGEIFS([3]!players[xp_per_min], [3]!players[name],A1131,[3]!players[hero_name],B1131)</f>
        <v>552</v>
      </c>
    </row>
    <row r="1132" spans="1:8" x14ac:dyDescent="0.3">
      <c r="A1132" t="str">
        <v>m1CKe</v>
      </c>
      <c r="B1132" t="str">
        <v>Weaver</v>
      </c>
      <c r="C1132" t="str" cm="1">
        <f t="array" ref="C1132">_xlfn.XLOOKUP(1,([3]!players[name]=A1132)*([3]!players[hero_name]=B1132),[3]!players[lane_name])</f>
        <v>Carry</v>
      </c>
      <c r="D1132">
        <f>COUNTIFS([3]!players[name],A1132,[3]!players[hero_name],B1132)</f>
        <v>1</v>
      </c>
      <c r="E1132">
        <f>COUNTIFS([3]!players[name],A1132,[3]!players[hero_name],B1132, [3]!players[win], 1)</f>
        <v>0</v>
      </c>
      <c r="F1132" s="1">
        <f t="shared" si="17"/>
        <v>0</v>
      </c>
      <c r="G1132" s="2">
        <f>AVERAGEIFS([3]!players[gold_per_min], [3]!players[name],A1132,[3]!players[hero_name],B1132)</f>
        <v>701</v>
      </c>
      <c r="H1132" s="2">
        <f>AVERAGEIFS([3]!players[xp_per_min], [3]!players[name],A1132,[3]!players[hero_name],B1132)</f>
        <v>858</v>
      </c>
    </row>
    <row r="1133" spans="1:8" x14ac:dyDescent="0.3">
      <c r="A1133" t="str">
        <v>m1CKe</v>
      </c>
      <c r="B1133" t="str">
        <v>Muerta</v>
      </c>
      <c r="C1133" t="str" cm="1">
        <f t="array" ref="C1133">_xlfn.XLOOKUP(1,([3]!players[name]=A1133)*([3]!players[hero_name]=B1133),[3]!players[lane_name])</f>
        <v>Carry</v>
      </c>
      <c r="D1133">
        <f>COUNTIFS([3]!players[name],A1133,[3]!players[hero_name],B1133)</f>
        <v>4</v>
      </c>
      <c r="E1133">
        <f>COUNTIFS([3]!players[name],A1133,[3]!players[hero_name],B1133, [3]!players[win], 1)</f>
        <v>2</v>
      </c>
      <c r="F1133" s="1">
        <f t="shared" si="17"/>
        <v>0.5</v>
      </c>
      <c r="G1133" s="2">
        <f>AVERAGEIFS([3]!players[gold_per_min], [3]!players[name],A1133,[3]!players[hero_name],B1133)</f>
        <v>719.25</v>
      </c>
      <c r="H1133" s="2">
        <f>AVERAGEIFS([3]!players[xp_per_min], [3]!players[name],A1133,[3]!players[hero_name],B1133)</f>
        <v>748.75</v>
      </c>
    </row>
    <row r="1134" spans="1:8" x14ac:dyDescent="0.3">
      <c r="A1134" t="str">
        <v>m1CKe</v>
      </c>
      <c r="B1134" t="str">
        <v>Windranger</v>
      </c>
      <c r="C1134" t="str" cm="1">
        <f t="array" ref="C1134">_xlfn.XLOOKUP(1,([3]!players[name]=A1134)*([3]!players[hero_name]=B1134),[3]!players[lane_name])</f>
        <v>Carry</v>
      </c>
      <c r="D1134">
        <f>COUNTIFS([3]!players[name],A1134,[3]!players[hero_name],B1134)</f>
        <v>8</v>
      </c>
      <c r="E1134">
        <f>COUNTIFS([3]!players[name],A1134,[3]!players[hero_name],B1134, [3]!players[win], 1)</f>
        <v>6</v>
      </c>
      <c r="F1134" s="1">
        <f t="shared" si="17"/>
        <v>0.75</v>
      </c>
      <c r="G1134" s="2">
        <f>AVERAGEIFS([3]!players[gold_per_min], [3]!players[name],A1134,[3]!players[hero_name],B1134)</f>
        <v>663.875</v>
      </c>
      <c r="H1134" s="2">
        <f>AVERAGEIFS([3]!players[xp_per_min], [3]!players[name],A1134,[3]!players[hero_name],B1134)</f>
        <v>833.75</v>
      </c>
    </row>
    <row r="1135" spans="1:8" x14ac:dyDescent="0.3">
      <c r="A1135" t="str">
        <v>m1CKe</v>
      </c>
      <c r="B1135" t="str">
        <v>Lone Druid</v>
      </c>
      <c r="C1135" t="str" cm="1">
        <f t="array" ref="C1135">_xlfn.XLOOKUP(1,([3]!players[name]=A1135)*([3]!players[hero_name]=B1135),[3]!players[lane_name])</f>
        <v>Carry</v>
      </c>
      <c r="D1135">
        <f>COUNTIFS([3]!players[name],A1135,[3]!players[hero_name],B1135)</f>
        <v>4</v>
      </c>
      <c r="E1135">
        <f>COUNTIFS([3]!players[name],A1135,[3]!players[hero_name],B1135, [3]!players[win], 1)</f>
        <v>4</v>
      </c>
      <c r="F1135" s="1">
        <f t="shared" si="17"/>
        <v>1</v>
      </c>
      <c r="G1135" s="2">
        <f>AVERAGEIFS([3]!players[gold_per_min], [3]!players[name],A1135,[3]!players[hero_name],B1135)</f>
        <v>898.5</v>
      </c>
      <c r="H1135" s="2">
        <f>AVERAGEIFS([3]!players[xp_per_min], [3]!players[name],A1135,[3]!players[hero_name],B1135)</f>
        <v>847.25</v>
      </c>
    </row>
    <row r="1136" spans="1:8" x14ac:dyDescent="0.3">
      <c r="A1136" t="str">
        <v>m1CKe</v>
      </c>
      <c r="B1136" t="str">
        <v>Alchemist</v>
      </c>
      <c r="C1136" t="str" cm="1">
        <f t="array" ref="C1136">_xlfn.XLOOKUP(1,([3]!players[name]=A1136)*([3]!players[hero_name]=B1136),[3]!players[lane_name])</f>
        <v>Carry</v>
      </c>
      <c r="D1136">
        <f>COUNTIFS([3]!players[name],A1136,[3]!players[hero_name],B1136)</f>
        <v>2</v>
      </c>
      <c r="E1136">
        <f>COUNTIFS([3]!players[name],A1136,[3]!players[hero_name],B1136, [3]!players[win], 1)</f>
        <v>1</v>
      </c>
      <c r="F1136" s="1">
        <f t="shared" si="17"/>
        <v>0.5</v>
      </c>
      <c r="G1136" s="2">
        <f>AVERAGEIFS([3]!players[gold_per_min], [3]!players[name],A1136,[3]!players[hero_name],B1136)</f>
        <v>862.5</v>
      </c>
      <c r="H1136" s="2">
        <f>AVERAGEIFS([3]!players[xp_per_min], [3]!players[name],A1136,[3]!players[hero_name],B1136)</f>
        <v>824.5</v>
      </c>
    </row>
    <row r="1137" spans="1:8" x14ac:dyDescent="0.3">
      <c r="A1137" t="str">
        <v>m1CKe</v>
      </c>
      <c r="B1137" t="str">
        <v>Monkey King</v>
      </c>
      <c r="C1137" t="str" cm="1">
        <f t="array" ref="C1137">_xlfn.XLOOKUP(1,([3]!players[name]=A1137)*([3]!players[hero_name]=B1137),[3]!players[lane_name])</f>
        <v>Carry</v>
      </c>
      <c r="D1137">
        <f>COUNTIFS([3]!players[name],A1137,[3]!players[hero_name],B1137)</f>
        <v>2</v>
      </c>
      <c r="E1137">
        <f>COUNTIFS([3]!players[name],A1137,[3]!players[hero_name],B1137, [3]!players[win], 1)</f>
        <v>0</v>
      </c>
      <c r="F1137" s="1">
        <f t="shared" si="17"/>
        <v>0</v>
      </c>
      <c r="G1137" s="2">
        <f>AVERAGEIFS([3]!players[gold_per_min], [3]!players[name],A1137,[3]!players[hero_name],B1137)</f>
        <v>550</v>
      </c>
      <c r="H1137" s="2">
        <f>AVERAGEIFS([3]!players[xp_per_min], [3]!players[name],A1137,[3]!players[hero_name],B1137)</f>
        <v>828</v>
      </c>
    </row>
    <row r="1138" spans="1:8" x14ac:dyDescent="0.3">
      <c r="A1138" t="str">
        <v>m1CKe</v>
      </c>
      <c r="B1138" t="str">
        <v>Tiny</v>
      </c>
      <c r="C1138" t="str" cm="1">
        <f t="array" ref="C1138">_xlfn.XLOOKUP(1,([3]!players[name]=A1138)*([3]!players[hero_name]=B1138),[3]!players[lane_name])</f>
        <v>Carry</v>
      </c>
      <c r="D1138">
        <f>COUNTIFS([3]!players[name],A1138,[3]!players[hero_name],B1138)</f>
        <v>9</v>
      </c>
      <c r="E1138">
        <f>COUNTIFS([3]!players[name],A1138,[3]!players[hero_name],B1138, [3]!players[win], 1)</f>
        <v>5</v>
      </c>
      <c r="F1138" s="1">
        <f t="shared" si="17"/>
        <v>0.55555555555555558</v>
      </c>
      <c r="G1138" s="2">
        <f>AVERAGEIFS([3]!players[gold_per_min], [3]!players[name],A1138,[3]!players[hero_name],B1138)</f>
        <v>659.22222222222217</v>
      </c>
      <c r="H1138" s="2">
        <f>AVERAGEIFS([3]!players[xp_per_min], [3]!players[name],A1138,[3]!players[hero_name],B1138)</f>
        <v>865</v>
      </c>
    </row>
    <row r="1139" spans="1:8" x14ac:dyDescent="0.3">
      <c r="A1139" t="str">
        <v>m1CKe</v>
      </c>
      <c r="B1139" t="str">
        <v>Lifestealer</v>
      </c>
      <c r="C1139" t="str" cm="1">
        <f t="array" ref="C1139">_xlfn.XLOOKUP(1,([3]!players[name]=A1139)*([3]!players[hero_name]=B1139),[3]!players[lane_name])</f>
        <v>Carry</v>
      </c>
      <c r="D1139">
        <f>COUNTIFS([3]!players[name],A1139,[3]!players[hero_name],B1139)</f>
        <v>1</v>
      </c>
      <c r="E1139">
        <f>COUNTIFS([3]!players[name],A1139,[3]!players[hero_name],B1139, [3]!players[win], 1)</f>
        <v>1</v>
      </c>
      <c r="F1139" s="1">
        <f t="shared" si="17"/>
        <v>1</v>
      </c>
      <c r="G1139" s="2">
        <f>AVERAGEIFS([3]!players[gold_per_min], [3]!players[name],A1139,[3]!players[hero_name],B1139)</f>
        <v>690</v>
      </c>
      <c r="H1139" s="2">
        <f>AVERAGEIFS([3]!players[xp_per_min], [3]!players[name],A1139,[3]!players[hero_name],B1139)</f>
        <v>807</v>
      </c>
    </row>
    <row r="1140" spans="1:8" x14ac:dyDescent="0.3">
      <c r="A1140" t="str">
        <v>m1CKe</v>
      </c>
      <c r="B1140" t="str">
        <v>Luna</v>
      </c>
      <c r="C1140" t="str" cm="1">
        <f t="array" ref="C1140">_xlfn.XLOOKUP(1,([3]!players[name]=A1140)*([3]!players[hero_name]=B1140),[3]!players[lane_name])</f>
        <v>Carry</v>
      </c>
      <c r="D1140">
        <f>COUNTIFS([3]!players[name],A1140,[3]!players[hero_name],B1140)</f>
        <v>1</v>
      </c>
      <c r="E1140">
        <f>COUNTIFS([3]!players[name],A1140,[3]!players[hero_name],B1140, [3]!players[win], 1)</f>
        <v>0</v>
      </c>
      <c r="F1140" s="1">
        <f t="shared" si="17"/>
        <v>0</v>
      </c>
      <c r="G1140" s="2">
        <f>AVERAGEIFS([3]!players[gold_per_min], [3]!players[name],A1140,[3]!players[hero_name],B1140)</f>
        <v>767</v>
      </c>
      <c r="H1140" s="2">
        <f>AVERAGEIFS([3]!players[xp_per_min], [3]!players[name],A1140,[3]!players[hero_name],B1140)</f>
        <v>783</v>
      </c>
    </row>
    <row r="1141" spans="1:8" x14ac:dyDescent="0.3">
      <c r="A1141" t="str">
        <v>m1CKe</v>
      </c>
      <c r="B1141" t="str">
        <v>Bristleback</v>
      </c>
      <c r="C1141" t="str" cm="1">
        <f t="array" ref="C1141">_xlfn.XLOOKUP(1,([3]!players[name]=A1141)*([3]!players[hero_name]=B1141),[3]!players[lane_name])</f>
        <v>Carry</v>
      </c>
      <c r="D1141">
        <f>COUNTIFS([3]!players[name],A1141,[3]!players[hero_name],B1141)</f>
        <v>1</v>
      </c>
      <c r="E1141">
        <f>COUNTIFS([3]!players[name],A1141,[3]!players[hero_name],B1141, [3]!players[win], 1)</f>
        <v>0</v>
      </c>
      <c r="F1141" s="1">
        <f t="shared" si="17"/>
        <v>0</v>
      </c>
      <c r="G1141" s="2">
        <f>AVERAGEIFS([3]!players[gold_per_min], [3]!players[name],A1141,[3]!players[hero_name],B1141)</f>
        <v>719</v>
      </c>
      <c r="H1141" s="2">
        <f>AVERAGEIFS([3]!players[xp_per_min], [3]!players[name],A1141,[3]!players[hero_name],B1141)</f>
        <v>958</v>
      </c>
    </row>
    <row r="1142" spans="1:8" x14ac:dyDescent="0.3">
      <c r="A1142" t="str">
        <v>m1CKe</v>
      </c>
      <c r="B1142" t="str">
        <v>Kez</v>
      </c>
      <c r="C1142" t="str" cm="1">
        <f t="array" ref="C1142">_xlfn.XLOOKUP(1,([3]!players[name]=A1142)*([3]!players[hero_name]=B1142),[3]!players[lane_name])</f>
        <v>Carry</v>
      </c>
      <c r="D1142">
        <f>COUNTIFS([3]!players[name],A1142,[3]!players[hero_name],B1142)</f>
        <v>3</v>
      </c>
      <c r="E1142">
        <f>COUNTIFS([3]!players[name],A1142,[3]!players[hero_name],B1142, [3]!players[win], 1)</f>
        <v>3</v>
      </c>
      <c r="F1142" s="1">
        <f t="shared" si="17"/>
        <v>1</v>
      </c>
      <c r="G1142" s="2">
        <f>AVERAGEIFS([3]!players[gold_per_min], [3]!players[name],A1142,[3]!players[hero_name],B1142)</f>
        <v>746.66666666666663</v>
      </c>
      <c r="H1142" s="2">
        <f>AVERAGEIFS([3]!players[xp_per_min], [3]!players[name],A1142,[3]!players[hero_name],B1142)</f>
        <v>977</v>
      </c>
    </row>
    <row r="1143" spans="1:8" x14ac:dyDescent="0.3">
      <c r="A1143" t="str">
        <v>m1CKe</v>
      </c>
      <c r="B1143" t="str">
        <v>Queen of Pain</v>
      </c>
      <c r="C1143" t="str" cm="1">
        <f t="array" ref="C1143">_xlfn.XLOOKUP(1,([3]!players[name]=A1143)*([3]!players[hero_name]=B1143),[3]!players[lane_name])</f>
        <v>Carry</v>
      </c>
      <c r="D1143">
        <f>COUNTIFS([3]!players[name],A1143,[3]!players[hero_name],B1143)</f>
        <v>1</v>
      </c>
      <c r="E1143">
        <f>COUNTIFS([3]!players[name],A1143,[3]!players[hero_name],B1143, [3]!players[win], 1)</f>
        <v>1</v>
      </c>
      <c r="F1143" s="1">
        <f t="shared" si="17"/>
        <v>1</v>
      </c>
      <c r="G1143" s="2">
        <f>AVERAGEIFS([3]!players[gold_per_min], [3]!players[name],A1143,[3]!players[hero_name],B1143)</f>
        <v>689</v>
      </c>
      <c r="H1143" s="2">
        <f>AVERAGEIFS([3]!players[xp_per_min], [3]!players[name],A1143,[3]!players[hero_name],B1143)</f>
        <v>856</v>
      </c>
    </row>
    <row r="1144" spans="1:8" x14ac:dyDescent="0.3">
      <c r="A1144" t="str">
        <v>m1CKe</v>
      </c>
      <c r="B1144" t="str">
        <v>Nature's Prophet</v>
      </c>
      <c r="C1144" t="str" cm="1">
        <f t="array" ref="C1144">_xlfn.XLOOKUP(1,([3]!players[name]=A1144)*([3]!players[hero_name]=B1144),[3]!players[lane_name])</f>
        <v>Carry</v>
      </c>
      <c r="D1144">
        <f>COUNTIFS([3]!players[name],A1144,[3]!players[hero_name],B1144)</f>
        <v>1</v>
      </c>
      <c r="E1144">
        <f>COUNTIFS([3]!players[name],A1144,[3]!players[hero_name],B1144, [3]!players[win], 1)</f>
        <v>0</v>
      </c>
      <c r="F1144" s="1">
        <f t="shared" si="17"/>
        <v>0</v>
      </c>
      <c r="G1144" s="2">
        <f>AVERAGEIFS([3]!players[gold_per_min], [3]!players[name],A1144,[3]!players[hero_name],B1144)</f>
        <v>821</v>
      </c>
      <c r="H1144" s="2">
        <f>AVERAGEIFS([3]!players[xp_per_min], [3]!players[name],A1144,[3]!players[hero_name],B1144)</f>
        <v>812</v>
      </c>
    </row>
    <row r="1145" spans="1:8" x14ac:dyDescent="0.3">
      <c r="A1145" t="str">
        <v>Mac</v>
      </c>
      <c r="B1145" t="str">
        <v>Sand King</v>
      </c>
      <c r="C1145" t="str" cm="1">
        <f t="array" ref="C1145">_xlfn.XLOOKUP(1,([3]!players[name]=A1145)*([3]!players[hero_name]=B1145),[3]!players[lane_name])</f>
        <v>Mid</v>
      </c>
      <c r="D1145">
        <f>COUNTIFS([3]!players[name],A1145,[3]!players[hero_name],B1145)</f>
        <v>1</v>
      </c>
      <c r="E1145">
        <f>COUNTIFS([3]!players[name],A1145,[3]!players[hero_name],B1145, [3]!players[win], 1)</f>
        <v>1</v>
      </c>
      <c r="F1145" s="1">
        <f t="shared" si="17"/>
        <v>1</v>
      </c>
      <c r="G1145" s="2">
        <f>AVERAGEIFS([3]!players[gold_per_min], [3]!players[name],A1145,[3]!players[hero_name],B1145)</f>
        <v>649</v>
      </c>
      <c r="H1145" s="2">
        <f>AVERAGEIFS([3]!players[xp_per_min], [3]!players[name],A1145,[3]!players[hero_name],B1145)</f>
        <v>929</v>
      </c>
    </row>
    <row r="1146" spans="1:8" x14ac:dyDescent="0.3">
      <c r="A1146" t="str">
        <v>Mac</v>
      </c>
      <c r="B1146" t="str">
        <v>Queen of Pain</v>
      </c>
      <c r="C1146" t="str" cm="1">
        <f t="array" ref="C1146">_xlfn.XLOOKUP(1,([3]!players[name]=A1146)*([3]!players[hero_name]=B1146),[3]!players[lane_name])</f>
        <v>Mid</v>
      </c>
      <c r="D1146">
        <f>COUNTIFS([3]!players[name],A1146,[3]!players[hero_name],B1146)</f>
        <v>2</v>
      </c>
      <c r="E1146">
        <f>COUNTIFS([3]!players[name],A1146,[3]!players[hero_name],B1146, [3]!players[win], 1)</f>
        <v>2</v>
      </c>
      <c r="F1146" s="1">
        <f t="shared" si="17"/>
        <v>1</v>
      </c>
      <c r="G1146" s="2">
        <f>AVERAGEIFS([3]!players[gold_per_min], [3]!players[name],A1146,[3]!players[hero_name],B1146)</f>
        <v>787</v>
      </c>
      <c r="H1146" s="2">
        <f>AVERAGEIFS([3]!players[xp_per_min], [3]!players[name],A1146,[3]!players[hero_name],B1146)</f>
        <v>1051</v>
      </c>
    </row>
    <row r="1147" spans="1:8" x14ac:dyDescent="0.3">
      <c r="A1147" t="str">
        <v>Mac</v>
      </c>
      <c r="B1147" t="str">
        <v>Puck</v>
      </c>
      <c r="C1147" t="str" cm="1">
        <f t="array" ref="C1147">_xlfn.XLOOKUP(1,([3]!players[name]=A1147)*([3]!players[hero_name]=B1147),[3]!players[lane_name])</f>
        <v>Mid</v>
      </c>
      <c r="D1147">
        <f>COUNTIFS([3]!players[name],A1147,[3]!players[hero_name],B1147)</f>
        <v>1</v>
      </c>
      <c r="E1147">
        <f>COUNTIFS([3]!players[name],A1147,[3]!players[hero_name],B1147, [3]!players[win], 1)</f>
        <v>0</v>
      </c>
      <c r="F1147" s="1">
        <f t="shared" si="17"/>
        <v>0</v>
      </c>
      <c r="G1147" s="2">
        <f>AVERAGEIFS([3]!players[gold_per_min], [3]!players[name],A1147,[3]!players[hero_name],B1147)</f>
        <v>603</v>
      </c>
      <c r="H1147" s="2">
        <f>AVERAGEIFS([3]!players[xp_per_min], [3]!players[name],A1147,[3]!players[hero_name],B1147)</f>
        <v>717</v>
      </c>
    </row>
    <row r="1148" spans="1:8" x14ac:dyDescent="0.3">
      <c r="A1148" t="str">
        <v>Mac</v>
      </c>
      <c r="B1148" t="str">
        <v>Pangolier</v>
      </c>
      <c r="C1148" t="str" cm="1">
        <f t="array" ref="C1148">_xlfn.XLOOKUP(1,([3]!players[name]=A1148)*([3]!players[hero_name]=B1148),[3]!players[lane_name])</f>
        <v>Mid</v>
      </c>
      <c r="D1148">
        <f>COUNTIFS([3]!players[name],A1148,[3]!players[hero_name],B1148)</f>
        <v>7</v>
      </c>
      <c r="E1148">
        <f>COUNTIFS([3]!players[name],A1148,[3]!players[hero_name],B1148, [3]!players[win], 1)</f>
        <v>4</v>
      </c>
      <c r="F1148" s="1">
        <f t="shared" si="17"/>
        <v>0.5714285714285714</v>
      </c>
      <c r="G1148" s="2">
        <f>AVERAGEIFS([3]!players[gold_per_min], [3]!players[name],A1148,[3]!players[hero_name],B1148)</f>
        <v>583.42857142857144</v>
      </c>
      <c r="H1148" s="2">
        <f>AVERAGEIFS([3]!players[xp_per_min], [3]!players[name],A1148,[3]!players[hero_name],B1148)</f>
        <v>744.14285714285711</v>
      </c>
    </row>
    <row r="1149" spans="1:8" x14ac:dyDescent="0.3">
      <c r="A1149" t="str">
        <v>Mac</v>
      </c>
      <c r="B1149" t="str">
        <v>Ember Spirit</v>
      </c>
      <c r="C1149" t="str" cm="1">
        <f t="array" ref="C1149">_xlfn.XLOOKUP(1,([3]!players[name]=A1149)*([3]!players[hero_name]=B1149),[3]!players[lane_name])</f>
        <v>Mid</v>
      </c>
      <c r="D1149">
        <f>COUNTIFS([3]!players[name],A1149,[3]!players[hero_name],B1149)</f>
        <v>4</v>
      </c>
      <c r="E1149">
        <f>COUNTIFS([3]!players[name],A1149,[3]!players[hero_name],B1149, [3]!players[win], 1)</f>
        <v>3</v>
      </c>
      <c r="F1149" s="1">
        <f t="shared" si="17"/>
        <v>0.75</v>
      </c>
      <c r="G1149" s="2">
        <f>AVERAGEIFS([3]!players[gold_per_min], [3]!players[name],A1149,[3]!players[hero_name],B1149)</f>
        <v>688</v>
      </c>
      <c r="H1149" s="2">
        <f>AVERAGEIFS([3]!players[xp_per_min], [3]!players[name],A1149,[3]!players[hero_name],B1149)</f>
        <v>995.5</v>
      </c>
    </row>
    <row r="1150" spans="1:8" x14ac:dyDescent="0.3">
      <c r="A1150" t="str">
        <v>Mac</v>
      </c>
      <c r="B1150" t="str">
        <v>Beastmaster</v>
      </c>
      <c r="C1150" t="str" cm="1">
        <f t="array" ref="C1150">_xlfn.XLOOKUP(1,([3]!players[name]=A1150)*([3]!players[hero_name]=B1150),[3]!players[lane_name])</f>
        <v>Mid</v>
      </c>
      <c r="D1150">
        <f>COUNTIFS([3]!players[name],A1150,[3]!players[hero_name],B1150)</f>
        <v>1</v>
      </c>
      <c r="E1150">
        <f>COUNTIFS([3]!players[name],A1150,[3]!players[hero_name],B1150, [3]!players[win], 1)</f>
        <v>1</v>
      </c>
      <c r="F1150" s="1">
        <f t="shared" si="17"/>
        <v>1</v>
      </c>
      <c r="G1150" s="2">
        <f>AVERAGEIFS([3]!players[gold_per_min], [3]!players[name],A1150,[3]!players[hero_name],B1150)</f>
        <v>620</v>
      </c>
      <c r="H1150" s="2">
        <f>AVERAGEIFS([3]!players[xp_per_min], [3]!players[name],A1150,[3]!players[hero_name],B1150)</f>
        <v>801</v>
      </c>
    </row>
    <row r="1151" spans="1:8" x14ac:dyDescent="0.3">
      <c r="A1151" t="str">
        <v>Mac</v>
      </c>
      <c r="B1151" t="str">
        <v>Nature's Prophet</v>
      </c>
      <c r="C1151" t="str" cm="1">
        <f t="array" ref="C1151">_xlfn.XLOOKUP(1,([3]!players[name]=A1151)*([3]!players[hero_name]=B1151),[3]!players[lane_name])</f>
        <v>Mid</v>
      </c>
      <c r="D1151">
        <f>COUNTIFS([3]!players[name],A1151,[3]!players[hero_name],B1151)</f>
        <v>1</v>
      </c>
      <c r="E1151">
        <f>COUNTIFS([3]!players[name],A1151,[3]!players[hero_name],B1151, [3]!players[win], 1)</f>
        <v>1</v>
      </c>
      <c r="F1151" s="1">
        <f t="shared" si="17"/>
        <v>1</v>
      </c>
      <c r="G1151" s="2">
        <f>AVERAGEIFS([3]!players[gold_per_min], [3]!players[name],A1151,[3]!players[hero_name],B1151)</f>
        <v>851</v>
      </c>
      <c r="H1151" s="2">
        <f>AVERAGEIFS([3]!players[xp_per_min], [3]!players[name],A1151,[3]!players[hero_name],B1151)</f>
        <v>947</v>
      </c>
    </row>
    <row r="1152" spans="1:8" x14ac:dyDescent="0.3">
      <c r="A1152" t="str">
        <v>Mac</v>
      </c>
      <c r="B1152" t="str">
        <v>Slardar</v>
      </c>
      <c r="C1152" t="str" cm="1">
        <f t="array" ref="C1152">_xlfn.XLOOKUP(1,([3]!players[name]=A1152)*([3]!players[hero_name]=B1152),[3]!players[lane_name])</f>
        <v>Mid</v>
      </c>
      <c r="D1152">
        <f>COUNTIFS([3]!players[name],A1152,[3]!players[hero_name],B1152)</f>
        <v>1</v>
      </c>
      <c r="E1152">
        <f>COUNTIFS([3]!players[name],A1152,[3]!players[hero_name],B1152, [3]!players[win], 1)</f>
        <v>0</v>
      </c>
      <c r="F1152" s="1">
        <f t="shared" si="17"/>
        <v>0</v>
      </c>
      <c r="G1152" s="2">
        <f>AVERAGEIFS([3]!players[gold_per_min], [3]!players[name],A1152,[3]!players[hero_name],B1152)</f>
        <v>510</v>
      </c>
      <c r="H1152" s="2">
        <f>AVERAGEIFS([3]!players[xp_per_min], [3]!players[name],A1152,[3]!players[hero_name],B1152)</f>
        <v>684</v>
      </c>
    </row>
    <row r="1153" spans="1:8" x14ac:dyDescent="0.3">
      <c r="A1153" t="str">
        <v>Malik</v>
      </c>
      <c r="B1153" t="str">
        <v>Pangolier</v>
      </c>
      <c r="C1153" t="str" cm="1">
        <f t="array" ref="C1153">_xlfn.XLOOKUP(1,([3]!players[name]=A1153)*([3]!players[hero_name]=B1153),[3]!players[lane_name])</f>
        <v>Off Lane</v>
      </c>
      <c r="D1153">
        <f>COUNTIFS([3]!players[name],A1153,[3]!players[hero_name],B1153)</f>
        <v>2</v>
      </c>
      <c r="E1153">
        <f>COUNTIFS([3]!players[name],A1153,[3]!players[hero_name],B1153, [3]!players[win], 1)</f>
        <v>0</v>
      </c>
      <c r="F1153" s="1">
        <f t="shared" si="17"/>
        <v>0</v>
      </c>
      <c r="G1153" s="2">
        <f>AVERAGEIFS([3]!players[gold_per_min], [3]!players[name],A1153,[3]!players[hero_name],B1153)</f>
        <v>478.5</v>
      </c>
      <c r="H1153" s="2">
        <f>AVERAGEIFS([3]!players[xp_per_min], [3]!players[name],A1153,[3]!players[hero_name],B1153)</f>
        <v>718</v>
      </c>
    </row>
    <row r="1154" spans="1:8" x14ac:dyDescent="0.3">
      <c r="A1154" t="str">
        <v>Malik</v>
      </c>
      <c r="B1154" t="str">
        <v>Bristleback</v>
      </c>
      <c r="C1154" t="str" cm="1">
        <f t="array" ref="C1154">_xlfn.XLOOKUP(1,([3]!players[name]=A1154)*([3]!players[hero_name]=B1154),[3]!players[lane_name])</f>
        <v>Off Lane</v>
      </c>
      <c r="D1154">
        <f>COUNTIFS([3]!players[name],A1154,[3]!players[hero_name],B1154)</f>
        <v>1</v>
      </c>
      <c r="E1154">
        <f>COUNTIFS([3]!players[name],A1154,[3]!players[hero_name],B1154, [3]!players[win], 1)</f>
        <v>1</v>
      </c>
      <c r="F1154" s="1">
        <f t="shared" si="17"/>
        <v>1</v>
      </c>
      <c r="G1154" s="2">
        <f>AVERAGEIFS([3]!players[gold_per_min], [3]!players[name],A1154,[3]!players[hero_name],B1154)</f>
        <v>697</v>
      </c>
      <c r="H1154" s="2">
        <f>AVERAGEIFS([3]!players[xp_per_min], [3]!players[name],A1154,[3]!players[hero_name],B1154)</f>
        <v>956</v>
      </c>
    </row>
    <row r="1155" spans="1:8" x14ac:dyDescent="0.3">
      <c r="A1155" t="str">
        <v>Malik</v>
      </c>
      <c r="B1155" t="str">
        <v>Tidehunter</v>
      </c>
      <c r="C1155" t="str" cm="1">
        <f t="array" ref="C1155">_xlfn.XLOOKUP(1,([3]!players[name]=A1155)*([3]!players[hero_name]=B1155),[3]!players[lane_name])</f>
        <v>Off Lane</v>
      </c>
      <c r="D1155">
        <f>COUNTIFS([3]!players[name],A1155,[3]!players[hero_name],B1155)</f>
        <v>3</v>
      </c>
      <c r="E1155">
        <f>COUNTIFS([3]!players[name],A1155,[3]!players[hero_name],B1155, [3]!players[win], 1)</f>
        <v>1</v>
      </c>
      <c r="F1155" s="1">
        <f t="shared" ref="F1155:F1218" si="18">E1155/D1155</f>
        <v>0.33333333333333331</v>
      </c>
      <c r="G1155" s="2">
        <f>AVERAGEIFS([3]!players[gold_per_min], [3]!players[name],A1155,[3]!players[hero_name],B1155)</f>
        <v>529.66666666666663</v>
      </c>
      <c r="H1155" s="2">
        <f>AVERAGEIFS([3]!players[xp_per_min], [3]!players[name],A1155,[3]!players[hero_name],B1155)</f>
        <v>728.66666666666663</v>
      </c>
    </row>
    <row r="1156" spans="1:8" x14ac:dyDescent="0.3">
      <c r="A1156" t="str">
        <v>Malik</v>
      </c>
      <c r="B1156" t="str">
        <v>Brewmaster</v>
      </c>
      <c r="C1156" t="str" cm="1">
        <f t="array" ref="C1156">_xlfn.XLOOKUP(1,([3]!players[name]=A1156)*([3]!players[hero_name]=B1156),[3]!players[lane_name])</f>
        <v>Off Lane</v>
      </c>
      <c r="D1156">
        <f>COUNTIFS([3]!players[name],A1156,[3]!players[hero_name],B1156)</f>
        <v>2</v>
      </c>
      <c r="E1156">
        <f>COUNTIFS([3]!players[name],A1156,[3]!players[hero_name],B1156, [3]!players[win], 1)</f>
        <v>1</v>
      </c>
      <c r="F1156" s="1">
        <f t="shared" si="18"/>
        <v>0.5</v>
      </c>
      <c r="G1156" s="2">
        <f>AVERAGEIFS([3]!players[gold_per_min], [3]!players[name],A1156,[3]!players[hero_name],B1156)</f>
        <v>573</v>
      </c>
      <c r="H1156" s="2">
        <f>AVERAGEIFS([3]!players[xp_per_min], [3]!players[name],A1156,[3]!players[hero_name],B1156)</f>
        <v>673</v>
      </c>
    </row>
    <row r="1157" spans="1:8" x14ac:dyDescent="0.3">
      <c r="A1157" t="str">
        <v>Malik</v>
      </c>
      <c r="B1157" t="str">
        <v>Doom</v>
      </c>
      <c r="C1157" t="str" cm="1">
        <f t="array" ref="C1157">_xlfn.XLOOKUP(1,([3]!players[name]=A1157)*([3]!players[hero_name]=B1157),[3]!players[lane_name])</f>
        <v>Off Lane</v>
      </c>
      <c r="D1157">
        <f>COUNTIFS([3]!players[name],A1157,[3]!players[hero_name],B1157)</f>
        <v>1</v>
      </c>
      <c r="E1157">
        <f>COUNTIFS([3]!players[name],A1157,[3]!players[hero_name],B1157, [3]!players[win], 1)</f>
        <v>0</v>
      </c>
      <c r="F1157" s="1">
        <f t="shared" si="18"/>
        <v>0</v>
      </c>
      <c r="G1157" s="2">
        <f>AVERAGEIFS([3]!players[gold_per_min], [3]!players[name],A1157,[3]!players[hero_name],B1157)</f>
        <v>491</v>
      </c>
      <c r="H1157" s="2">
        <f>AVERAGEIFS([3]!players[xp_per_min], [3]!players[name],A1157,[3]!players[hero_name],B1157)</f>
        <v>514</v>
      </c>
    </row>
    <row r="1158" spans="1:8" x14ac:dyDescent="0.3">
      <c r="A1158" t="str">
        <v>Malik</v>
      </c>
      <c r="B1158" t="str">
        <v>Dawnbreaker</v>
      </c>
      <c r="C1158" t="str" cm="1">
        <f t="array" ref="C1158">_xlfn.XLOOKUP(1,([3]!players[name]=A1158)*([3]!players[hero_name]=B1158),[3]!players[lane_name])</f>
        <v>Off Lane</v>
      </c>
      <c r="D1158">
        <f>COUNTIFS([3]!players[name],A1158,[3]!players[hero_name],B1158)</f>
        <v>1</v>
      </c>
      <c r="E1158">
        <f>COUNTIFS([3]!players[name],A1158,[3]!players[hero_name],B1158, [3]!players[win], 1)</f>
        <v>1</v>
      </c>
      <c r="F1158" s="1">
        <f t="shared" si="18"/>
        <v>1</v>
      </c>
      <c r="G1158" s="2">
        <f>AVERAGEIFS([3]!players[gold_per_min], [3]!players[name],A1158,[3]!players[hero_name],B1158)</f>
        <v>626</v>
      </c>
      <c r="H1158" s="2">
        <f>AVERAGEIFS([3]!players[xp_per_min], [3]!players[name],A1158,[3]!players[hero_name],B1158)</f>
        <v>893</v>
      </c>
    </row>
    <row r="1159" spans="1:8" x14ac:dyDescent="0.3">
      <c r="A1159" t="str">
        <v>Malik</v>
      </c>
      <c r="B1159" t="str">
        <v>Batrider</v>
      </c>
      <c r="C1159" t="str" cm="1">
        <f t="array" ref="C1159">_xlfn.XLOOKUP(1,([3]!players[name]=A1159)*([3]!players[hero_name]=B1159),[3]!players[lane_name])</f>
        <v>Off Lane</v>
      </c>
      <c r="D1159">
        <f>COUNTIFS([3]!players[name],A1159,[3]!players[hero_name],B1159)</f>
        <v>1</v>
      </c>
      <c r="E1159">
        <f>COUNTIFS([3]!players[name],A1159,[3]!players[hero_name],B1159, [3]!players[win], 1)</f>
        <v>0</v>
      </c>
      <c r="F1159" s="1">
        <f t="shared" si="18"/>
        <v>0</v>
      </c>
      <c r="G1159" s="2">
        <f>AVERAGEIFS([3]!players[gold_per_min], [3]!players[name],A1159,[3]!players[hero_name],B1159)</f>
        <v>453</v>
      </c>
      <c r="H1159" s="2">
        <f>AVERAGEIFS([3]!players[xp_per_min], [3]!players[name],A1159,[3]!players[hero_name],B1159)</f>
        <v>650</v>
      </c>
    </row>
    <row r="1160" spans="1:8" x14ac:dyDescent="0.3">
      <c r="A1160" t="str">
        <v>Malr1ne</v>
      </c>
      <c r="B1160" t="str">
        <v>Monkey King</v>
      </c>
      <c r="C1160" t="str" cm="1">
        <f t="array" ref="C1160">_xlfn.XLOOKUP(1,([3]!players[name]=A1160)*([3]!players[hero_name]=B1160),[3]!players[lane_name])</f>
        <v>Mid</v>
      </c>
      <c r="D1160">
        <f>COUNTIFS([3]!players[name],A1160,[3]!players[hero_name],B1160)</f>
        <v>1</v>
      </c>
      <c r="E1160">
        <f>COUNTIFS([3]!players[name],A1160,[3]!players[hero_name],B1160, [3]!players[win], 1)</f>
        <v>1</v>
      </c>
      <c r="F1160" s="1">
        <f t="shared" si="18"/>
        <v>1</v>
      </c>
      <c r="G1160" s="2">
        <f>AVERAGEIFS([3]!players[gold_per_min], [3]!players[name],A1160,[3]!players[hero_name],B1160)</f>
        <v>658</v>
      </c>
      <c r="H1160" s="2">
        <f>AVERAGEIFS([3]!players[xp_per_min], [3]!players[name],A1160,[3]!players[hero_name],B1160)</f>
        <v>862</v>
      </c>
    </row>
    <row r="1161" spans="1:8" x14ac:dyDescent="0.3">
      <c r="A1161" t="str">
        <v>Malr1ne</v>
      </c>
      <c r="B1161" t="str">
        <v>Huskar</v>
      </c>
      <c r="C1161" t="str" cm="1">
        <f t="array" ref="C1161">_xlfn.XLOOKUP(1,([3]!players[name]=A1161)*([3]!players[hero_name]=B1161),[3]!players[lane_name])</f>
        <v>Mid</v>
      </c>
      <c r="D1161">
        <f>COUNTIFS([3]!players[name],A1161,[3]!players[hero_name],B1161)</f>
        <v>1</v>
      </c>
      <c r="E1161">
        <f>COUNTIFS([3]!players[name],A1161,[3]!players[hero_name],B1161, [3]!players[win], 1)</f>
        <v>1</v>
      </c>
      <c r="F1161" s="1">
        <f t="shared" si="18"/>
        <v>1</v>
      </c>
      <c r="G1161" s="2">
        <f>AVERAGEIFS([3]!players[gold_per_min], [3]!players[name],A1161,[3]!players[hero_name],B1161)</f>
        <v>675</v>
      </c>
      <c r="H1161" s="2">
        <f>AVERAGEIFS([3]!players[xp_per_min], [3]!players[name],A1161,[3]!players[hero_name],B1161)</f>
        <v>671</v>
      </c>
    </row>
    <row r="1162" spans="1:8" x14ac:dyDescent="0.3">
      <c r="A1162" t="str">
        <v>Malr1ne</v>
      </c>
      <c r="B1162" t="str">
        <v>Queen of Pain</v>
      </c>
      <c r="C1162" t="str" cm="1">
        <f t="array" ref="C1162">_xlfn.XLOOKUP(1,([3]!players[name]=A1162)*([3]!players[hero_name]=B1162),[3]!players[lane_name])</f>
        <v>Mid</v>
      </c>
      <c r="D1162">
        <f>COUNTIFS([3]!players[name],A1162,[3]!players[hero_name],B1162)</f>
        <v>3</v>
      </c>
      <c r="E1162">
        <f>COUNTIFS([3]!players[name],A1162,[3]!players[hero_name],B1162, [3]!players[win], 1)</f>
        <v>2</v>
      </c>
      <c r="F1162" s="1">
        <f t="shared" si="18"/>
        <v>0.66666666666666663</v>
      </c>
      <c r="G1162" s="2">
        <f>AVERAGEIFS([3]!players[gold_per_min], [3]!players[name],A1162,[3]!players[hero_name],B1162)</f>
        <v>671.66666666666663</v>
      </c>
      <c r="H1162" s="2">
        <f>AVERAGEIFS([3]!players[xp_per_min], [3]!players[name],A1162,[3]!players[hero_name],B1162)</f>
        <v>973</v>
      </c>
    </row>
    <row r="1163" spans="1:8" x14ac:dyDescent="0.3">
      <c r="A1163" t="str">
        <v>Malr1ne</v>
      </c>
      <c r="B1163" t="str">
        <v>Sand King</v>
      </c>
      <c r="C1163" t="str" cm="1">
        <f t="array" ref="C1163">_xlfn.XLOOKUP(1,([3]!players[name]=A1163)*([3]!players[hero_name]=B1163),[3]!players[lane_name])</f>
        <v>Mid</v>
      </c>
      <c r="D1163">
        <f>COUNTIFS([3]!players[name],A1163,[3]!players[hero_name],B1163)</f>
        <v>4</v>
      </c>
      <c r="E1163">
        <f>COUNTIFS([3]!players[name],A1163,[3]!players[hero_name],B1163, [3]!players[win], 1)</f>
        <v>3</v>
      </c>
      <c r="F1163" s="1">
        <f t="shared" si="18"/>
        <v>0.75</v>
      </c>
      <c r="G1163" s="2">
        <f>AVERAGEIFS([3]!players[gold_per_min], [3]!players[name],A1163,[3]!players[hero_name],B1163)</f>
        <v>583.75</v>
      </c>
      <c r="H1163" s="2">
        <f>AVERAGEIFS([3]!players[xp_per_min], [3]!players[name],A1163,[3]!players[hero_name],B1163)</f>
        <v>792.25</v>
      </c>
    </row>
    <row r="1164" spans="1:8" x14ac:dyDescent="0.3">
      <c r="A1164" t="str">
        <v>Malr1ne</v>
      </c>
      <c r="B1164" t="str">
        <v>Death Prophet</v>
      </c>
      <c r="C1164" t="str" cm="1">
        <f t="array" ref="C1164">_xlfn.XLOOKUP(1,([3]!players[name]=A1164)*([3]!players[hero_name]=B1164),[3]!players[lane_name])</f>
        <v>Mid</v>
      </c>
      <c r="D1164">
        <f>COUNTIFS([3]!players[name],A1164,[3]!players[hero_name],B1164)</f>
        <v>1</v>
      </c>
      <c r="E1164">
        <f>COUNTIFS([3]!players[name],A1164,[3]!players[hero_name],B1164, [3]!players[win], 1)</f>
        <v>0</v>
      </c>
      <c r="F1164" s="1">
        <f t="shared" si="18"/>
        <v>0</v>
      </c>
      <c r="G1164" s="2">
        <f>AVERAGEIFS([3]!players[gold_per_min], [3]!players[name],A1164,[3]!players[hero_name],B1164)</f>
        <v>517</v>
      </c>
      <c r="H1164" s="2">
        <f>AVERAGEIFS([3]!players[xp_per_min], [3]!players[name],A1164,[3]!players[hero_name],B1164)</f>
        <v>649</v>
      </c>
    </row>
    <row r="1165" spans="1:8" x14ac:dyDescent="0.3">
      <c r="A1165" t="str">
        <v>Malr1ne</v>
      </c>
      <c r="B1165" t="str">
        <v>Primal Beast</v>
      </c>
      <c r="C1165" t="str" cm="1">
        <f t="array" ref="C1165">_xlfn.XLOOKUP(1,([3]!players[name]=A1165)*([3]!players[hero_name]=B1165),[3]!players[lane_name])</f>
        <v>Mid</v>
      </c>
      <c r="D1165">
        <f>COUNTIFS([3]!players[name],A1165,[3]!players[hero_name],B1165)</f>
        <v>3</v>
      </c>
      <c r="E1165">
        <f>COUNTIFS([3]!players[name],A1165,[3]!players[hero_name],B1165, [3]!players[win], 1)</f>
        <v>1</v>
      </c>
      <c r="F1165" s="1">
        <f t="shared" si="18"/>
        <v>0.33333333333333331</v>
      </c>
      <c r="G1165" s="2">
        <f>AVERAGEIFS([3]!players[gold_per_min], [3]!players[name],A1165,[3]!players[hero_name],B1165)</f>
        <v>547.33333333333337</v>
      </c>
      <c r="H1165" s="2">
        <f>AVERAGEIFS([3]!players[xp_per_min], [3]!players[name],A1165,[3]!players[hero_name],B1165)</f>
        <v>765</v>
      </c>
    </row>
    <row r="1166" spans="1:8" x14ac:dyDescent="0.3">
      <c r="A1166" t="str">
        <v>Malr1ne</v>
      </c>
      <c r="B1166" t="str">
        <v>Void Spirit</v>
      </c>
      <c r="C1166" t="str" cm="1">
        <f t="array" ref="C1166">_xlfn.XLOOKUP(1,([3]!players[name]=A1166)*([3]!players[hero_name]=B1166),[3]!players[lane_name])</f>
        <v>Mid</v>
      </c>
      <c r="D1166">
        <f>COUNTIFS([3]!players[name],A1166,[3]!players[hero_name],B1166)</f>
        <v>2</v>
      </c>
      <c r="E1166">
        <f>COUNTIFS([3]!players[name],A1166,[3]!players[hero_name],B1166, [3]!players[win], 1)</f>
        <v>2</v>
      </c>
      <c r="F1166" s="1">
        <f t="shared" si="18"/>
        <v>1</v>
      </c>
      <c r="G1166" s="2">
        <f>AVERAGEIFS([3]!players[gold_per_min], [3]!players[name],A1166,[3]!players[hero_name],B1166)</f>
        <v>604</v>
      </c>
      <c r="H1166" s="2">
        <f>AVERAGEIFS([3]!players[xp_per_min], [3]!players[name],A1166,[3]!players[hero_name],B1166)</f>
        <v>738</v>
      </c>
    </row>
    <row r="1167" spans="1:8" x14ac:dyDescent="0.3">
      <c r="A1167" t="str">
        <v>Malr1ne</v>
      </c>
      <c r="B1167" t="str">
        <v>Pangolier</v>
      </c>
      <c r="C1167" t="str" cm="1">
        <f t="array" ref="C1167">_xlfn.XLOOKUP(1,([3]!players[name]=A1167)*([3]!players[hero_name]=B1167),[3]!players[lane_name])</f>
        <v>Mid</v>
      </c>
      <c r="D1167">
        <f>COUNTIFS([3]!players[name],A1167,[3]!players[hero_name],B1167)</f>
        <v>4</v>
      </c>
      <c r="E1167">
        <f>COUNTIFS([3]!players[name],A1167,[3]!players[hero_name],B1167, [3]!players[win], 1)</f>
        <v>3</v>
      </c>
      <c r="F1167" s="1">
        <f t="shared" si="18"/>
        <v>0.75</v>
      </c>
      <c r="G1167" s="2">
        <f>AVERAGEIFS([3]!players[gold_per_min], [3]!players[name],A1167,[3]!players[hero_name],B1167)</f>
        <v>639.5</v>
      </c>
      <c r="H1167" s="2">
        <f>AVERAGEIFS([3]!players[xp_per_min], [3]!players[name],A1167,[3]!players[hero_name],B1167)</f>
        <v>889</v>
      </c>
    </row>
    <row r="1168" spans="1:8" x14ac:dyDescent="0.3">
      <c r="A1168" t="str">
        <v>Malr1ne</v>
      </c>
      <c r="B1168" t="str">
        <v>Beastmaster</v>
      </c>
      <c r="C1168" t="str" cm="1">
        <f t="array" ref="C1168">_xlfn.XLOOKUP(1,([3]!players[name]=A1168)*([3]!players[hero_name]=B1168),[3]!players[lane_name])</f>
        <v>Mid</v>
      </c>
      <c r="D1168">
        <f>COUNTIFS([3]!players[name],A1168,[3]!players[hero_name],B1168)</f>
        <v>1</v>
      </c>
      <c r="E1168">
        <f>COUNTIFS([3]!players[name],A1168,[3]!players[hero_name],B1168, [3]!players[win], 1)</f>
        <v>1</v>
      </c>
      <c r="F1168" s="1">
        <f t="shared" si="18"/>
        <v>1</v>
      </c>
      <c r="G1168" s="2">
        <f>AVERAGEIFS([3]!players[gold_per_min], [3]!players[name],A1168,[3]!players[hero_name],B1168)</f>
        <v>653</v>
      </c>
      <c r="H1168" s="2">
        <f>AVERAGEIFS([3]!players[xp_per_min], [3]!players[name],A1168,[3]!players[hero_name],B1168)</f>
        <v>853</v>
      </c>
    </row>
    <row r="1169" spans="1:8" x14ac:dyDescent="0.3">
      <c r="A1169" t="str">
        <v>Malr1ne</v>
      </c>
      <c r="B1169" t="str">
        <v>Batrider</v>
      </c>
      <c r="C1169" t="str" cm="1">
        <f t="array" ref="C1169">_xlfn.XLOOKUP(1,([3]!players[name]=A1169)*([3]!players[hero_name]=B1169),[3]!players[lane_name])</f>
        <v>Mid</v>
      </c>
      <c r="D1169">
        <f>COUNTIFS([3]!players[name],A1169,[3]!players[hero_name],B1169)</f>
        <v>2</v>
      </c>
      <c r="E1169">
        <f>COUNTIFS([3]!players[name],A1169,[3]!players[hero_name],B1169, [3]!players[win], 1)</f>
        <v>1</v>
      </c>
      <c r="F1169" s="1">
        <f t="shared" si="18"/>
        <v>0.5</v>
      </c>
      <c r="G1169" s="2">
        <f>AVERAGEIFS([3]!players[gold_per_min], [3]!players[name],A1169,[3]!players[hero_name],B1169)</f>
        <v>590.5</v>
      </c>
      <c r="H1169" s="2">
        <f>AVERAGEIFS([3]!players[xp_per_min], [3]!players[name],A1169,[3]!players[hero_name],B1169)</f>
        <v>836</v>
      </c>
    </row>
    <row r="1170" spans="1:8" x14ac:dyDescent="0.3">
      <c r="A1170" t="str">
        <v>Malr1ne</v>
      </c>
      <c r="B1170" t="str">
        <v>Ember Spirit</v>
      </c>
      <c r="C1170" t="str" cm="1">
        <f t="array" ref="C1170">_xlfn.XLOOKUP(1,([3]!players[name]=A1170)*([3]!players[hero_name]=B1170),[3]!players[lane_name])</f>
        <v>Mid</v>
      </c>
      <c r="D1170">
        <f>COUNTIFS([3]!players[name],A1170,[3]!players[hero_name],B1170)</f>
        <v>1</v>
      </c>
      <c r="E1170">
        <f>COUNTIFS([3]!players[name],A1170,[3]!players[hero_name],B1170, [3]!players[win], 1)</f>
        <v>0</v>
      </c>
      <c r="F1170" s="1">
        <f t="shared" si="18"/>
        <v>0</v>
      </c>
      <c r="G1170" s="2">
        <f>AVERAGEIFS([3]!players[gold_per_min], [3]!players[name],A1170,[3]!players[hero_name],B1170)</f>
        <v>441</v>
      </c>
      <c r="H1170" s="2">
        <f>AVERAGEIFS([3]!players[xp_per_min], [3]!players[name],A1170,[3]!players[hero_name],B1170)</f>
        <v>612</v>
      </c>
    </row>
    <row r="1171" spans="1:8" x14ac:dyDescent="0.3">
      <c r="A1171" t="str">
        <v>mellojul</v>
      </c>
      <c r="B1171" t="str">
        <v>Keeper of the Light</v>
      </c>
      <c r="C1171" t="str" cm="1">
        <f t="array" ref="C1171">_xlfn.XLOOKUP(1,([3]!players[name]=A1171)*([3]!players[hero_name]=B1171),[3]!players[lane_name])</f>
        <v>Mid</v>
      </c>
      <c r="D1171">
        <f>COUNTIFS([3]!players[name],A1171,[3]!players[hero_name],B1171)</f>
        <v>10</v>
      </c>
      <c r="E1171">
        <f>COUNTIFS([3]!players[name],A1171,[3]!players[hero_name],B1171, [3]!players[win], 1)</f>
        <v>7</v>
      </c>
      <c r="F1171" s="1">
        <f t="shared" si="18"/>
        <v>0.7</v>
      </c>
      <c r="G1171" s="2">
        <f>AVERAGEIFS([3]!players[gold_per_min], [3]!players[name],A1171,[3]!players[hero_name],B1171)</f>
        <v>607.20000000000005</v>
      </c>
      <c r="H1171" s="2">
        <f>AVERAGEIFS([3]!players[xp_per_min], [3]!players[name],A1171,[3]!players[hero_name],B1171)</f>
        <v>737.6</v>
      </c>
    </row>
    <row r="1172" spans="1:8" x14ac:dyDescent="0.3">
      <c r="A1172" t="str">
        <v>mellojul</v>
      </c>
      <c r="B1172" t="str">
        <v>Razor</v>
      </c>
      <c r="C1172" t="str" cm="1">
        <f t="array" ref="C1172">_xlfn.XLOOKUP(1,([3]!players[name]=A1172)*([3]!players[hero_name]=B1172),[3]!players[lane_name])</f>
        <v>Mid</v>
      </c>
      <c r="D1172">
        <f>COUNTIFS([3]!players[name],A1172,[3]!players[hero_name],B1172)</f>
        <v>9</v>
      </c>
      <c r="E1172">
        <f>COUNTIFS([3]!players[name],A1172,[3]!players[hero_name],B1172, [3]!players[win], 1)</f>
        <v>5</v>
      </c>
      <c r="F1172" s="1">
        <f t="shared" si="18"/>
        <v>0.55555555555555558</v>
      </c>
      <c r="G1172" s="2">
        <f>AVERAGEIFS([3]!players[gold_per_min], [3]!players[name],A1172,[3]!players[hero_name],B1172)</f>
        <v>607.11111111111109</v>
      </c>
      <c r="H1172" s="2">
        <f>AVERAGEIFS([3]!players[xp_per_min], [3]!players[name],A1172,[3]!players[hero_name],B1172)</f>
        <v>755.88888888888891</v>
      </c>
    </row>
    <row r="1173" spans="1:8" x14ac:dyDescent="0.3">
      <c r="A1173" t="str">
        <v>mellojul</v>
      </c>
      <c r="B1173" t="str">
        <v>Ember Spirit</v>
      </c>
      <c r="C1173" t="str" cm="1">
        <f t="array" ref="C1173">_xlfn.XLOOKUP(1,([3]!players[name]=A1173)*([3]!players[hero_name]=B1173),[3]!players[lane_name])</f>
        <v>Mid</v>
      </c>
      <c r="D1173">
        <f>COUNTIFS([3]!players[name],A1173,[3]!players[hero_name],B1173)</f>
        <v>7</v>
      </c>
      <c r="E1173">
        <f>COUNTIFS([3]!players[name],A1173,[3]!players[hero_name],B1173, [3]!players[win], 1)</f>
        <v>2</v>
      </c>
      <c r="F1173" s="1">
        <f t="shared" si="18"/>
        <v>0.2857142857142857</v>
      </c>
      <c r="G1173" s="2">
        <f>AVERAGEIFS([3]!players[gold_per_min], [3]!players[name],A1173,[3]!players[hero_name],B1173)</f>
        <v>539.28571428571433</v>
      </c>
      <c r="H1173" s="2">
        <f>AVERAGEIFS([3]!players[xp_per_min], [3]!players[name],A1173,[3]!players[hero_name],B1173)</f>
        <v>764</v>
      </c>
    </row>
    <row r="1174" spans="1:8" x14ac:dyDescent="0.3">
      <c r="A1174" t="str">
        <v>mellojul</v>
      </c>
      <c r="B1174" t="str">
        <v>Huskar</v>
      </c>
      <c r="C1174" t="str" cm="1">
        <f t="array" ref="C1174">_xlfn.XLOOKUP(1,([3]!players[name]=A1174)*([3]!players[hero_name]=B1174),[3]!players[lane_name])</f>
        <v>Mid</v>
      </c>
      <c r="D1174">
        <f>COUNTIFS([3]!players[name],A1174,[3]!players[hero_name],B1174)</f>
        <v>2</v>
      </c>
      <c r="E1174">
        <f>COUNTIFS([3]!players[name],A1174,[3]!players[hero_name],B1174, [3]!players[win], 1)</f>
        <v>2</v>
      </c>
      <c r="F1174" s="1">
        <f t="shared" si="18"/>
        <v>1</v>
      </c>
      <c r="G1174" s="2">
        <f>AVERAGEIFS([3]!players[gold_per_min], [3]!players[name],A1174,[3]!players[hero_name],B1174)</f>
        <v>637</v>
      </c>
      <c r="H1174" s="2">
        <f>AVERAGEIFS([3]!players[xp_per_min], [3]!players[name],A1174,[3]!players[hero_name],B1174)</f>
        <v>734.5</v>
      </c>
    </row>
    <row r="1175" spans="1:8" x14ac:dyDescent="0.3">
      <c r="A1175" t="str">
        <v>mellojul</v>
      </c>
      <c r="B1175" t="str">
        <v>Pangolier</v>
      </c>
      <c r="C1175" t="str" cm="1">
        <f t="array" ref="C1175">_xlfn.XLOOKUP(1,([3]!players[name]=A1175)*([3]!players[hero_name]=B1175),[3]!players[lane_name])</f>
        <v>Mid</v>
      </c>
      <c r="D1175">
        <f>COUNTIFS([3]!players[name],A1175,[3]!players[hero_name],B1175)</f>
        <v>6</v>
      </c>
      <c r="E1175">
        <f>COUNTIFS([3]!players[name],A1175,[3]!players[hero_name],B1175, [3]!players[win], 1)</f>
        <v>3</v>
      </c>
      <c r="F1175" s="1">
        <f t="shared" si="18"/>
        <v>0.5</v>
      </c>
      <c r="G1175" s="2">
        <f>AVERAGEIFS([3]!players[gold_per_min], [3]!players[name],A1175,[3]!players[hero_name],B1175)</f>
        <v>565.5</v>
      </c>
      <c r="H1175" s="2">
        <f>AVERAGEIFS([3]!players[xp_per_min], [3]!players[name],A1175,[3]!players[hero_name],B1175)</f>
        <v>803.66666666666663</v>
      </c>
    </row>
    <row r="1176" spans="1:8" x14ac:dyDescent="0.3">
      <c r="A1176" t="str">
        <v>mellojul</v>
      </c>
      <c r="B1176" t="str">
        <v>Void Spirit</v>
      </c>
      <c r="C1176" t="str" cm="1">
        <f t="array" ref="C1176">_xlfn.XLOOKUP(1,([3]!players[name]=A1176)*([3]!players[hero_name]=B1176),[3]!players[lane_name])</f>
        <v>Mid</v>
      </c>
      <c r="D1176">
        <f>COUNTIFS([3]!players[name],A1176,[3]!players[hero_name],B1176)</f>
        <v>5</v>
      </c>
      <c r="E1176">
        <f>COUNTIFS([3]!players[name],A1176,[3]!players[hero_name],B1176, [3]!players[win], 1)</f>
        <v>4</v>
      </c>
      <c r="F1176" s="1">
        <f t="shared" si="18"/>
        <v>0.8</v>
      </c>
      <c r="G1176" s="2">
        <f>AVERAGEIFS([3]!players[gold_per_min], [3]!players[name],A1176,[3]!players[hero_name],B1176)</f>
        <v>583.4</v>
      </c>
      <c r="H1176" s="2">
        <f>AVERAGEIFS([3]!players[xp_per_min], [3]!players[name],A1176,[3]!players[hero_name],B1176)</f>
        <v>759.2</v>
      </c>
    </row>
    <row r="1177" spans="1:8" x14ac:dyDescent="0.3">
      <c r="A1177" t="str">
        <v>mellojul</v>
      </c>
      <c r="B1177" t="str">
        <v>Tiny</v>
      </c>
      <c r="C1177" t="str" cm="1">
        <f t="array" ref="C1177">_xlfn.XLOOKUP(1,([3]!players[name]=A1177)*([3]!players[hero_name]=B1177),[3]!players[lane_name])</f>
        <v>Mid</v>
      </c>
      <c r="D1177">
        <f>COUNTIFS([3]!players[name],A1177,[3]!players[hero_name],B1177)</f>
        <v>2</v>
      </c>
      <c r="E1177">
        <f>COUNTIFS([3]!players[name],A1177,[3]!players[hero_name],B1177, [3]!players[win], 1)</f>
        <v>2</v>
      </c>
      <c r="F1177" s="1">
        <f t="shared" si="18"/>
        <v>1</v>
      </c>
      <c r="G1177" s="2">
        <f>AVERAGEIFS([3]!players[gold_per_min], [3]!players[name],A1177,[3]!players[hero_name],B1177)</f>
        <v>637</v>
      </c>
      <c r="H1177" s="2">
        <f>AVERAGEIFS([3]!players[xp_per_min], [3]!players[name],A1177,[3]!players[hero_name],B1177)</f>
        <v>915</v>
      </c>
    </row>
    <row r="1178" spans="1:8" x14ac:dyDescent="0.3">
      <c r="A1178" t="str">
        <v>mellojul</v>
      </c>
      <c r="B1178" t="str">
        <v>Beastmaster</v>
      </c>
      <c r="C1178" t="str" cm="1">
        <f t="array" ref="C1178">_xlfn.XLOOKUP(1,([3]!players[name]=A1178)*([3]!players[hero_name]=B1178),[3]!players[lane_name])</f>
        <v>Mid</v>
      </c>
      <c r="D1178">
        <f>COUNTIFS([3]!players[name],A1178,[3]!players[hero_name],B1178)</f>
        <v>8</v>
      </c>
      <c r="E1178">
        <f>COUNTIFS([3]!players[name],A1178,[3]!players[hero_name],B1178, [3]!players[win], 1)</f>
        <v>3</v>
      </c>
      <c r="F1178" s="1">
        <f t="shared" si="18"/>
        <v>0.375</v>
      </c>
      <c r="G1178" s="2">
        <f>AVERAGEIFS([3]!players[gold_per_min], [3]!players[name],A1178,[3]!players[hero_name],B1178)</f>
        <v>630.375</v>
      </c>
      <c r="H1178" s="2">
        <f>AVERAGEIFS([3]!players[xp_per_min], [3]!players[name],A1178,[3]!players[hero_name],B1178)</f>
        <v>841.75</v>
      </c>
    </row>
    <row r="1179" spans="1:8" x14ac:dyDescent="0.3">
      <c r="A1179" t="str">
        <v>mellojul</v>
      </c>
      <c r="B1179" t="str">
        <v>Death Prophet</v>
      </c>
      <c r="C1179" t="str" cm="1">
        <f t="array" ref="C1179">_xlfn.XLOOKUP(1,([3]!players[name]=A1179)*([3]!players[hero_name]=B1179),[3]!players[lane_name])</f>
        <v>Mid</v>
      </c>
      <c r="D1179">
        <f>COUNTIFS([3]!players[name],A1179,[3]!players[hero_name],B1179)</f>
        <v>2</v>
      </c>
      <c r="E1179">
        <f>COUNTIFS([3]!players[name],A1179,[3]!players[hero_name],B1179, [3]!players[win], 1)</f>
        <v>0</v>
      </c>
      <c r="F1179" s="1">
        <f t="shared" si="18"/>
        <v>0</v>
      </c>
      <c r="G1179" s="2">
        <f>AVERAGEIFS([3]!players[gold_per_min], [3]!players[name],A1179,[3]!players[hero_name],B1179)</f>
        <v>563.5</v>
      </c>
      <c r="H1179" s="2">
        <f>AVERAGEIFS([3]!players[xp_per_min], [3]!players[name],A1179,[3]!players[hero_name],B1179)</f>
        <v>714.5</v>
      </c>
    </row>
    <row r="1180" spans="1:8" x14ac:dyDescent="0.3">
      <c r="A1180" t="str">
        <v>mellojul</v>
      </c>
      <c r="B1180" t="str">
        <v>Slardar</v>
      </c>
      <c r="C1180" t="str" cm="1">
        <f t="array" ref="C1180">_xlfn.XLOOKUP(1,([3]!players[name]=A1180)*([3]!players[hero_name]=B1180),[3]!players[lane_name])</f>
        <v>Mid</v>
      </c>
      <c r="D1180">
        <f>COUNTIFS([3]!players[name],A1180,[3]!players[hero_name],B1180)</f>
        <v>3</v>
      </c>
      <c r="E1180">
        <f>COUNTIFS([3]!players[name],A1180,[3]!players[hero_name],B1180, [3]!players[win], 1)</f>
        <v>2</v>
      </c>
      <c r="F1180" s="1">
        <f t="shared" si="18"/>
        <v>0.66666666666666663</v>
      </c>
      <c r="G1180" s="2">
        <f>AVERAGEIFS([3]!players[gold_per_min], [3]!players[name],A1180,[3]!players[hero_name],B1180)</f>
        <v>489.33333333333331</v>
      </c>
      <c r="H1180" s="2">
        <f>AVERAGEIFS([3]!players[xp_per_min], [3]!players[name],A1180,[3]!players[hero_name],B1180)</f>
        <v>562.66666666666663</v>
      </c>
    </row>
    <row r="1181" spans="1:8" x14ac:dyDescent="0.3">
      <c r="A1181" t="str">
        <v>mellojul</v>
      </c>
      <c r="B1181" t="str">
        <v>Queen of Pain</v>
      </c>
      <c r="C1181" t="str" cm="1">
        <f t="array" ref="C1181">_xlfn.XLOOKUP(1,([3]!players[name]=A1181)*([3]!players[hero_name]=B1181),[3]!players[lane_name])</f>
        <v>Mid</v>
      </c>
      <c r="D1181">
        <f>COUNTIFS([3]!players[name],A1181,[3]!players[hero_name],B1181)</f>
        <v>5</v>
      </c>
      <c r="E1181">
        <f>COUNTIFS([3]!players[name],A1181,[3]!players[hero_name],B1181, [3]!players[win], 1)</f>
        <v>4</v>
      </c>
      <c r="F1181" s="1">
        <f t="shared" si="18"/>
        <v>0.8</v>
      </c>
      <c r="G1181" s="2">
        <f>AVERAGEIFS([3]!players[gold_per_min], [3]!players[name],A1181,[3]!players[hero_name],B1181)</f>
        <v>559</v>
      </c>
      <c r="H1181" s="2">
        <f>AVERAGEIFS([3]!players[xp_per_min], [3]!players[name],A1181,[3]!players[hero_name],B1181)</f>
        <v>747.6</v>
      </c>
    </row>
    <row r="1182" spans="1:8" x14ac:dyDescent="0.3">
      <c r="A1182" t="str">
        <v>mellojul</v>
      </c>
      <c r="B1182" t="str">
        <v>Storm Spirit</v>
      </c>
      <c r="C1182" t="str" cm="1">
        <f t="array" ref="C1182">_xlfn.XLOOKUP(1,([3]!players[name]=A1182)*([3]!players[hero_name]=B1182),[3]!players[lane_name])</f>
        <v>Mid</v>
      </c>
      <c r="D1182">
        <f>COUNTIFS([3]!players[name],A1182,[3]!players[hero_name],B1182)</f>
        <v>1</v>
      </c>
      <c r="E1182">
        <f>COUNTIFS([3]!players[name],A1182,[3]!players[hero_name],B1182, [3]!players[win], 1)</f>
        <v>0</v>
      </c>
      <c r="F1182" s="1">
        <f t="shared" si="18"/>
        <v>0</v>
      </c>
      <c r="G1182" s="2">
        <f>AVERAGEIFS([3]!players[gold_per_min], [3]!players[name],A1182,[3]!players[hero_name],B1182)</f>
        <v>493</v>
      </c>
      <c r="H1182" s="2">
        <f>AVERAGEIFS([3]!players[xp_per_min], [3]!players[name],A1182,[3]!players[hero_name],B1182)</f>
        <v>621</v>
      </c>
    </row>
    <row r="1183" spans="1:8" x14ac:dyDescent="0.3">
      <c r="A1183" t="str">
        <v>mellojul</v>
      </c>
      <c r="B1183" t="str">
        <v>Sand King</v>
      </c>
      <c r="C1183" t="str" cm="1">
        <f t="array" ref="C1183">_xlfn.XLOOKUP(1,([3]!players[name]=A1183)*([3]!players[hero_name]=B1183),[3]!players[lane_name])</f>
        <v>Mid</v>
      </c>
      <c r="D1183">
        <f>COUNTIFS([3]!players[name],A1183,[3]!players[hero_name],B1183)</f>
        <v>1</v>
      </c>
      <c r="E1183">
        <f>COUNTIFS([3]!players[name],A1183,[3]!players[hero_name],B1183, [3]!players[win], 1)</f>
        <v>0</v>
      </c>
      <c r="F1183" s="1">
        <f t="shared" si="18"/>
        <v>0</v>
      </c>
      <c r="G1183" s="2">
        <f>AVERAGEIFS([3]!players[gold_per_min], [3]!players[name],A1183,[3]!players[hero_name],B1183)</f>
        <v>400</v>
      </c>
      <c r="H1183" s="2">
        <f>AVERAGEIFS([3]!players[xp_per_min], [3]!players[name],A1183,[3]!players[hero_name],B1183)</f>
        <v>547</v>
      </c>
    </row>
    <row r="1184" spans="1:8" x14ac:dyDescent="0.3">
      <c r="A1184" t="str">
        <v>MieRo</v>
      </c>
      <c r="B1184" t="str">
        <v>Dawnbreaker</v>
      </c>
      <c r="C1184" t="str" cm="1">
        <f t="array" ref="C1184">_xlfn.XLOOKUP(1,([3]!players[name]=A1184)*([3]!players[hero_name]=B1184),[3]!players[lane_name])</f>
        <v>Off Lane</v>
      </c>
      <c r="D1184">
        <f>COUNTIFS([3]!players[name],A1184,[3]!players[hero_name],B1184)</f>
        <v>6</v>
      </c>
      <c r="E1184">
        <f>COUNTIFS([3]!players[name],A1184,[3]!players[hero_name],B1184, [3]!players[win], 1)</f>
        <v>5</v>
      </c>
      <c r="F1184" s="1">
        <f t="shared" si="18"/>
        <v>0.83333333333333337</v>
      </c>
      <c r="G1184" s="2">
        <f>AVERAGEIFS([3]!players[gold_per_min], [3]!players[name],A1184,[3]!players[hero_name],B1184)</f>
        <v>658.33333333333337</v>
      </c>
      <c r="H1184" s="2">
        <f>AVERAGEIFS([3]!players[xp_per_min], [3]!players[name],A1184,[3]!players[hero_name],B1184)</f>
        <v>924.5</v>
      </c>
    </row>
    <row r="1185" spans="1:8" x14ac:dyDescent="0.3">
      <c r="A1185" t="str">
        <v>MieRo</v>
      </c>
      <c r="B1185" t="str">
        <v>Axe</v>
      </c>
      <c r="C1185" t="str" cm="1">
        <f t="array" ref="C1185">_xlfn.XLOOKUP(1,([3]!players[name]=A1185)*([3]!players[hero_name]=B1185),[3]!players[lane_name])</f>
        <v>Off Lane</v>
      </c>
      <c r="D1185">
        <f>COUNTIFS([3]!players[name],A1185,[3]!players[hero_name],B1185)</f>
        <v>4</v>
      </c>
      <c r="E1185">
        <f>COUNTIFS([3]!players[name],A1185,[3]!players[hero_name],B1185, [3]!players[win], 1)</f>
        <v>4</v>
      </c>
      <c r="F1185" s="1">
        <f t="shared" si="18"/>
        <v>1</v>
      </c>
      <c r="G1185" s="2">
        <f>AVERAGEIFS([3]!players[gold_per_min], [3]!players[name],A1185,[3]!players[hero_name],B1185)</f>
        <v>606.25</v>
      </c>
      <c r="H1185" s="2">
        <f>AVERAGEIFS([3]!players[xp_per_min], [3]!players[name],A1185,[3]!players[hero_name],B1185)</f>
        <v>874.25</v>
      </c>
    </row>
    <row r="1186" spans="1:8" x14ac:dyDescent="0.3">
      <c r="A1186" t="str">
        <v>MieRo</v>
      </c>
      <c r="B1186" t="str">
        <v>Doom</v>
      </c>
      <c r="C1186" t="str" cm="1">
        <f t="array" ref="C1186">_xlfn.XLOOKUP(1,([3]!players[name]=A1186)*([3]!players[hero_name]=B1186),[3]!players[lane_name])</f>
        <v>Off Lane</v>
      </c>
      <c r="D1186">
        <f>COUNTIFS([3]!players[name],A1186,[3]!players[hero_name],B1186)</f>
        <v>1</v>
      </c>
      <c r="E1186">
        <f>COUNTIFS([3]!players[name],A1186,[3]!players[hero_name],B1186, [3]!players[win], 1)</f>
        <v>0</v>
      </c>
      <c r="F1186" s="1">
        <f t="shared" si="18"/>
        <v>0</v>
      </c>
      <c r="G1186" s="2">
        <f>AVERAGEIFS([3]!players[gold_per_min], [3]!players[name],A1186,[3]!players[hero_name],B1186)</f>
        <v>519</v>
      </c>
      <c r="H1186" s="2">
        <f>AVERAGEIFS([3]!players[xp_per_min], [3]!players[name],A1186,[3]!players[hero_name],B1186)</f>
        <v>512</v>
      </c>
    </row>
    <row r="1187" spans="1:8" x14ac:dyDescent="0.3">
      <c r="A1187" t="str">
        <v>MieRo</v>
      </c>
      <c r="B1187" t="str">
        <v>Beastmaster</v>
      </c>
      <c r="C1187" t="str" cm="1">
        <f t="array" ref="C1187">_xlfn.XLOOKUP(1,([3]!players[name]=A1187)*([3]!players[hero_name]=B1187),[3]!players[lane_name])</f>
        <v>Off Lane</v>
      </c>
      <c r="D1187">
        <f>COUNTIFS([3]!players[name],A1187,[3]!players[hero_name],B1187)</f>
        <v>3</v>
      </c>
      <c r="E1187">
        <f>COUNTIFS([3]!players[name],A1187,[3]!players[hero_name],B1187, [3]!players[win], 1)</f>
        <v>3</v>
      </c>
      <c r="F1187" s="1">
        <f t="shared" si="18"/>
        <v>1</v>
      </c>
      <c r="G1187" s="2">
        <f>AVERAGEIFS([3]!players[gold_per_min], [3]!players[name],A1187,[3]!players[hero_name],B1187)</f>
        <v>680.66666666666663</v>
      </c>
      <c r="H1187" s="2">
        <f>AVERAGEIFS([3]!players[xp_per_min], [3]!players[name],A1187,[3]!players[hero_name],B1187)</f>
        <v>881.66666666666663</v>
      </c>
    </row>
    <row r="1188" spans="1:8" x14ac:dyDescent="0.3">
      <c r="A1188" t="str">
        <v>MieRo</v>
      </c>
      <c r="B1188" t="str">
        <v>Phoenix</v>
      </c>
      <c r="C1188" t="str" cm="1">
        <f t="array" ref="C1188">_xlfn.XLOOKUP(1,([3]!players[name]=A1188)*([3]!players[hero_name]=B1188),[3]!players[lane_name])</f>
        <v>Off Lane</v>
      </c>
      <c r="D1188">
        <f>COUNTIFS([3]!players[name],A1188,[3]!players[hero_name],B1188)</f>
        <v>1</v>
      </c>
      <c r="E1188">
        <f>COUNTIFS([3]!players[name],A1188,[3]!players[hero_name],B1188, [3]!players[win], 1)</f>
        <v>1</v>
      </c>
      <c r="F1188" s="1">
        <f t="shared" si="18"/>
        <v>1</v>
      </c>
      <c r="G1188" s="2">
        <f>AVERAGEIFS([3]!players[gold_per_min], [3]!players[name],A1188,[3]!players[hero_name],B1188)</f>
        <v>622</v>
      </c>
      <c r="H1188" s="2">
        <f>AVERAGEIFS([3]!players[xp_per_min], [3]!players[name],A1188,[3]!players[hero_name],B1188)</f>
        <v>909</v>
      </c>
    </row>
    <row r="1189" spans="1:8" x14ac:dyDescent="0.3">
      <c r="A1189" t="str">
        <v>MieRo</v>
      </c>
      <c r="B1189" t="str">
        <v>Tidehunter</v>
      </c>
      <c r="C1189" t="str" cm="1">
        <f t="array" ref="C1189">_xlfn.XLOOKUP(1,([3]!players[name]=A1189)*([3]!players[hero_name]=B1189),[3]!players[lane_name])</f>
        <v>Off Lane</v>
      </c>
      <c r="D1189">
        <f>COUNTIFS([3]!players[name],A1189,[3]!players[hero_name],B1189)</f>
        <v>5</v>
      </c>
      <c r="E1189">
        <f>COUNTIFS([3]!players[name],A1189,[3]!players[hero_name],B1189, [3]!players[win], 1)</f>
        <v>5</v>
      </c>
      <c r="F1189" s="1">
        <f t="shared" si="18"/>
        <v>1</v>
      </c>
      <c r="G1189" s="2">
        <f>AVERAGEIFS([3]!players[gold_per_min], [3]!players[name],A1189,[3]!players[hero_name],B1189)</f>
        <v>609.6</v>
      </c>
      <c r="H1189" s="2">
        <f>AVERAGEIFS([3]!players[xp_per_min], [3]!players[name],A1189,[3]!players[hero_name],B1189)</f>
        <v>812.8</v>
      </c>
    </row>
    <row r="1190" spans="1:8" x14ac:dyDescent="0.3">
      <c r="A1190" t="str">
        <v>MieRo</v>
      </c>
      <c r="B1190" t="str">
        <v>Timbersaw</v>
      </c>
      <c r="C1190" t="str" cm="1">
        <f t="array" ref="C1190">_xlfn.XLOOKUP(1,([3]!players[name]=A1190)*([3]!players[hero_name]=B1190),[3]!players[lane_name])</f>
        <v>Off Lane</v>
      </c>
      <c r="D1190">
        <f>COUNTIFS([3]!players[name],A1190,[3]!players[hero_name],B1190)</f>
        <v>2</v>
      </c>
      <c r="E1190">
        <f>COUNTIFS([3]!players[name],A1190,[3]!players[hero_name],B1190, [3]!players[win], 1)</f>
        <v>1</v>
      </c>
      <c r="F1190" s="1">
        <f t="shared" si="18"/>
        <v>0.5</v>
      </c>
      <c r="G1190" s="2">
        <f>AVERAGEIFS([3]!players[gold_per_min], [3]!players[name],A1190,[3]!players[hero_name],B1190)</f>
        <v>657.5</v>
      </c>
      <c r="H1190" s="2">
        <f>AVERAGEIFS([3]!players[xp_per_min], [3]!players[name],A1190,[3]!players[hero_name],B1190)</f>
        <v>916.5</v>
      </c>
    </row>
    <row r="1191" spans="1:8" x14ac:dyDescent="0.3">
      <c r="A1191" t="str">
        <v>MieRo</v>
      </c>
      <c r="B1191" t="str">
        <v>Brewmaster</v>
      </c>
      <c r="C1191" t="str" cm="1">
        <f t="array" ref="C1191">_xlfn.XLOOKUP(1,([3]!players[name]=A1191)*([3]!players[hero_name]=B1191),[3]!players[lane_name])</f>
        <v>Off Lane</v>
      </c>
      <c r="D1191">
        <f>COUNTIFS([3]!players[name],A1191,[3]!players[hero_name],B1191)</f>
        <v>1</v>
      </c>
      <c r="E1191">
        <f>COUNTIFS([3]!players[name],A1191,[3]!players[hero_name],B1191, [3]!players[win], 1)</f>
        <v>0</v>
      </c>
      <c r="F1191" s="1">
        <f t="shared" si="18"/>
        <v>0</v>
      </c>
      <c r="G1191" s="2">
        <f>AVERAGEIFS([3]!players[gold_per_min], [3]!players[name],A1191,[3]!players[hero_name],B1191)</f>
        <v>813</v>
      </c>
      <c r="H1191" s="2">
        <f>AVERAGEIFS([3]!players[xp_per_min], [3]!players[name],A1191,[3]!players[hero_name],B1191)</f>
        <v>1003</v>
      </c>
    </row>
    <row r="1192" spans="1:8" x14ac:dyDescent="0.3">
      <c r="A1192" t="str">
        <v>MieRo</v>
      </c>
      <c r="B1192" t="str">
        <v>Underlord</v>
      </c>
      <c r="C1192" t="str" cm="1">
        <f t="array" ref="C1192">_xlfn.XLOOKUP(1,([3]!players[name]=A1192)*([3]!players[hero_name]=B1192),[3]!players[lane_name])</f>
        <v>Off Lane</v>
      </c>
      <c r="D1192">
        <f>COUNTIFS([3]!players[name],A1192,[3]!players[hero_name],B1192)</f>
        <v>2</v>
      </c>
      <c r="E1192">
        <f>COUNTIFS([3]!players[name],A1192,[3]!players[hero_name],B1192, [3]!players[win], 1)</f>
        <v>2</v>
      </c>
      <c r="F1192" s="1">
        <f t="shared" si="18"/>
        <v>1</v>
      </c>
      <c r="G1192" s="2">
        <f>AVERAGEIFS([3]!players[gold_per_min], [3]!players[name],A1192,[3]!players[hero_name],B1192)</f>
        <v>580</v>
      </c>
      <c r="H1192" s="2">
        <f>AVERAGEIFS([3]!players[xp_per_min], [3]!players[name],A1192,[3]!players[hero_name],B1192)</f>
        <v>709</v>
      </c>
    </row>
    <row r="1193" spans="1:8" x14ac:dyDescent="0.3">
      <c r="A1193" t="str">
        <v>MieRo</v>
      </c>
      <c r="B1193" t="str">
        <v>Centaur Warrunner</v>
      </c>
      <c r="C1193" t="str" cm="1">
        <f t="array" ref="C1193">_xlfn.XLOOKUP(1,([3]!players[name]=A1193)*([3]!players[hero_name]=B1193),[3]!players[lane_name])</f>
        <v>Off Lane</v>
      </c>
      <c r="D1193">
        <f>COUNTIFS([3]!players[name],A1193,[3]!players[hero_name],B1193)</f>
        <v>2</v>
      </c>
      <c r="E1193">
        <f>COUNTIFS([3]!players[name],A1193,[3]!players[hero_name],B1193, [3]!players[win], 1)</f>
        <v>1</v>
      </c>
      <c r="F1193" s="1">
        <f t="shared" si="18"/>
        <v>0.5</v>
      </c>
      <c r="G1193" s="2">
        <f>AVERAGEIFS([3]!players[gold_per_min], [3]!players[name],A1193,[3]!players[hero_name],B1193)</f>
        <v>578</v>
      </c>
      <c r="H1193" s="2">
        <f>AVERAGEIFS([3]!players[xp_per_min], [3]!players[name],A1193,[3]!players[hero_name],B1193)</f>
        <v>663.5</v>
      </c>
    </row>
    <row r="1194" spans="1:8" x14ac:dyDescent="0.3">
      <c r="A1194" t="str">
        <v>MieRo</v>
      </c>
      <c r="B1194" t="str">
        <v>Slardar</v>
      </c>
      <c r="C1194" t="str" cm="1">
        <f t="array" ref="C1194">_xlfn.XLOOKUP(1,([3]!players[name]=A1194)*([3]!players[hero_name]=B1194),[3]!players[lane_name])</f>
        <v>Off Lane</v>
      </c>
      <c r="D1194">
        <f>COUNTIFS([3]!players[name],A1194,[3]!players[hero_name],B1194)</f>
        <v>1</v>
      </c>
      <c r="E1194">
        <f>COUNTIFS([3]!players[name],A1194,[3]!players[hero_name],B1194, [3]!players[win], 1)</f>
        <v>1</v>
      </c>
      <c r="F1194" s="1">
        <f t="shared" si="18"/>
        <v>1</v>
      </c>
      <c r="G1194" s="2">
        <f>AVERAGEIFS([3]!players[gold_per_min], [3]!players[name],A1194,[3]!players[hero_name],B1194)</f>
        <v>556</v>
      </c>
      <c r="H1194" s="2">
        <f>AVERAGEIFS([3]!players[xp_per_min], [3]!players[name],A1194,[3]!players[hero_name],B1194)</f>
        <v>723</v>
      </c>
    </row>
    <row r="1195" spans="1:8" x14ac:dyDescent="0.3">
      <c r="A1195" t="str">
        <v>MieRo</v>
      </c>
      <c r="B1195" t="str">
        <v>Undying</v>
      </c>
      <c r="C1195" t="str" cm="1">
        <f t="array" ref="C1195">_xlfn.XLOOKUP(1,([3]!players[name]=A1195)*([3]!players[hero_name]=B1195),[3]!players[lane_name])</f>
        <v>Off Lane</v>
      </c>
      <c r="D1195">
        <f>COUNTIFS([3]!players[name],A1195,[3]!players[hero_name],B1195)</f>
        <v>1</v>
      </c>
      <c r="E1195">
        <f>COUNTIFS([3]!players[name],A1195,[3]!players[hero_name],B1195, [3]!players[win], 1)</f>
        <v>0</v>
      </c>
      <c r="F1195" s="1">
        <f t="shared" si="18"/>
        <v>0</v>
      </c>
      <c r="G1195" s="2">
        <f>AVERAGEIFS([3]!players[gold_per_min], [3]!players[name],A1195,[3]!players[hero_name],B1195)</f>
        <v>559</v>
      </c>
      <c r="H1195" s="2">
        <f>AVERAGEIFS([3]!players[xp_per_min], [3]!players[name],A1195,[3]!players[hero_name],B1195)</f>
        <v>640</v>
      </c>
    </row>
    <row r="1196" spans="1:8" x14ac:dyDescent="0.3">
      <c r="A1196" t="str">
        <v>MieRo</v>
      </c>
      <c r="B1196" t="str">
        <v>Lycan</v>
      </c>
      <c r="C1196" t="str" cm="1">
        <f t="array" ref="C1196">_xlfn.XLOOKUP(1,([3]!players[name]=A1196)*([3]!players[hero_name]=B1196),[3]!players[lane_name])</f>
        <v>Off Lane</v>
      </c>
      <c r="D1196">
        <f>COUNTIFS([3]!players[name],A1196,[3]!players[hero_name],B1196)</f>
        <v>1</v>
      </c>
      <c r="E1196">
        <f>COUNTIFS([3]!players[name],A1196,[3]!players[hero_name],B1196, [3]!players[win], 1)</f>
        <v>1</v>
      </c>
      <c r="F1196" s="1">
        <f t="shared" si="18"/>
        <v>1</v>
      </c>
      <c r="G1196" s="2">
        <f>AVERAGEIFS([3]!players[gold_per_min], [3]!players[name],A1196,[3]!players[hero_name],B1196)</f>
        <v>630</v>
      </c>
      <c r="H1196" s="2">
        <f>AVERAGEIFS([3]!players[xp_per_min], [3]!players[name],A1196,[3]!players[hero_name],B1196)</f>
        <v>623</v>
      </c>
    </row>
    <row r="1197" spans="1:8" x14ac:dyDescent="0.3">
      <c r="A1197" t="str">
        <v>MieRo</v>
      </c>
      <c r="B1197" t="str">
        <v>Bristleback</v>
      </c>
      <c r="C1197" t="str" cm="1">
        <f t="array" ref="C1197">_xlfn.XLOOKUP(1,([3]!players[name]=A1197)*([3]!players[hero_name]=B1197),[3]!players[lane_name])</f>
        <v>Off Lane</v>
      </c>
      <c r="D1197">
        <f>COUNTIFS([3]!players[name],A1197,[3]!players[hero_name],B1197)</f>
        <v>1</v>
      </c>
      <c r="E1197">
        <f>COUNTIFS([3]!players[name],A1197,[3]!players[hero_name],B1197, [3]!players[win], 1)</f>
        <v>0</v>
      </c>
      <c r="F1197" s="1">
        <f t="shared" si="18"/>
        <v>0</v>
      </c>
      <c r="G1197" s="2">
        <f>AVERAGEIFS([3]!players[gold_per_min], [3]!players[name],A1197,[3]!players[hero_name],B1197)</f>
        <v>576</v>
      </c>
      <c r="H1197" s="2">
        <f>AVERAGEIFS([3]!players[xp_per_min], [3]!players[name],A1197,[3]!players[hero_name],B1197)</f>
        <v>721</v>
      </c>
    </row>
    <row r="1198" spans="1:8" x14ac:dyDescent="0.3">
      <c r="A1198" t="str">
        <v>MieRo</v>
      </c>
      <c r="B1198" t="str">
        <v>Batrider</v>
      </c>
      <c r="C1198" t="str" cm="1">
        <f t="array" ref="C1198">_xlfn.XLOOKUP(1,([3]!players[name]=A1198)*([3]!players[hero_name]=B1198),[3]!players[lane_name])</f>
        <v>Off Lane</v>
      </c>
      <c r="D1198">
        <f>COUNTIFS([3]!players[name],A1198,[3]!players[hero_name],B1198)</f>
        <v>1</v>
      </c>
      <c r="E1198">
        <f>COUNTIFS([3]!players[name],A1198,[3]!players[hero_name],B1198, [3]!players[win], 1)</f>
        <v>1</v>
      </c>
      <c r="F1198" s="1">
        <f t="shared" si="18"/>
        <v>1</v>
      </c>
      <c r="G1198" s="2">
        <f>AVERAGEIFS([3]!players[gold_per_min], [3]!players[name],A1198,[3]!players[hero_name],B1198)</f>
        <v>597</v>
      </c>
      <c r="H1198" s="2">
        <f>AVERAGEIFS([3]!players[xp_per_min], [3]!players[name],A1198,[3]!players[hero_name],B1198)</f>
        <v>798</v>
      </c>
    </row>
    <row r="1199" spans="1:8" x14ac:dyDescent="0.3">
      <c r="A1199" t="str">
        <v>MieRo</v>
      </c>
      <c r="B1199" t="str">
        <v>Enigma</v>
      </c>
      <c r="C1199" t="str" cm="1">
        <f t="array" ref="C1199">_xlfn.XLOOKUP(1,([3]!players[name]=A1199)*([3]!players[hero_name]=B1199),[3]!players[lane_name])</f>
        <v>Off Lane</v>
      </c>
      <c r="D1199">
        <f>COUNTIFS([3]!players[name],A1199,[3]!players[hero_name],B1199)</f>
        <v>1</v>
      </c>
      <c r="E1199">
        <f>COUNTIFS([3]!players[name],A1199,[3]!players[hero_name],B1199, [3]!players[win], 1)</f>
        <v>1</v>
      </c>
      <c r="F1199" s="1">
        <f t="shared" si="18"/>
        <v>1</v>
      </c>
      <c r="G1199" s="2">
        <f>AVERAGEIFS([3]!players[gold_per_min], [3]!players[name],A1199,[3]!players[hero_name],B1199)</f>
        <v>730</v>
      </c>
      <c r="H1199" s="2">
        <f>AVERAGEIFS([3]!players[xp_per_min], [3]!players[name],A1199,[3]!players[hero_name],B1199)</f>
        <v>709</v>
      </c>
    </row>
    <row r="1200" spans="1:8" x14ac:dyDescent="0.3">
      <c r="A1200" t="str">
        <v>MieRo</v>
      </c>
      <c r="B1200" t="str">
        <v>Largo</v>
      </c>
      <c r="C1200" t="str" cm="1">
        <f t="array" ref="C1200">_xlfn.XLOOKUP(1,([3]!players[name]=A1200)*([3]!players[hero_name]=B1200),[3]!players[lane_name])</f>
        <v>Off Lane</v>
      </c>
      <c r="D1200">
        <f>COUNTIFS([3]!players[name],A1200,[3]!players[hero_name],B1200)</f>
        <v>1</v>
      </c>
      <c r="E1200">
        <f>COUNTIFS([3]!players[name],A1200,[3]!players[hero_name],B1200, [3]!players[win], 1)</f>
        <v>1</v>
      </c>
      <c r="F1200" s="1">
        <f t="shared" si="18"/>
        <v>1</v>
      </c>
      <c r="G1200" s="2">
        <f>AVERAGEIFS([3]!players[gold_per_min], [3]!players[name],A1200,[3]!players[hero_name],B1200)</f>
        <v>539</v>
      </c>
      <c r="H1200" s="2">
        <f>AVERAGEIFS([3]!players[xp_per_min], [3]!players[name],A1200,[3]!players[hero_name],B1200)</f>
        <v>811</v>
      </c>
    </row>
    <row r="1201" spans="1:8" x14ac:dyDescent="0.3">
      <c r="A1201" t="str">
        <v>Mikoto</v>
      </c>
      <c r="B1201" t="str">
        <v>Puck</v>
      </c>
      <c r="C1201" t="str" cm="1">
        <f t="array" ref="C1201">_xlfn.XLOOKUP(1,([3]!players[name]=A1201)*([3]!players[hero_name]=B1201),[3]!players[lane_name])</f>
        <v>Mid</v>
      </c>
      <c r="D1201">
        <f>COUNTIFS([3]!players[name],A1201,[3]!players[hero_name],B1201)</f>
        <v>9</v>
      </c>
      <c r="E1201">
        <f>COUNTIFS([3]!players[name],A1201,[3]!players[hero_name],B1201, [3]!players[win], 1)</f>
        <v>8</v>
      </c>
      <c r="F1201" s="1">
        <f t="shared" si="18"/>
        <v>0.88888888888888884</v>
      </c>
      <c r="G1201" s="2">
        <f>AVERAGEIFS([3]!players[gold_per_min], [3]!players[name],A1201,[3]!players[hero_name],B1201)</f>
        <v>658.77777777777783</v>
      </c>
      <c r="H1201" s="2">
        <f>AVERAGEIFS([3]!players[xp_per_min], [3]!players[name],A1201,[3]!players[hero_name],B1201)</f>
        <v>944.22222222222217</v>
      </c>
    </row>
    <row r="1202" spans="1:8" x14ac:dyDescent="0.3">
      <c r="A1202" t="str">
        <v>Mikoto</v>
      </c>
      <c r="B1202" t="str">
        <v>Pangolier</v>
      </c>
      <c r="C1202" t="str" cm="1">
        <f t="array" ref="C1202">_xlfn.XLOOKUP(1,([3]!players[name]=A1202)*([3]!players[hero_name]=B1202),[3]!players[lane_name])</f>
        <v>Mid</v>
      </c>
      <c r="D1202">
        <f>COUNTIFS([3]!players[name],A1202,[3]!players[hero_name],B1202)</f>
        <v>2</v>
      </c>
      <c r="E1202">
        <f>COUNTIFS([3]!players[name],A1202,[3]!players[hero_name],B1202, [3]!players[win], 1)</f>
        <v>1</v>
      </c>
      <c r="F1202" s="1">
        <f t="shared" si="18"/>
        <v>0.5</v>
      </c>
      <c r="G1202" s="2">
        <f>AVERAGEIFS([3]!players[gold_per_min], [3]!players[name],A1202,[3]!players[hero_name],B1202)</f>
        <v>558.5</v>
      </c>
      <c r="H1202" s="2">
        <f>AVERAGEIFS([3]!players[xp_per_min], [3]!players[name],A1202,[3]!players[hero_name],B1202)</f>
        <v>736</v>
      </c>
    </row>
    <row r="1203" spans="1:8" x14ac:dyDescent="0.3">
      <c r="A1203" t="str">
        <v>Mikoto</v>
      </c>
      <c r="B1203" t="str">
        <v>Storm Spirit</v>
      </c>
      <c r="C1203" t="str" cm="1">
        <f t="array" ref="C1203">_xlfn.XLOOKUP(1,([3]!players[name]=A1203)*([3]!players[hero_name]=B1203),[3]!players[lane_name])</f>
        <v>Mid</v>
      </c>
      <c r="D1203">
        <f>COUNTIFS([3]!players[name],A1203,[3]!players[hero_name],B1203)</f>
        <v>4</v>
      </c>
      <c r="E1203">
        <f>COUNTIFS([3]!players[name],A1203,[3]!players[hero_name],B1203, [3]!players[win], 1)</f>
        <v>3</v>
      </c>
      <c r="F1203" s="1">
        <f t="shared" si="18"/>
        <v>0.75</v>
      </c>
      <c r="G1203" s="2">
        <f>AVERAGEIFS([3]!players[gold_per_min], [3]!players[name],A1203,[3]!players[hero_name],B1203)</f>
        <v>598.5</v>
      </c>
      <c r="H1203" s="2">
        <f>AVERAGEIFS([3]!players[xp_per_min], [3]!players[name],A1203,[3]!players[hero_name],B1203)</f>
        <v>781.25</v>
      </c>
    </row>
    <row r="1204" spans="1:8" x14ac:dyDescent="0.3">
      <c r="A1204" t="str">
        <v>Mikoto</v>
      </c>
      <c r="B1204" t="str">
        <v>Void Spirit</v>
      </c>
      <c r="C1204" t="str" cm="1">
        <f t="array" ref="C1204">_xlfn.XLOOKUP(1,([3]!players[name]=A1204)*([3]!players[hero_name]=B1204),[3]!players[lane_name])</f>
        <v>Mid</v>
      </c>
      <c r="D1204">
        <f>COUNTIFS([3]!players[name],A1204,[3]!players[hero_name],B1204)</f>
        <v>4</v>
      </c>
      <c r="E1204">
        <f>COUNTIFS([3]!players[name],A1204,[3]!players[hero_name],B1204, [3]!players[win], 1)</f>
        <v>2</v>
      </c>
      <c r="F1204" s="1">
        <f t="shared" si="18"/>
        <v>0.5</v>
      </c>
      <c r="G1204" s="2">
        <f>AVERAGEIFS([3]!players[gold_per_min], [3]!players[name],A1204,[3]!players[hero_name],B1204)</f>
        <v>538</v>
      </c>
      <c r="H1204" s="2">
        <f>AVERAGEIFS([3]!players[xp_per_min], [3]!players[name],A1204,[3]!players[hero_name],B1204)</f>
        <v>589.75</v>
      </c>
    </row>
    <row r="1205" spans="1:8" x14ac:dyDescent="0.3">
      <c r="A1205" t="str">
        <v>Mikoto</v>
      </c>
      <c r="B1205" t="str">
        <v>Monkey King</v>
      </c>
      <c r="C1205" t="str" cm="1">
        <f t="array" ref="C1205">_xlfn.XLOOKUP(1,([3]!players[name]=A1205)*([3]!players[hero_name]=B1205),[3]!players[lane_name])</f>
        <v>Mid</v>
      </c>
      <c r="D1205">
        <f>COUNTIFS([3]!players[name],A1205,[3]!players[hero_name],B1205)</f>
        <v>1</v>
      </c>
      <c r="E1205">
        <f>COUNTIFS([3]!players[name],A1205,[3]!players[hero_name],B1205, [3]!players[win], 1)</f>
        <v>1</v>
      </c>
      <c r="F1205" s="1">
        <f t="shared" si="18"/>
        <v>1</v>
      </c>
      <c r="G1205" s="2">
        <f>AVERAGEIFS([3]!players[gold_per_min], [3]!players[name],A1205,[3]!players[hero_name],B1205)</f>
        <v>593</v>
      </c>
      <c r="H1205" s="2">
        <f>AVERAGEIFS([3]!players[xp_per_min], [3]!players[name],A1205,[3]!players[hero_name],B1205)</f>
        <v>700</v>
      </c>
    </row>
    <row r="1206" spans="1:8" x14ac:dyDescent="0.3">
      <c r="A1206" t="str">
        <v>Mikoto</v>
      </c>
      <c r="B1206" t="str">
        <v>Ember Spirit</v>
      </c>
      <c r="C1206" t="str" cm="1">
        <f t="array" ref="C1206">_xlfn.XLOOKUP(1,([3]!players[name]=A1206)*([3]!players[hero_name]=B1206),[3]!players[lane_name])</f>
        <v>Mid</v>
      </c>
      <c r="D1206">
        <f>COUNTIFS([3]!players[name],A1206,[3]!players[hero_name],B1206)</f>
        <v>3</v>
      </c>
      <c r="E1206">
        <f>COUNTIFS([3]!players[name],A1206,[3]!players[hero_name],B1206, [3]!players[win], 1)</f>
        <v>1</v>
      </c>
      <c r="F1206" s="1">
        <f t="shared" si="18"/>
        <v>0.33333333333333331</v>
      </c>
      <c r="G1206" s="2">
        <f>AVERAGEIFS([3]!players[gold_per_min], [3]!players[name],A1206,[3]!players[hero_name],B1206)</f>
        <v>535</v>
      </c>
      <c r="H1206" s="2">
        <f>AVERAGEIFS([3]!players[xp_per_min], [3]!players[name],A1206,[3]!players[hero_name],B1206)</f>
        <v>669</v>
      </c>
    </row>
    <row r="1207" spans="1:8" x14ac:dyDescent="0.3">
      <c r="A1207" t="str">
        <v>Mikoto</v>
      </c>
      <c r="B1207" t="str">
        <v>Queen of Pain</v>
      </c>
      <c r="C1207" t="str" cm="1">
        <f t="array" ref="C1207">_xlfn.XLOOKUP(1,([3]!players[name]=A1207)*([3]!players[hero_name]=B1207),[3]!players[lane_name])</f>
        <v>Mid</v>
      </c>
      <c r="D1207">
        <f>COUNTIFS([3]!players[name],A1207,[3]!players[hero_name],B1207)</f>
        <v>4</v>
      </c>
      <c r="E1207">
        <f>COUNTIFS([3]!players[name],A1207,[3]!players[hero_name],B1207, [3]!players[win], 1)</f>
        <v>0</v>
      </c>
      <c r="F1207" s="1">
        <f t="shared" si="18"/>
        <v>0</v>
      </c>
      <c r="G1207" s="2">
        <f>AVERAGEIFS([3]!players[gold_per_min], [3]!players[name],A1207,[3]!players[hero_name],B1207)</f>
        <v>626.75</v>
      </c>
      <c r="H1207" s="2">
        <f>AVERAGEIFS([3]!players[xp_per_min], [3]!players[name],A1207,[3]!players[hero_name],B1207)</f>
        <v>851.25</v>
      </c>
    </row>
    <row r="1208" spans="1:8" x14ac:dyDescent="0.3">
      <c r="A1208" t="str">
        <v>Mikoto</v>
      </c>
      <c r="B1208" t="str">
        <v>Beastmaster</v>
      </c>
      <c r="C1208" t="str" cm="1">
        <f t="array" ref="C1208">_xlfn.XLOOKUP(1,([3]!players[name]=A1208)*([3]!players[hero_name]=B1208),[3]!players[lane_name])</f>
        <v>Mid</v>
      </c>
      <c r="D1208">
        <f>COUNTIFS([3]!players[name],A1208,[3]!players[hero_name],B1208)</f>
        <v>1</v>
      </c>
      <c r="E1208">
        <f>COUNTIFS([3]!players[name],A1208,[3]!players[hero_name],B1208, [3]!players[win], 1)</f>
        <v>1</v>
      </c>
      <c r="F1208" s="1">
        <f t="shared" si="18"/>
        <v>1</v>
      </c>
      <c r="G1208" s="2">
        <f>AVERAGEIFS([3]!players[gold_per_min], [3]!players[name],A1208,[3]!players[hero_name],B1208)</f>
        <v>693</v>
      </c>
      <c r="H1208" s="2">
        <f>AVERAGEIFS([3]!players[xp_per_min], [3]!players[name],A1208,[3]!players[hero_name],B1208)</f>
        <v>939</v>
      </c>
    </row>
    <row r="1209" spans="1:8" x14ac:dyDescent="0.3">
      <c r="A1209" t="str">
        <v>Mira</v>
      </c>
      <c r="B1209" t="str">
        <v>Rubick</v>
      </c>
      <c r="C1209" t="str" cm="1">
        <f t="array" ref="C1209">_xlfn.XLOOKUP(1,([3]!players[name]=A1209)*([3]!players[hero_name]=B1209),[3]!players[lane_name])</f>
        <v>Roam</v>
      </c>
      <c r="D1209">
        <f>COUNTIFS([3]!players[name],A1209,[3]!players[hero_name],B1209)</f>
        <v>7</v>
      </c>
      <c r="E1209">
        <f>COUNTIFS([3]!players[name],A1209,[3]!players[hero_name],B1209, [3]!players[win], 1)</f>
        <v>6</v>
      </c>
      <c r="F1209" s="1">
        <f t="shared" si="18"/>
        <v>0.8571428571428571</v>
      </c>
      <c r="G1209" s="2">
        <f>AVERAGEIFS([3]!players[gold_per_min], [3]!players[name],A1209,[3]!players[hero_name],B1209)</f>
        <v>368.28571428571428</v>
      </c>
      <c r="H1209" s="2">
        <f>AVERAGEIFS([3]!players[xp_per_min], [3]!players[name],A1209,[3]!players[hero_name],B1209)</f>
        <v>572.85714285714289</v>
      </c>
    </row>
    <row r="1210" spans="1:8" x14ac:dyDescent="0.3">
      <c r="A1210" t="str">
        <v>Mira</v>
      </c>
      <c r="B1210" t="str">
        <v>Dark Willow</v>
      </c>
      <c r="C1210" t="str" cm="1">
        <f t="array" ref="C1210">_xlfn.XLOOKUP(1,([3]!players[name]=A1210)*([3]!players[hero_name]=B1210),[3]!players[lane_name])</f>
        <v>Hard Support</v>
      </c>
      <c r="D1210">
        <f>COUNTIFS([3]!players[name],A1210,[3]!players[hero_name],B1210)</f>
        <v>1</v>
      </c>
      <c r="E1210">
        <f>COUNTIFS([3]!players[name],A1210,[3]!players[hero_name],B1210, [3]!players[win], 1)</f>
        <v>0</v>
      </c>
      <c r="F1210" s="1">
        <f t="shared" si="18"/>
        <v>0</v>
      </c>
      <c r="G1210" s="2">
        <f>AVERAGEIFS([3]!players[gold_per_min], [3]!players[name],A1210,[3]!players[hero_name],B1210)</f>
        <v>206</v>
      </c>
      <c r="H1210" s="2">
        <f>AVERAGEIFS([3]!players[xp_per_min], [3]!players[name],A1210,[3]!players[hero_name],B1210)</f>
        <v>265</v>
      </c>
    </row>
    <row r="1211" spans="1:8" x14ac:dyDescent="0.3">
      <c r="A1211" t="str">
        <v>Mira</v>
      </c>
      <c r="B1211" t="str">
        <v>Hoodwink</v>
      </c>
      <c r="C1211" t="str" cm="1">
        <f t="array" ref="C1211">_xlfn.XLOOKUP(1,([3]!players[name]=A1211)*([3]!players[hero_name]=B1211),[3]!players[lane_name])</f>
        <v>Hard Support</v>
      </c>
      <c r="D1211">
        <f>COUNTIFS([3]!players[name],A1211,[3]!players[hero_name],B1211)</f>
        <v>13</v>
      </c>
      <c r="E1211">
        <f>COUNTIFS([3]!players[name],A1211,[3]!players[hero_name],B1211, [3]!players[win], 1)</f>
        <v>8</v>
      </c>
      <c r="F1211" s="1">
        <f t="shared" si="18"/>
        <v>0.61538461538461542</v>
      </c>
      <c r="G1211" s="2">
        <f>AVERAGEIFS([3]!players[gold_per_min], [3]!players[name],A1211,[3]!players[hero_name],B1211)</f>
        <v>346</v>
      </c>
      <c r="H1211" s="2">
        <f>AVERAGEIFS([3]!players[xp_per_min], [3]!players[name],A1211,[3]!players[hero_name],B1211)</f>
        <v>545.15384615384619</v>
      </c>
    </row>
    <row r="1212" spans="1:8" x14ac:dyDescent="0.3">
      <c r="A1212" t="str">
        <v>Mira</v>
      </c>
      <c r="B1212" t="str">
        <v>Shadow Demon</v>
      </c>
      <c r="C1212" t="str" cm="1">
        <f t="array" ref="C1212">_xlfn.XLOOKUP(1,([3]!players[name]=A1212)*([3]!players[hero_name]=B1212),[3]!players[lane_name])</f>
        <v>Hard Support</v>
      </c>
      <c r="D1212">
        <f>COUNTIFS([3]!players[name],A1212,[3]!players[hero_name],B1212)</f>
        <v>2</v>
      </c>
      <c r="E1212">
        <f>COUNTIFS([3]!players[name],A1212,[3]!players[hero_name],B1212, [3]!players[win], 1)</f>
        <v>2</v>
      </c>
      <c r="F1212" s="1">
        <f t="shared" si="18"/>
        <v>1</v>
      </c>
      <c r="G1212" s="2">
        <f>AVERAGEIFS([3]!players[gold_per_min], [3]!players[name],A1212,[3]!players[hero_name],B1212)</f>
        <v>350</v>
      </c>
      <c r="H1212" s="2">
        <f>AVERAGEIFS([3]!players[xp_per_min], [3]!players[name],A1212,[3]!players[hero_name],B1212)</f>
        <v>520</v>
      </c>
    </row>
    <row r="1213" spans="1:8" x14ac:dyDescent="0.3">
      <c r="A1213" t="str">
        <v>Mira</v>
      </c>
      <c r="B1213" t="str">
        <v>Batrider</v>
      </c>
      <c r="C1213" t="str" cm="1">
        <f t="array" ref="C1213">_xlfn.XLOOKUP(1,([3]!players[name]=A1213)*([3]!players[hero_name]=B1213),[3]!players[lane_name])</f>
        <v>Roam</v>
      </c>
      <c r="D1213">
        <f>COUNTIFS([3]!players[name],A1213,[3]!players[hero_name],B1213)</f>
        <v>1</v>
      </c>
      <c r="E1213">
        <f>COUNTIFS([3]!players[name],A1213,[3]!players[hero_name],B1213, [3]!players[win], 1)</f>
        <v>0</v>
      </c>
      <c r="F1213" s="1">
        <f t="shared" si="18"/>
        <v>0</v>
      </c>
      <c r="G1213" s="2">
        <f>AVERAGEIFS([3]!players[gold_per_min], [3]!players[name],A1213,[3]!players[hero_name],B1213)</f>
        <v>359</v>
      </c>
      <c r="H1213" s="2">
        <f>AVERAGEIFS([3]!players[xp_per_min], [3]!players[name],A1213,[3]!players[hero_name],B1213)</f>
        <v>438</v>
      </c>
    </row>
    <row r="1214" spans="1:8" x14ac:dyDescent="0.3">
      <c r="A1214" t="str">
        <v>Mira</v>
      </c>
      <c r="B1214" t="str">
        <v>Lion</v>
      </c>
      <c r="C1214" t="str" cm="1">
        <f t="array" ref="C1214">_xlfn.XLOOKUP(1,([3]!players[name]=A1214)*([3]!players[hero_name]=B1214),[3]!players[lane_name])</f>
        <v>Roam</v>
      </c>
      <c r="D1214">
        <f>COUNTIFS([3]!players[name],A1214,[3]!players[hero_name],B1214)</f>
        <v>3</v>
      </c>
      <c r="E1214">
        <f>COUNTIFS([3]!players[name],A1214,[3]!players[hero_name],B1214, [3]!players[win], 1)</f>
        <v>1</v>
      </c>
      <c r="F1214" s="1">
        <f t="shared" si="18"/>
        <v>0.33333333333333331</v>
      </c>
      <c r="G1214" s="2">
        <f>AVERAGEIFS([3]!players[gold_per_min], [3]!players[name],A1214,[3]!players[hero_name],B1214)</f>
        <v>307.66666666666669</v>
      </c>
      <c r="H1214" s="2">
        <f>AVERAGEIFS([3]!players[xp_per_min], [3]!players[name],A1214,[3]!players[hero_name],B1214)</f>
        <v>541.33333333333337</v>
      </c>
    </row>
    <row r="1215" spans="1:8" x14ac:dyDescent="0.3">
      <c r="A1215" t="str">
        <v>Mira</v>
      </c>
      <c r="B1215" t="str">
        <v>Techies</v>
      </c>
      <c r="C1215" t="str" cm="1">
        <f t="array" ref="C1215">_xlfn.XLOOKUP(1,([3]!players[name]=A1215)*([3]!players[hero_name]=B1215),[3]!players[lane_name])</f>
        <v>Soft Support</v>
      </c>
      <c r="D1215">
        <f>COUNTIFS([3]!players[name],A1215,[3]!players[hero_name],B1215)</f>
        <v>1</v>
      </c>
      <c r="E1215">
        <f>COUNTIFS([3]!players[name],A1215,[3]!players[hero_name],B1215, [3]!players[win], 1)</f>
        <v>0</v>
      </c>
      <c r="F1215" s="1">
        <f t="shared" si="18"/>
        <v>0</v>
      </c>
      <c r="G1215" s="2">
        <f>AVERAGEIFS([3]!players[gold_per_min], [3]!players[name],A1215,[3]!players[hero_name],B1215)</f>
        <v>274</v>
      </c>
      <c r="H1215" s="2">
        <f>AVERAGEIFS([3]!players[xp_per_min], [3]!players[name],A1215,[3]!players[hero_name],B1215)</f>
        <v>356</v>
      </c>
    </row>
    <row r="1216" spans="1:8" x14ac:dyDescent="0.3">
      <c r="A1216" t="str">
        <v>Mjz</v>
      </c>
      <c r="B1216" t="str">
        <v>Ringmaster</v>
      </c>
      <c r="C1216" t="str" cm="1">
        <f t="array" ref="C1216">_xlfn.XLOOKUP(1,([3]!players[name]=A1216)*([3]!players[hero_name]=B1216),[3]!players[lane_name])</f>
        <v>Soft Support</v>
      </c>
      <c r="D1216">
        <f>COUNTIFS([3]!players[name],A1216,[3]!players[hero_name],B1216)</f>
        <v>5</v>
      </c>
      <c r="E1216">
        <f>COUNTIFS([3]!players[name],A1216,[3]!players[hero_name],B1216, [3]!players[win], 1)</f>
        <v>2</v>
      </c>
      <c r="F1216" s="1">
        <f t="shared" si="18"/>
        <v>0.4</v>
      </c>
      <c r="G1216" s="2">
        <f>AVERAGEIFS([3]!players[gold_per_min], [3]!players[name],A1216,[3]!players[hero_name],B1216)</f>
        <v>291</v>
      </c>
      <c r="H1216" s="2">
        <f>AVERAGEIFS([3]!players[xp_per_min], [3]!players[name],A1216,[3]!players[hero_name],B1216)</f>
        <v>359</v>
      </c>
    </row>
    <row r="1217" spans="1:8" x14ac:dyDescent="0.3">
      <c r="A1217" t="str">
        <v>Mjz</v>
      </c>
      <c r="B1217" t="str">
        <v>Alchemist</v>
      </c>
      <c r="C1217" t="str" cm="1">
        <f t="array" ref="C1217">_xlfn.XLOOKUP(1,([3]!players[name]=A1217)*([3]!players[hero_name]=B1217),[3]!players[lane_name])</f>
        <v>Soft Support</v>
      </c>
      <c r="D1217">
        <f>COUNTIFS([3]!players[name],A1217,[3]!players[hero_name],B1217)</f>
        <v>1</v>
      </c>
      <c r="E1217">
        <f>COUNTIFS([3]!players[name],A1217,[3]!players[hero_name],B1217, [3]!players[win], 1)</f>
        <v>1</v>
      </c>
      <c r="F1217" s="1">
        <f t="shared" si="18"/>
        <v>1</v>
      </c>
      <c r="G1217" s="2">
        <f>AVERAGEIFS([3]!players[gold_per_min], [3]!players[name],A1217,[3]!players[hero_name],B1217)</f>
        <v>466</v>
      </c>
      <c r="H1217" s="2">
        <f>AVERAGEIFS([3]!players[xp_per_min], [3]!players[name],A1217,[3]!players[hero_name],B1217)</f>
        <v>568</v>
      </c>
    </row>
    <row r="1218" spans="1:8" x14ac:dyDescent="0.3">
      <c r="A1218" t="str">
        <v>Mjz</v>
      </c>
      <c r="B1218" t="str">
        <v>Shadow Demon</v>
      </c>
      <c r="C1218" t="str" cm="1">
        <f t="array" ref="C1218">_xlfn.XLOOKUP(1,([3]!players[name]=A1218)*([3]!players[hero_name]=B1218),[3]!players[lane_name])</f>
        <v>Roam</v>
      </c>
      <c r="D1218">
        <f>COUNTIFS([3]!players[name],A1218,[3]!players[hero_name],B1218)</f>
        <v>1</v>
      </c>
      <c r="E1218">
        <f>COUNTIFS([3]!players[name],A1218,[3]!players[hero_name],B1218, [3]!players[win], 1)</f>
        <v>0</v>
      </c>
      <c r="F1218" s="1">
        <f t="shared" si="18"/>
        <v>0</v>
      </c>
      <c r="G1218" s="2">
        <f>AVERAGEIFS([3]!players[gold_per_min], [3]!players[name],A1218,[3]!players[hero_name],B1218)</f>
        <v>192</v>
      </c>
      <c r="H1218" s="2">
        <f>AVERAGEIFS([3]!players[xp_per_min], [3]!players[name],A1218,[3]!players[hero_name],B1218)</f>
        <v>301</v>
      </c>
    </row>
    <row r="1219" spans="1:8" x14ac:dyDescent="0.3">
      <c r="A1219" t="str">
        <v>Mjz</v>
      </c>
      <c r="B1219" t="str">
        <v>Treant Protector</v>
      </c>
      <c r="C1219" t="str" cm="1">
        <f t="array" ref="C1219">_xlfn.XLOOKUP(1,([3]!players[name]=A1219)*([3]!players[hero_name]=B1219),[3]!players[lane_name])</f>
        <v>Roam</v>
      </c>
      <c r="D1219">
        <f>COUNTIFS([3]!players[name],A1219,[3]!players[hero_name],B1219)</f>
        <v>1</v>
      </c>
      <c r="E1219">
        <f>COUNTIFS([3]!players[name],A1219,[3]!players[hero_name],B1219, [3]!players[win], 1)</f>
        <v>1</v>
      </c>
      <c r="F1219" s="1">
        <f t="shared" ref="F1219:F1282" si="19">E1219/D1219</f>
        <v>1</v>
      </c>
      <c r="G1219" s="2">
        <f>AVERAGEIFS([3]!players[gold_per_min], [3]!players[name],A1219,[3]!players[hero_name],B1219)</f>
        <v>309</v>
      </c>
      <c r="H1219" s="2">
        <f>AVERAGEIFS([3]!players[xp_per_min], [3]!players[name],A1219,[3]!players[hero_name],B1219)</f>
        <v>290</v>
      </c>
    </row>
    <row r="1220" spans="1:8" x14ac:dyDescent="0.3">
      <c r="A1220" t="str">
        <v>Mjz</v>
      </c>
      <c r="B1220" t="str">
        <v>Snapfire</v>
      </c>
      <c r="C1220" t="str" cm="1">
        <f t="array" ref="C1220">_xlfn.XLOOKUP(1,([3]!players[name]=A1220)*([3]!players[hero_name]=B1220),[3]!players[lane_name])</f>
        <v>Hard Support</v>
      </c>
      <c r="D1220">
        <f>COUNTIFS([3]!players[name],A1220,[3]!players[hero_name],B1220)</f>
        <v>2</v>
      </c>
      <c r="E1220">
        <f>COUNTIFS([3]!players[name],A1220,[3]!players[hero_name],B1220, [3]!players[win], 1)</f>
        <v>1</v>
      </c>
      <c r="F1220" s="1">
        <f t="shared" si="19"/>
        <v>0.5</v>
      </c>
      <c r="G1220" s="2">
        <f>AVERAGEIFS([3]!players[gold_per_min], [3]!players[name],A1220,[3]!players[hero_name],B1220)</f>
        <v>358</v>
      </c>
      <c r="H1220" s="2">
        <f>AVERAGEIFS([3]!players[xp_per_min], [3]!players[name],A1220,[3]!players[hero_name],B1220)</f>
        <v>430</v>
      </c>
    </row>
    <row r="1221" spans="1:8" x14ac:dyDescent="0.3">
      <c r="A1221" t="str">
        <v>Mjz</v>
      </c>
      <c r="B1221" t="str">
        <v>Tidehunter</v>
      </c>
      <c r="C1221" t="str" cm="1">
        <f t="array" ref="C1221">_xlfn.XLOOKUP(1,([3]!players[name]=A1221)*([3]!players[hero_name]=B1221),[3]!players[lane_name])</f>
        <v>Hard Support</v>
      </c>
      <c r="D1221">
        <f>COUNTIFS([3]!players[name],A1221,[3]!players[hero_name],B1221)</f>
        <v>1</v>
      </c>
      <c r="E1221">
        <f>COUNTIFS([3]!players[name],A1221,[3]!players[hero_name],B1221, [3]!players[win], 1)</f>
        <v>0</v>
      </c>
      <c r="F1221" s="1">
        <f t="shared" si="19"/>
        <v>0</v>
      </c>
      <c r="G1221" s="2">
        <f>AVERAGEIFS([3]!players[gold_per_min], [3]!players[name],A1221,[3]!players[hero_name],B1221)</f>
        <v>264</v>
      </c>
      <c r="H1221" s="2">
        <f>AVERAGEIFS([3]!players[xp_per_min], [3]!players[name],A1221,[3]!players[hero_name],B1221)</f>
        <v>407</v>
      </c>
    </row>
    <row r="1222" spans="1:8" x14ac:dyDescent="0.3">
      <c r="A1222" t="str">
        <v>Mjz</v>
      </c>
      <c r="B1222" t="str">
        <v>Phoenix</v>
      </c>
      <c r="C1222" t="str" cm="1">
        <f t="array" ref="C1222">_xlfn.XLOOKUP(1,([3]!players[name]=A1222)*([3]!players[hero_name]=B1222),[3]!players[lane_name])</f>
        <v>Roam</v>
      </c>
      <c r="D1222">
        <f>COUNTIFS([3]!players[name],A1222,[3]!players[hero_name],B1222)</f>
        <v>1</v>
      </c>
      <c r="E1222">
        <f>COUNTIFS([3]!players[name],A1222,[3]!players[hero_name],B1222, [3]!players[win], 1)</f>
        <v>1</v>
      </c>
      <c r="F1222" s="1">
        <f t="shared" si="19"/>
        <v>1</v>
      </c>
      <c r="G1222" s="2">
        <f>AVERAGEIFS([3]!players[gold_per_min], [3]!players[name],A1222,[3]!players[hero_name],B1222)</f>
        <v>435</v>
      </c>
      <c r="H1222" s="2">
        <f>AVERAGEIFS([3]!players[xp_per_min], [3]!players[name],A1222,[3]!players[hero_name],B1222)</f>
        <v>731</v>
      </c>
    </row>
    <row r="1223" spans="1:8" x14ac:dyDescent="0.3">
      <c r="A1223" t="str">
        <v>Mjz</v>
      </c>
      <c r="B1223" t="str">
        <v>Io</v>
      </c>
      <c r="C1223" t="str" cm="1">
        <f t="array" ref="C1223">_xlfn.XLOOKUP(1,([3]!players[name]=A1223)*([3]!players[hero_name]=B1223),[3]!players[lane_name])</f>
        <v>Soft Support</v>
      </c>
      <c r="D1223">
        <f>COUNTIFS([3]!players[name],A1223,[3]!players[hero_name],B1223)</f>
        <v>1</v>
      </c>
      <c r="E1223">
        <f>COUNTIFS([3]!players[name],A1223,[3]!players[hero_name],B1223, [3]!players[win], 1)</f>
        <v>0</v>
      </c>
      <c r="F1223" s="1">
        <f t="shared" si="19"/>
        <v>0</v>
      </c>
      <c r="G1223" s="2">
        <f>AVERAGEIFS([3]!players[gold_per_min], [3]!players[name],A1223,[3]!players[hero_name],B1223)</f>
        <v>217</v>
      </c>
      <c r="H1223" s="2">
        <f>AVERAGEIFS([3]!players[xp_per_min], [3]!players[name],A1223,[3]!players[hero_name],B1223)</f>
        <v>284</v>
      </c>
    </row>
    <row r="1224" spans="1:8" x14ac:dyDescent="0.3">
      <c r="A1224" t="str">
        <v>Mjz</v>
      </c>
      <c r="B1224" t="str">
        <v>Rubick</v>
      </c>
      <c r="C1224" t="str" cm="1">
        <f t="array" ref="C1224">_xlfn.XLOOKUP(1,([3]!players[name]=A1224)*([3]!players[hero_name]=B1224),[3]!players[lane_name])</f>
        <v>Hard Support</v>
      </c>
      <c r="D1224">
        <f>COUNTIFS([3]!players[name],A1224,[3]!players[hero_name],B1224)</f>
        <v>3</v>
      </c>
      <c r="E1224">
        <f>COUNTIFS([3]!players[name],A1224,[3]!players[hero_name],B1224, [3]!players[win], 1)</f>
        <v>0</v>
      </c>
      <c r="F1224" s="1">
        <f t="shared" si="19"/>
        <v>0</v>
      </c>
      <c r="G1224" s="2">
        <f>AVERAGEIFS([3]!players[gold_per_min], [3]!players[name],A1224,[3]!players[hero_name],B1224)</f>
        <v>245.66666666666666</v>
      </c>
      <c r="H1224" s="2">
        <f>AVERAGEIFS([3]!players[xp_per_min], [3]!players[name],A1224,[3]!players[hero_name],B1224)</f>
        <v>306.66666666666669</v>
      </c>
    </row>
    <row r="1225" spans="1:8" x14ac:dyDescent="0.3">
      <c r="A1225" t="str">
        <v>Mjz</v>
      </c>
      <c r="B1225" t="str">
        <v>Largo</v>
      </c>
      <c r="C1225" t="str" cm="1">
        <f t="array" ref="C1225">_xlfn.XLOOKUP(1,([3]!players[name]=A1225)*([3]!players[hero_name]=B1225),[3]!players[lane_name])</f>
        <v>Hard Support</v>
      </c>
      <c r="D1225">
        <f>COUNTIFS([3]!players[name],A1225,[3]!players[hero_name],B1225)</f>
        <v>1</v>
      </c>
      <c r="E1225">
        <f>COUNTIFS([3]!players[name],A1225,[3]!players[hero_name],B1225, [3]!players[win], 1)</f>
        <v>0</v>
      </c>
      <c r="F1225" s="1">
        <f t="shared" si="19"/>
        <v>0</v>
      </c>
      <c r="G1225" s="2">
        <f>AVERAGEIFS([3]!players[gold_per_min], [3]!players[name],A1225,[3]!players[hero_name],B1225)</f>
        <v>202</v>
      </c>
      <c r="H1225" s="2">
        <f>AVERAGEIFS([3]!players[xp_per_min], [3]!players[name],A1225,[3]!players[hero_name],B1225)</f>
        <v>300</v>
      </c>
    </row>
    <row r="1226" spans="1:8" x14ac:dyDescent="0.3">
      <c r="A1226" t="str">
        <v>Mjz</v>
      </c>
      <c r="B1226" t="str">
        <v>Techies</v>
      </c>
      <c r="C1226" t="str" cm="1">
        <f t="array" ref="C1226">_xlfn.XLOOKUP(1,([3]!players[name]=A1226)*([3]!players[hero_name]=B1226),[3]!players[lane_name])</f>
        <v>Soft Support</v>
      </c>
      <c r="D1226">
        <f>COUNTIFS([3]!players[name],A1226,[3]!players[hero_name],B1226)</f>
        <v>1</v>
      </c>
      <c r="E1226">
        <f>COUNTIFS([3]!players[name],A1226,[3]!players[hero_name],B1226, [3]!players[win], 1)</f>
        <v>0</v>
      </c>
      <c r="F1226" s="1">
        <f t="shared" si="19"/>
        <v>0</v>
      </c>
      <c r="G1226" s="2">
        <f>AVERAGEIFS([3]!players[gold_per_min], [3]!players[name],A1226,[3]!players[hero_name],B1226)</f>
        <v>320</v>
      </c>
      <c r="H1226" s="2">
        <f>AVERAGEIFS([3]!players[xp_per_min], [3]!players[name],A1226,[3]!players[hero_name],B1226)</f>
        <v>350</v>
      </c>
    </row>
    <row r="1227" spans="1:8" x14ac:dyDescent="0.3">
      <c r="A1227" t="str">
        <v>Mjz</v>
      </c>
      <c r="B1227" t="str">
        <v>Hoodwink</v>
      </c>
      <c r="C1227" t="str" cm="1">
        <f t="array" ref="C1227">_xlfn.XLOOKUP(1,([3]!players[name]=A1227)*([3]!players[hero_name]=B1227),[3]!players[lane_name])</f>
        <v>Roam</v>
      </c>
      <c r="D1227">
        <f>COUNTIFS([3]!players[name],A1227,[3]!players[hero_name],B1227)</f>
        <v>5</v>
      </c>
      <c r="E1227">
        <f>COUNTIFS([3]!players[name],A1227,[3]!players[hero_name],B1227, [3]!players[win], 1)</f>
        <v>0</v>
      </c>
      <c r="F1227" s="1">
        <f t="shared" si="19"/>
        <v>0</v>
      </c>
      <c r="G1227" s="2">
        <f>AVERAGEIFS([3]!players[gold_per_min], [3]!players[name],A1227,[3]!players[hero_name],B1227)</f>
        <v>312.8</v>
      </c>
      <c r="H1227" s="2">
        <f>AVERAGEIFS([3]!players[xp_per_min], [3]!players[name],A1227,[3]!players[hero_name],B1227)</f>
        <v>393</v>
      </c>
    </row>
    <row r="1228" spans="1:8" x14ac:dyDescent="0.3">
      <c r="A1228" t="str">
        <v>Mjz</v>
      </c>
      <c r="B1228" t="str">
        <v>Weaver</v>
      </c>
      <c r="C1228" t="str" cm="1">
        <f t="array" ref="C1228">_xlfn.XLOOKUP(1,([3]!players[name]=A1228)*([3]!players[hero_name]=B1228),[3]!players[lane_name])</f>
        <v>Roam</v>
      </c>
      <c r="D1228">
        <f>COUNTIFS([3]!players[name],A1228,[3]!players[hero_name],B1228)</f>
        <v>1</v>
      </c>
      <c r="E1228">
        <f>COUNTIFS([3]!players[name],A1228,[3]!players[hero_name],B1228, [3]!players[win], 1)</f>
        <v>0</v>
      </c>
      <c r="F1228" s="1">
        <f t="shared" si="19"/>
        <v>0</v>
      </c>
      <c r="G1228" s="2">
        <f>AVERAGEIFS([3]!players[gold_per_min], [3]!players[name],A1228,[3]!players[hero_name],B1228)</f>
        <v>259</v>
      </c>
      <c r="H1228" s="2">
        <f>AVERAGEIFS([3]!players[xp_per_min], [3]!players[name],A1228,[3]!players[hero_name],B1228)</f>
        <v>357</v>
      </c>
    </row>
    <row r="1229" spans="1:8" x14ac:dyDescent="0.3">
      <c r="A1229" t="str">
        <v>MoOz</v>
      </c>
      <c r="B1229" t="str">
        <v>Lich</v>
      </c>
      <c r="C1229" t="str" cm="1">
        <f t="array" ref="C1229">_xlfn.XLOOKUP(1,([3]!players[name]=A1229)*([3]!players[hero_name]=B1229),[3]!players[lane_name])</f>
        <v>Soft Support</v>
      </c>
      <c r="D1229">
        <f>COUNTIFS([3]!players[name],A1229,[3]!players[hero_name],B1229)</f>
        <v>4</v>
      </c>
      <c r="E1229">
        <f>COUNTIFS([3]!players[name],A1229,[3]!players[hero_name],B1229, [3]!players[win], 1)</f>
        <v>1</v>
      </c>
      <c r="F1229" s="1">
        <f t="shared" si="19"/>
        <v>0.25</v>
      </c>
      <c r="G1229" s="2">
        <f>AVERAGEIFS([3]!players[gold_per_min], [3]!players[name],A1229,[3]!players[hero_name],B1229)</f>
        <v>278</v>
      </c>
      <c r="H1229" s="2">
        <f>AVERAGEIFS([3]!players[xp_per_min], [3]!players[name],A1229,[3]!players[hero_name],B1229)</f>
        <v>408.5</v>
      </c>
    </row>
    <row r="1230" spans="1:8" x14ac:dyDescent="0.3">
      <c r="A1230" t="str">
        <v>MoOz</v>
      </c>
      <c r="B1230" t="str">
        <v>Phoenix</v>
      </c>
      <c r="C1230" t="str" cm="1">
        <f t="array" ref="C1230">_xlfn.XLOOKUP(1,([3]!players[name]=A1230)*([3]!players[hero_name]=B1230),[3]!players[lane_name])</f>
        <v>Soft Support</v>
      </c>
      <c r="D1230">
        <f>COUNTIFS([3]!players[name],A1230,[3]!players[hero_name],B1230)</f>
        <v>5</v>
      </c>
      <c r="E1230">
        <f>COUNTIFS([3]!players[name],A1230,[3]!players[hero_name],B1230, [3]!players[win], 1)</f>
        <v>4</v>
      </c>
      <c r="F1230" s="1">
        <f t="shared" si="19"/>
        <v>0.8</v>
      </c>
      <c r="G1230" s="2">
        <f>AVERAGEIFS([3]!players[gold_per_min], [3]!players[name],A1230,[3]!players[hero_name],B1230)</f>
        <v>411.6</v>
      </c>
      <c r="H1230" s="2">
        <f>AVERAGEIFS([3]!players[xp_per_min], [3]!players[name],A1230,[3]!players[hero_name],B1230)</f>
        <v>550.4</v>
      </c>
    </row>
    <row r="1231" spans="1:8" x14ac:dyDescent="0.3">
      <c r="A1231" t="str">
        <v>MoOz</v>
      </c>
      <c r="B1231" t="str">
        <v>Ringmaster</v>
      </c>
      <c r="C1231" t="str" cm="1">
        <f t="array" ref="C1231">_xlfn.XLOOKUP(1,([3]!players[name]=A1231)*([3]!players[hero_name]=B1231),[3]!players[lane_name])</f>
        <v>Hard Support</v>
      </c>
      <c r="D1231">
        <f>COUNTIFS([3]!players[name],A1231,[3]!players[hero_name],B1231)</f>
        <v>3</v>
      </c>
      <c r="E1231">
        <f>COUNTIFS([3]!players[name],A1231,[3]!players[hero_name],B1231, [3]!players[win], 1)</f>
        <v>1</v>
      </c>
      <c r="F1231" s="1">
        <f t="shared" si="19"/>
        <v>0.33333333333333331</v>
      </c>
      <c r="G1231" s="2">
        <f>AVERAGEIFS([3]!players[gold_per_min], [3]!players[name],A1231,[3]!players[hero_name],B1231)</f>
        <v>292.66666666666669</v>
      </c>
      <c r="H1231" s="2">
        <f>AVERAGEIFS([3]!players[xp_per_min], [3]!players[name],A1231,[3]!players[hero_name],B1231)</f>
        <v>342.33333333333331</v>
      </c>
    </row>
    <row r="1232" spans="1:8" x14ac:dyDescent="0.3">
      <c r="A1232" t="str">
        <v>MoOz</v>
      </c>
      <c r="B1232" t="str">
        <v>Crystal Maiden</v>
      </c>
      <c r="C1232" t="str" cm="1">
        <f t="array" ref="C1232">_xlfn.XLOOKUP(1,([3]!players[name]=A1232)*([3]!players[hero_name]=B1232),[3]!players[lane_name])</f>
        <v>Soft Support</v>
      </c>
      <c r="D1232">
        <f>COUNTIFS([3]!players[name],A1232,[3]!players[hero_name],B1232)</f>
        <v>1</v>
      </c>
      <c r="E1232">
        <f>COUNTIFS([3]!players[name],A1232,[3]!players[hero_name],B1232, [3]!players[win], 1)</f>
        <v>0</v>
      </c>
      <c r="F1232" s="1">
        <f t="shared" si="19"/>
        <v>0</v>
      </c>
      <c r="G1232" s="2">
        <f>AVERAGEIFS([3]!players[gold_per_min], [3]!players[name],A1232,[3]!players[hero_name],B1232)</f>
        <v>284</v>
      </c>
      <c r="H1232" s="2">
        <f>AVERAGEIFS([3]!players[xp_per_min], [3]!players[name],A1232,[3]!players[hero_name],B1232)</f>
        <v>382</v>
      </c>
    </row>
    <row r="1233" spans="1:8" x14ac:dyDescent="0.3">
      <c r="A1233" t="str">
        <v>MoOz</v>
      </c>
      <c r="B1233" t="str">
        <v>Treant Protector</v>
      </c>
      <c r="C1233" t="str" cm="1">
        <f t="array" ref="C1233">_xlfn.XLOOKUP(1,([3]!players[name]=A1233)*([3]!players[hero_name]=B1233),[3]!players[lane_name])</f>
        <v>Hard Support</v>
      </c>
      <c r="D1233">
        <f>COUNTIFS([3]!players[name],A1233,[3]!players[hero_name],B1233)</f>
        <v>2</v>
      </c>
      <c r="E1233">
        <f>COUNTIFS([3]!players[name],A1233,[3]!players[hero_name],B1233, [3]!players[win], 1)</f>
        <v>1</v>
      </c>
      <c r="F1233" s="1">
        <f t="shared" si="19"/>
        <v>0.5</v>
      </c>
      <c r="G1233" s="2">
        <f>AVERAGEIFS([3]!players[gold_per_min], [3]!players[name],A1233,[3]!players[hero_name],B1233)</f>
        <v>284.5</v>
      </c>
      <c r="H1233" s="2">
        <f>AVERAGEIFS([3]!players[xp_per_min], [3]!players[name],A1233,[3]!players[hero_name],B1233)</f>
        <v>419.5</v>
      </c>
    </row>
    <row r="1234" spans="1:8" x14ac:dyDescent="0.3">
      <c r="A1234" t="str">
        <v>MoOz</v>
      </c>
      <c r="B1234" t="str">
        <v>Enchantress</v>
      </c>
      <c r="C1234" t="str" cm="1">
        <f t="array" ref="C1234">_xlfn.XLOOKUP(1,([3]!players[name]=A1234)*([3]!players[hero_name]=B1234),[3]!players[lane_name])</f>
        <v>Hard Support</v>
      </c>
      <c r="D1234">
        <f>COUNTIFS([3]!players[name],A1234,[3]!players[hero_name],B1234)</f>
        <v>8</v>
      </c>
      <c r="E1234">
        <f>COUNTIFS([3]!players[name],A1234,[3]!players[hero_name],B1234, [3]!players[win], 1)</f>
        <v>4</v>
      </c>
      <c r="F1234" s="1">
        <f t="shared" si="19"/>
        <v>0.5</v>
      </c>
      <c r="G1234" s="2">
        <f>AVERAGEIFS([3]!players[gold_per_min], [3]!players[name],A1234,[3]!players[hero_name],B1234)</f>
        <v>355</v>
      </c>
      <c r="H1234" s="2">
        <f>AVERAGEIFS([3]!players[xp_per_min], [3]!players[name],A1234,[3]!players[hero_name],B1234)</f>
        <v>538.75</v>
      </c>
    </row>
    <row r="1235" spans="1:8" x14ac:dyDescent="0.3">
      <c r="A1235" t="str">
        <v>MoOz</v>
      </c>
      <c r="B1235" t="str">
        <v>Rubick</v>
      </c>
      <c r="C1235" t="str" cm="1">
        <f t="array" ref="C1235">_xlfn.XLOOKUP(1,([3]!players[name]=A1235)*([3]!players[hero_name]=B1235),[3]!players[lane_name])</f>
        <v>Roam</v>
      </c>
      <c r="D1235">
        <f>COUNTIFS([3]!players[name],A1235,[3]!players[hero_name],B1235)</f>
        <v>4</v>
      </c>
      <c r="E1235">
        <f>COUNTIFS([3]!players[name],A1235,[3]!players[hero_name],B1235, [3]!players[win], 1)</f>
        <v>3</v>
      </c>
      <c r="F1235" s="1">
        <f t="shared" si="19"/>
        <v>0.75</v>
      </c>
      <c r="G1235" s="2">
        <f>AVERAGEIFS([3]!players[gold_per_min], [3]!players[name],A1235,[3]!players[hero_name],B1235)</f>
        <v>375.25</v>
      </c>
      <c r="H1235" s="2">
        <f>AVERAGEIFS([3]!players[xp_per_min], [3]!players[name],A1235,[3]!players[hero_name],B1235)</f>
        <v>523</v>
      </c>
    </row>
    <row r="1236" spans="1:8" x14ac:dyDescent="0.3">
      <c r="A1236" t="str">
        <v>MoOz</v>
      </c>
      <c r="B1236" t="str">
        <v>Venomancer</v>
      </c>
      <c r="C1236" t="str" cm="1">
        <f t="array" ref="C1236">_xlfn.XLOOKUP(1,([3]!players[name]=A1236)*([3]!players[hero_name]=B1236),[3]!players[lane_name])</f>
        <v>Hard Support</v>
      </c>
      <c r="D1236">
        <f>COUNTIFS([3]!players[name],A1236,[3]!players[hero_name],B1236)</f>
        <v>2</v>
      </c>
      <c r="E1236">
        <f>COUNTIFS([3]!players[name],A1236,[3]!players[hero_name],B1236, [3]!players[win], 1)</f>
        <v>0</v>
      </c>
      <c r="F1236" s="1">
        <f t="shared" si="19"/>
        <v>0</v>
      </c>
      <c r="G1236" s="2">
        <f>AVERAGEIFS([3]!players[gold_per_min], [3]!players[name],A1236,[3]!players[hero_name],B1236)</f>
        <v>354.5</v>
      </c>
      <c r="H1236" s="2">
        <f>AVERAGEIFS([3]!players[xp_per_min], [3]!players[name],A1236,[3]!players[hero_name],B1236)</f>
        <v>452</v>
      </c>
    </row>
    <row r="1237" spans="1:8" x14ac:dyDescent="0.3">
      <c r="A1237" t="str">
        <v>MoOz</v>
      </c>
      <c r="B1237" t="str">
        <v>Disruptor</v>
      </c>
      <c r="C1237" t="str" cm="1">
        <f t="array" ref="C1237">_xlfn.XLOOKUP(1,([3]!players[name]=A1237)*([3]!players[hero_name]=B1237),[3]!players[lane_name])</f>
        <v>Soft Support</v>
      </c>
      <c r="D1237">
        <f>COUNTIFS([3]!players[name],A1237,[3]!players[hero_name],B1237)</f>
        <v>3</v>
      </c>
      <c r="E1237">
        <f>COUNTIFS([3]!players[name],A1237,[3]!players[hero_name],B1237, [3]!players[win], 1)</f>
        <v>0</v>
      </c>
      <c r="F1237" s="1">
        <f t="shared" si="19"/>
        <v>0</v>
      </c>
      <c r="G1237" s="2">
        <f>AVERAGEIFS([3]!players[gold_per_min], [3]!players[name],A1237,[3]!players[hero_name],B1237)</f>
        <v>299.33333333333331</v>
      </c>
      <c r="H1237" s="2">
        <f>AVERAGEIFS([3]!players[xp_per_min], [3]!players[name],A1237,[3]!players[hero_name],B1237)</f>
        <v>457</v>
      </c>
    </row>
    <row r="1238" spans="1:8" x14ac:dyDescent="0.3">
      <c r="A1238" t="str">
        <v>MoOz</v>
      </c>
      <c r="B1238" t="str">
        <v>Shadow Demon</v>
      </c>
      <c r="C1238" t="str" cm="1">
        <f t="array" ref="C1238">_xlfn.XLOOKUP(1,([3]!players[name]=A1238)*([3]!players[hero_name]=B1238),[3]!players[lane_name])</f>
        <v>Roam</v>
      </c>
      <c r="D1238">
        <f>COUNTIFS([3]!players[name],A1238,[3]!players[hero_name],B1238)</f>
        <v>1</v>
      </c>
      <c r="E1238">
        <f>COUNTIFS([3]!players[name],A1238,[3]!players[hero_name],B1238, [3]!players[win], 1)</f>
        <v>1</v>
      </c>
      <c r="F1238" s="1">
        <f t="shared" si="19"/>
        <v>1</v>
      </c>
      <c r="G1238" s="2">
        <f>AVERAGEIFS([3]!players[gold_per_min], [3]!players[name],A1238,[3]!players[hero_name],B1238)</f>
        <v>363</v>
      </c>
      <c r="H1238" s="2">
        <f>AVERAGEIFS([3]!players[xp_per_min], [3]!players[name],A1238,[3]!players[hero_name],B1238)</f>
        <v>506</v>
      </c>
    </row>
    <row r="1239" spans="1:8" x14ac:dyDescent="0.3">
      <c r="A1239" t="str">
        <v>MoOz</v>
      </c>
      <c r="B1239" t="str">
        <v>Jakiro</v>
      </c>
      <c r="C1239" t="str" cm="1">
        <f t="array" ref="C1239">_xlfn.XLOOKUP(1,([3]!players[name]=A1239)*([3]!players[hero_name]=B1239),[3]!players[lane_name])</f>
        <v>Hard Support</v>
      </c>
      <c r="D1239">
        <f>COUNTIFS([3]!players[name],A1239,[3]!players[hero_name],B1239)</f>
        <v>1</v>
      </c>
      <c r="E1239">
        <f>COUNTIFS([3]!players[name],A1239,[3]!players[hero_name],B1239, [3]!players[win], 1)</f>
        <v>0</v>
      </c>
      <c r="F1239" s="1">
        <f t="shared" si="19"/>
        <v>0</v>
      </c>
      <c r="G1239" s="2">
        <f>AVERAGEIFS([3]!players[gold_per_min], [3]!players[name],A1239,[3]!players[hero_name],B1239)</f>
        <v>175</v>
      </c>
      <c r="H1239" s="2">
        <f>AVERAGEIFS([3]!players[xp_per_min], [3]!players[name],A1239,[3]!players[hero_name],B1239)</f>
        <v>250</v>
      </c>
    </row>
    <row r="1240" spans="1:8" x14ac:dyDescent="0.3">
      <c r="A1240" t="str">
        <v>MoOz</v>
      </c>
      <c r="B1240" t="str">
        <v>Silencer</v>
      </c>
      <c r="C1240" t="str" cm="1">
        <f t="array" ref="C1240">_xlfn.XLOOKUP(1,([3]!players[name]=A1240)*([3]!players[hero_name]=B1240),[3]!players[lane_name])</f>
        <v>Roam</v>
      </c>
      <c r="D1240">
        <f>COUNTIFS([3]!players[name],A1240,[3]!players[hero_name],B1240)</f>
        <v>3</v>
      </c>
      <c r="E1240">
        <f>COUNTIFS([3]!players[name],A1240,[3]!players[hero_name],B1240, [3]!players[win], 1)</f>
        <v>2</v>
      </c>
      <c r="F1240" s="1">
        <f t="shared" si="19"/>
        <v>0.66666666666666663</v>
      </c>
      <c r="G1240" s="2">
        <f>AVERAGEIFS([3]!players[gold_per_min], [3]!players[name],A1240,[3]!players[hero_name],B1240)</f>
        <v>387</v>
      </c>
      <c r="H1240" s="2">
        <f>AVERAGEIFS([3]!players[xp_per_min], [3]!players[name],A1240,[3]!players[hero_name],B1240)</f>
        <v>568</v>
      </c>
    </row>
    <row r="1241" spans="1:8" x14ac:dyDescent="0.3">
      <c r="A1241" t="str">
        <v>n1ght</v>
      </c>
      <c r="B1241" t="str">
        <v>Techies</v>
      </c>
      <c r="C1241" t="str" cm="1">
        <f t="array" ref="C1241">_xlfn.XLOOKUP(1,([3]!players[name]=A1241)*([3]!players[hero_name]=B1241),[3]!players[lane_name])</f>
        <v>Hard Support</v>
      </c>
      <c r="D1241">
        <f>COUNTIFS([3]!players[name],A1241,[3]!players[hero_name],B1241)</f>
        <v>1</v>
      </c>
      <c r="E1241">
        <f>COUNTIFS([3]!players[name],A1241,[3]!players[hero_name],B1241, [3]!players[win], 1)</f>
        <v>0</v>
      </c>
      <c r="F1241" s="1">
        <f t="shared" si="19"/>
        <v>0</v>
      </c>
      <c r="G1241" s="2">
        <f>AVERAGEIFS([3]!players[gold_per_min], [3]!players[name],A1241,[3]!players[hero_name],B1241)</f>
        <v>332</v>
      </c>
      <c r="H1241" s="2">
        <f>AVERAGEIFS([3]!players[xp_per_min], [3]!players[name],A1241,[3]!players[hero_name],B1241)</f>
        <v>472</v>
      </c>
    </row>
    <row r="1242" spans="1:8" x14ac:dyDescent="0.3">
      <c r="A1242" t="str">
        <v>n1ght</v>
      </c>
      <c r="B1242" t="str">
        <v>Hoodwink</v>
      </c>
      <c r="C1242" t="str" cm="1">
        <f t="array" ref="C1242">_xlfn.XLOOKUP(1,([3]!players[name]=A1242)*([3]!players[hero_name]=B1242),[3]!players[lane_name])</f>
        <v>Roam</v>
      </c>
      <c r="D1242">
        <f>COUNTIFS([3]!players[name],A1242,[3]!players[hero_name],B1242)</f>
        <v>8</v>
      </c>
      <c r="E1242">
        <f>COUNTIFS([3]!players[name],A1242,[3]!players[hero_name],B1242, [3]!players[win], 1)</f>
        <v>5</v>
      </c>
      <c r="F1242" s="1">
        <f t="shared" si="19"/>
        <v>0.625</v>
      </c>
      <c r="G1242" s="2">
        <f>AVERAGEIFS([3]!players[gold_per_min], [3]!players[name],A1242,[3]!players[hero_name],B1242)</f>
        <v>378.375</v>
      </c>
      <c r="H1242" s="2">
        <f>AVERAGEIFS([3]!players[xp_per_min], [3]!players[name],A1242,[3]!players[hero_name],B1242)</f>
        <v>576.375</v>
      </c>
    </row>
    <row r="1243" spans="1:8" x14ac:dyDescent="0.3">
      <c r="A1243" t="str">
        <v>n1ght</v>
      </c>
      <c r="B1243" t="str">
        <v>Jakiro</v>
      </c>
      <c r="C1243" t="str" cm="1">
        <f t="array" ref="C1243">_xlfn.XLOOKUP(1,([3]!players[name]=A1243)*([3]!players[hero_name]=B1243),[3]!players[lane_name])</f>
        <v>Soft Support</v>
      </c>
      <c r="D1243">
        <f>COUNTIFS([3]!players[name],A1243,[3]!players[hero_name],B1243)</f>
        <v>4</v>
      </c>
      <c r="E1243">
        <f>COUNTIFS([3]!players[name],A1243,[3]!players[hero_name],B1243, [3]!players[win], 1)</f>
        <v>3</v>
      </c>
      <c r="F1243" s="1">
        <f t="shared" si="19"/>
        <v>0.75</v>
      </c>
      <c r="G1243" s="2">
        <f>AVERAGEIFS([3]!players[gold_per_min], [3]!players[name],A1243,[3]!players[hero_name],B1243)</f>
        <v>385</v>
      </c>
      <c r="H1243" s="2">
        <f>AVERAGEIFS([3]!players[xp_per_min], [3]!players[name],A1243,[3]!players[hero_name],B1243)</f>
        <v>566.75</v>
      </c>
    </row>
    <row r="1244" spans="1:8" x14ac:dyDescent="0.3">
      <c r="A1244" t="str">
        <v>n1ght</v>
      </c>
      <c r="B1244" t="str">
        <v>Rubick</v>
      </c>
      <c r="C1244" t="str" cm="1">
        <f t="array" ref="C1244">_xlfn.XLOOKUP(1,([3]!players[name]=A1244)*([3]!players[hero_name]=B1244),[3]!players[lane_name])</f>
        <v>Roam</v>
      </c>
      <c r="D1244">
        <f>COUNTIFS([3]!players[name],A1244,[3]!players[hero_name],B1244)</f>
        <v>5</v>
      </c>
      <c r="E1244">
        <f>COUNTIFS([3]!players[name],A1244,[3]!players[hero_name],B1244, [3]!players[win], 1)</f>
        <v>1</v>
      </c>
      <c r="F1244" s="1">
        <f t="shared" si="19"/>
        <v>0.2</v>
      </c>
      <c r="G1244" s="2">
        <f>AVERAGEIFS([3]!players[gold_per_min], [3]!players[name],A1244,[3]!players[hero_name],B1244)</f>
        <v>335</v>
      </c>
      <c r="H1244" s="2">
        <f>AVERAGEIFS([3]!players[xp_per_min], [3]!players[name],A1244,[3]!players[hero_name],B1244)</f>
        <v>458</v>
      </c>
    </row>
    <row r="1245" spans="1:8" x14ac:dyDescent="0.3">
      <c r="A1245" t="str">
        <v>n1ght</v>
      </c>
      <c r="B1245" t="str">
        <v>Ringmaster</v>
      </c>
      <c r="C1245" t="str" cm="1">
        <f t="array" ref="C1245">_xlfn.XLOOKUP(1,([3]!players[name]=A1245)*([3]!players[hero_name]=B1245),[3]!players[lane_name])</f>
        <v>Hard Support</v>
      </c>
      <c r="D1245">
        <f>COUNTIFS([3]!players[name],A1245,[3]!players[hero_name],B1245)</f>
        <v>4</v>
      </c>
      <c r="E1245">
        <f>COUNTIFS([3]!players[name],A1245,[3]!players[hero_name],B1245, [3]!players[win], 1)</f>
        <v>1</v>
      </c>
      <c r="F1245" s="1">
        <f t="shared" si="19"/>
        <v>0.25</v>
      </c>
      <c r="G1245" s="2">
        <f>AVERAGEIFS([3]!players[gold_per_min], [3]!players[name],A1245,[3]!players[hero_name],B1245)</f>
        <v>295.25</v>
      </c>
      <c r="H1245" s="2">
        <f>AVERAGEIFS([3]!players[xp_per_min], [3]!players[name],A1245,[3]!players[hero_name],B1245)</f>
        <v>396.25</v>
      </c>
    </row>
    <row r="1246" spans="1:8" x14ac:dyDescent="0.3">
      <c r="A1246" t="str">
        <v>n1ght</v>
      </c>
      <c r="B1246" t="str">
        <v>Shadow Demon</v>
      </c>
      <c r="C1246" t="str" cm="1">
        <f t="array" ref="C1246">_xlfn.XLOOKUP(1,([3]!players[name]=A1246)*([3]!players[hero_name]=B1246),[3]!players[lane_name])</f>
        <v>Roam</v>
      </c>
      <c r="D1246">
        <f>COUNTIFS([3]!players[name],A1246,[3]!players[hero_name],B1246)</f>
        <v>7</v>
      </c>
      <c r="E1246">
        <f>COUNTIFS([3]!players[name],A1246,[3]!players[hero_name],B1246, [3]!players[win], 1)</f>
        <v>6</v>
      </c>
      <c r="F1246" s="1">
        <f t="shared" si="19"/>
        <v>0.8571428571428571</v>
      </c>
      <c r="G1246" s="2">
        <f>AVERAGEIFS([3]!players[gold_per_min], [3]!players[name],A1246,[3]!players[hero_name],B1246)</f>
        <v>348.57142857142856</v>
      </c>
      <c r="H1246" s="2">
        <f>AVERAGEIFS([3]!players[xp_per_min], [3]!players[name],A1246,[3]!players[hero_name],B1246)</f>
        <v>513.57142857142856</v>
      </c>
    </row>
    <row r="1247" spans="1:8" x14ac:dyDescent="0.3">
      <c r="A1247" t="str">
        <v>n1ght</v>
      </c>
      <c r="B1247" t="str">
        <v>Tusk</v>
      </c>
      <c r="C1247" t="str" cm="1">
        <f t="array" ref="C1247">_xlfn.XLOOKUP(1,([3]!players[name]=A1247)*([3]!players[hero_name]=B1247),[3]!players[lane_name])</f>
        <v>Roam</v>
      </c>
      <c r="D1247">
        <f>COUNTIFS([3]!players[name],A1247,[3]!players[hero_name],B1247)</f>
        <v>1</v>
      </c>
      <c r="E1247">
        <f>COUNTIFS([3]!players[name],A1247,[3]!players[hero_name],B1247, [3]!players[win], 1)</f>
        <v>1</v>
      </c>
      <c r="F1247" s="1">
        <f t="shared" si="19"/>
        <v>1</v>
      </c>
      <c r="G1247" s="2">
        <f>AVERAGEIFS([3]!players[gold_per_min], [3]!players[name],A1247,[3]!players[hero_name],B1247)</f>
        <v>372</v>
      </c>
      <c r="H1247" s="2">
        <f>AVERAGEIFS([3]!players[xp_per_min], [3]!players[name],A1247,[3]!players[hero_name],B1247)</f>
        <v>602</v>
      </c>
    </row>
    <row r="1248" spans="1:8" x14ac:dyDescent="0.3">
      <c r="A1248" t="str">
        <v>n1ght</v>
      </c>
      <c r="B1248" t="str">
        <v>Muerta</v>
      </c>
      <c r="C1248" t="str" cm="1">
        <f t="array" ref="C1248">_xlfn.XLOOKUP(1,([3]!players[name]=A1248)*([3]!players[hero_name]=B1248),[3]!players[lane_name])</f>
        <v>Roam</v>
      </c>
      <c r="D1248">
        <f>COUNTIFS([3]!players[name],A1248,[3]!players[hero_name],B1248)</f>
        <v>1</v>
      </c>
      <c r="E1248">
        <f>COUNTIFS([3]!players[name],A1248,[3]!players[hero_name],B1248, [3]!players[win], 1)</f>
        <v>0</v>
      </c>
      <c r="F1248" s="1">
        <f t="shared" si="19"/>
        <v>0</v>
      </c>
      <c r="G1248" s="2">
        <f>AVERAGEIFS([3]!players[gold_per_min], [3]!players[name],A1248,[3]!players[hero_name],B1248)</f>
        <v>321</v>
      </c>
      <c r="H1248" s="2">
        <f>AVERAGEIFS([3]!players[xp_per_min], [3]!players[name],A1248,[3]!players[hero_name],B1248)</f>
        <v>361</v>
      </c>
    </row>
    <row r="1249" spans="1:8" x14ac:dyDescent="0.3">
      <c r="A1249" t="str">
        <v>n1ght</v>
      </c>
      <c r="B1249" t="str">
        <v>Phoenix</v>
      </c>
      <c r="C1249" t="str" cm="1">
        <f t="array" ref="C1249">_xlfn.XLOOKUP(1,([3]!players[name]=A1249)*([3]!players[hero_name]=B1249),[3]!players[lane_name])</f>
        <v>Soft Support</v>
      </c>
      <c r="D1249">
        <f>COUNTIFS([3]!players[name],A1249,[3]!players[hero_name],B1249)</f>
        <v>1</v>
      </c>
      <c r="E1249">
        <f>COUNTIFS([3]!players[name],A1249,[3]!players[hero_name],B1249, [3]!players[win], 1)</f>
        <v>0</v>
      </c>
      <c r="F1249" s="1">
        <f t="shared" si="19"/>
        <v>0</v>
      </c>
      <c r="G1249" s="2">
        <f>AVERAGEIFS([3]!players[gold_per_min], [3]!players[name],A1249,[3]!players[hero_name],B1249)</f>
        <v>309</v>
      </c>
      <c r="H1249" s="2">
        <f>AVERAGEIFS([3]!players[xp_per_min], [3]!players[name],A1249,[3]!players[hero_name],B1249)</f>
        <v>421</v>
      </c>
    </row>
    <row r="1250" spans="1:8" x14ac:dyDescent="0.3">
      <c r="A1250" t="str">
        <v>n1ght</v>
      </c>
      <c r="B1250" t="str">
        <v>Dark Willow</v>
      </c>
      <c r="C1250" t="str" cm="1">
        <f t="array" ref="C1250">_xlfn.XLOOKUP(1,([3]!players[name]=A1250)*([3]!players[hero_name]=B1250),[3]!players[lane_name])</f>
        <v>Hard Support</v>
      </c>
      <c r="D1250">
        <f>COUNTIFS([3]!players[name],A1250,[3]!players[hero_name],B1250)</f>
        <v>1</v>
      </c>
      <c r="E1250">
        <f>COUNTIFS([3]!players[name],A1250,[3]!players[hero_name],B1250, [3]!players[win], 1)</f>
        <v>0</v>
      </c>
      <c r="F1250" s="1">
        <f t="shared" si="19"/>
        <v>0</v>
      </c>
      <c r="G1250" s="2">
        <f>AVERAGEIFS([3]!players[gold_per_min], [3]!players[name],A1250,[3]!players[hero_name],B1250)</f>
        <v>221</v>
      </c>
      <c r="H1250" s="2">
        <f>AVERAGEIFS([3]!players[xp_per_min], [3]!players[name],A1250,[3]!players[hero_name],B1250)</f>
        <v>251</v>
      </c>
    </row>
    <row r="1251" spans="1:8" x14ac:dyDescent="0.3">
      <c r="A1251" t="str">
        <v>n1ght</v>
      </c>
      <c r="B1251" t="str">
        <v>Grimstroke</v>
      </c>
      <c r="C1251" t="str" cm="1">
        <f t="array" ref="C1251">_xlfn.XLOOKUP(1,([3]!players[name]=A1251)*([3]!players[hero_name]=B1251),[3]!players[lane_name])</f>
        <v>Soft Support</v>
      </c>
      <c r="D1251">
        <f>COUNTIFS([3]!players[name],A1251,[3]!players[hero_name],B1251)</f>
        <v>1</v>
      </c>
      <c r="E1251">
        <f>COUNTIFS([3]!players[name],A1251,[3]!players[hero_name],B1251, [3]!players[win], 1)</f>
        <v>0</v>
      </c>
      <c r="F1251" s="1">
        <f t="shared" si="19"/>
        <v>0</v>
      </c>
      <c r="G1251" s="2">
        <f>AVERAGEIFS([3]!players[gold_per_min], [3]!players[name],A1251,[3]!players[hero_name],B1251)</f>
        <v>344</v>
      </c>
      <c r="H1251" s="2">
        <f>AVERAGEIFS([3]!players[xp_per_min], [3]!players[name],A1251,[3]!players[hero_name],B1251)</f>
        <v>524</v>
      </c>
    </row>
    <row r="1252" spans="1:8" x14ac:dyDescent="0.3">
      <c r="A1252" t="str">
        <v>n1ght</v>
      </c>
      <c r="B1252" t="str">
        <v>Shadow Shaman</v>
      </c>
      <c r="C1252" t="str" cm="1">
        <f t="array" ref="C1252">_xlfn.XLOOKUP(1,([3]!players[name]=A1252)*([3]!players[hero_name]=B1252),[3]!players[lane_name])</f>
        <v>Hard Support</v>
      </c>
      <c r="D1252">
        <f>COUNTIFS([3]!players[name],A1252,[3]!players[hero_name],B1252)</f>
        <v>1</v>
      </c>
      <c r="E1252">
        <f>COUNTIFS([3]!players[name],A1252,[3]!players[hero_name],B1252, [3]!players[win], 1)</f>
        <v>1</v>
      </c>
      <c r="F1252" s="1">
        <f t="shared" si="19"/>
        <v>1</v>
      </c>
      <c r="G1252" s="2">
        <f>AVERAGEIFS([3]!players[gold_per_min], [3]!players[name],A1252,[3]!players[hero_name],B1252)</f>
        <v>349</v>
      </c>
      <c r="H1252" s="2">
        <f>AVERAGEIFS([3]!players[xp_per_min], [3]!players[name],A1252,[3]!players[hero_name],B1252)</f>
        <v>488</v>
      </c>
    </row>
    <row r="1253" spans="1:8" x14ac:dyDescent="0.3">
      <c r="A1253" t="str">
        <v>Nameless9299</v>
      </c>
      <c r="B1253" t="str">
        <v>Tusk</v>
      </c>
      <c r="C1253" t="str" cm="1">
        <f t="array" ref="C1253">_xlfn.XLOOKUP(1,([3]!players[name]=A1253)*([3]!players[hero_name]=B1253),[3]!players[lane_name])</f>
        <v>Hard Support</v>
      </c>
      <c r="D1253">
        <f>COUNTIFS([3]!players[name],A1253,[3]!players[hero_name],B1253)</f>
        <v>4</v>
      </c>
      <c r="E1253">
        <f>COUNTIFS([3]!players[name],A1253,[3]!players[hero_name],B1253, [3]!players[win], 1)</f>
        <v>2</v>
      </c>
      <c r="F1253" s="1">
        <f t="shared" si="19"/>
        <v>0.5</v>
      </c>
      <c r="G1253" s="2">
        <f>AVERAGEIFS([3]!players[gold_per_min], [3]!players[name],A1253,[3]!players[hero_name],B1253)</f>
        <v>326.25</v>
      </c>
      <c r="H1253" s="2">
        <f>AVERAGEIFS([3]!players[xp_per_min], [3]!players[name],A1253,[3]!players[hero_name],B1253)</f>
        <v>484.25</v>
      </c>
    </row>
    <row r="1254" spans="1:8" x14ac:dyDescent="0.3">
      <c r="A1254" t="str">
        <v>Nameless9299</v>
      </c>
      <c r="B1254" t="str">
        <v>Shadow Shaman</v>
      </c>
      <c r="C1254" t="str" cm="1">
        <f t="array" ref="C1254">_xlfn.XLOOKUP(1,([3]!players[name]=A1254)*([3]!players[hero_name]=B1254),[3]!players[lane_name])</f>
        <v>Hard Support</v>
      </c>
      <c r="D1254">
        <f>COUNTIFS([3]!players[name],A1254,[3]!players[hero_name],B1254)</f>
        <v>1</v>
      </c>
      <c r="E1254">
        <f>COUNTIFS([3]!players[name],A1254,[3]!players[hero_name],B1254, [3]!players[win], 1)</f>
        <v>1</v>
      </c>
      <c r="F1254" s="1">
        <f t="shared" si="19"/>
        <v>1</v>
      </c>
      <c r="G1254" s="2">
        <f>AVERAGEIFS([3]!players[gold_per_min], [3]!players[name],A1254,[3]!players[hero_name],B1254)</f>
        <v>314</v>
      </c>
      <c r="H1254" s="2">
        <f>AVERAGEIFS([3]!players[xp_per_min], [3]!players[name],A1254,[3]!players[hero_name],B1254)</f>
        <v>545</v>
      </c>
    </row>
    <row r="1255" spans="1:8" x14ac:dyDescent="0.3">
      <c r="A1255" t="str">
        <v>Nameless9299</v>
      </c>
      <c r="B1255" t="str">
        <v>Shadow Demon</v>
      </c>
      <c r="C1255" t="str" cm="1">
        <f t="array" ref="C1255">_xlfn.XLOOKUP(1,([3]!players[name]=A1255)*([3]!players[hero_name]=B1255),[3]!players[lane_name])</f>
        <v>Soft Support</v>
      </c>
      <c r="D1255">
        <f>COUNTIFS([3]!players[name],A1255,[3]!players[hero_name],B1255)</f>
        <v>1</v>
      </c>
      <c r="E1255">
        <f>COUNTIFS([3]!players[name],A1255,[3]!players[hero_name],B1255, [3]!players[win], 1)</f>
        <v>1</v>
      </c>
      <c r="F1255" s="1">
        <f t="shared" si="19"/>
        <v>1</v>
      </c>
      <c r="G1255" s="2">
        <f>AVERAGEIFS([3]!players[gold_per_min], [3]!players[name],A1255,[3]!players[hero_name],B1255)</f>
        <v>343</v>
      </c>
      <c r="H1255" s="2">
        <f>AVERAGEIFS([3]!players[xp_per_min], [3]!players[name],A1255,[3]!players[hero_name],B1255)</f>
        <v>564</v>
      </c>
    </row>
    <row r="1256" spans="1:8" x14ac:dyDescent="0.3">
      <c r="A1256" t="str">
        <v>Nameless9299</v>
      </c>
      <c r="B1256" t="str">
        <v>Earth Spirit</v>
      </c>
      <c r="C1256" t="str" cm="1">
        <f t="array" ref="C1256">_xlfn.XLOOKUP(1,([3]!players[name]=A1256)*([3]!players[hero_name]=B1256),[3]!players[lane_name])</f>
        <v>Hard Support</v>
      </c>
      <c r="D1256">
        <f>COUNTIFS([3]!players[name],A1256,[3]!players[hero_name],B1256)</f>
        <v>1</v>
      </c>
      <c r="E1256">
        <f>COUNTIFS([3]!players[name],A1256,[3]!players[hero_name],B1256, [3]!players[win], 1)</f>
        <v>0</v>
      </c>
      <c r="F1256" s="1">
        <f t="shared" si="19"/>
        <v>0</v>
      </c>
      <c r="G1256" s="2">
        <f>AVERAGEIFS([3]!players[gold_per_min], [3]!players[name],A1256,[3]!players[hero_name],B1256)</f>
        <v>220</v>
      </c>
      <c r="H1256" s="2">
        <f>AVERAGEIFS([3]!players[xp_per_min], [3]!players[name],A1256,[3]!players[hero_name],B1256)</f>
        <v>280</v>
      </c>
    </row>
    <row r="1257" spans="1:8" x14ac:dyDescent="0.3">
      <c r="A1257" t="str">
        <v>NARMAN</v>
      </c>
      <c r="B1257" t="str">
        <v>Warlock</v>
      </c>
      <c r="C1257" t="str" cm="1">
        <f t="array" ref="C1257">_xlfn.XLOOKUP(1,([3]!players[name]=A1257)*([3]!players[hero_name]=B1257),[3]!players[lane_name])</f>
        <v>Hard Support</v>
      </c>
      <c r="D1257">
        <f>COUNTIFS([3]!players[name],A1257,[3]!players[hero_name],B1257)</f>
        <v>3</v>
      </c>
      <c r="E1257">
        <f>COUNTIFS([3]!players[name],A1257,[3]!players[hero_name],B1257, [3]!players[win], 1)</f>
        <v>1</v>
      </c>
      <c r="F1257" s="1">
        <f t="shared" si="19"/>
        <v>0.33333333333333331</v>
      </c>
      <c r="G1257" s="2">
        <f>AVERAGEIFS([3]!players[gold_per_min], [3]!players[name],A1257,[3]!players[hero_name],B1257)</f>
        <v>333</v>
      </c>
      <c r="H1257" s="2">
        <f>AVERAGEIFS([3]!players[xp_per_min], [3]!players[name],A1257,[3]!players[hero_name],B1257)</f>
        <v>455.33333333333331</v>
      </c>
    </row>
    <row r="1258" spans="1:8" x14ac:dyDescent="0.3">
      <c r="A1258" t="str">
        <v>NARMAN</v>
      </c>
      <c r="B1258" t="str">
        <v>Phoenix</v>
      </c>
      <c r="C1258" t="str" cm="1">
        <f t="array" ref="C1258">_xlfn.XLOOKUP(1,([3]!players[name]=A1258)*([3]!players[hero_name]=B1258),[3]!players[lane_name])</f>
        <v>Soft Support</v>
      </c>
      <c r="D1258">
        <f>COUNTIFS([3]!players[name],A1258,[3]!players[hero_name],B1258)</f>
        <v>8</v>
      </c>
      <c r="E1258">
        <f>COUNTIFS([3]!players[name],A1258,[3]!players[hero_name],B1258, [3]!players[win], 1)</f>
        <v>5</v>
      </c>
      <c r="F1258" s="1">
        <f t="shared" si="19"/>
        <v>0.625</v>
      </c>
      <c r="G1258" s="2">
        <f>AVERAGEIFS([3]!players[gold_per_min], [3]!players[name],A1258,[3]!players[hero_name],B1258)</f>
        <v>376.75</v>
      </c>
      <c r="H1258" s="2">
        <f>AVERAGEIFS([3]!players[xp_per_min], [3]!players[name],A1258,[3]!players[hero_name],B1258)</f>
        <v>524.75</v>
      </c>
    </row>
    <row r="1259" spans="1:8" x14ac:dyDescent="0.3">
      <c r="A1259" t="str">
        <v>NARMAN</v>
      </c>
      <c r="B1259" t="str">
        <v>Dazzle</v>
      </c>
      <c r="C1259" t="str" cm="1">
        <f t="array" ref="C1259">_xlfn.XLOOKUP(1,([3]!players[name]=A1259)*([3]!players[hero_name]=B1259),[3]!players[lane_name])</f>
        <v>Hard Support</v>
      </c>
      <c r="D1259">
        <f>COUNTIFS([3]!players[name],A1259,[3]!players[hero_name],B1259)</f>
        <v>1</v>
      </c>
      <c r="E1259">
        <f>COUNTIFS([3]!players[name],A1259,[3]!players[hero_name],B1259, [3]!players[win], 1)</f>
        <v>1</v>
      </c>
      <c r="F1259" s="1">
        <f t="shared" si="19"/>
        <v>1</v>
      </c>
      <c r="G1259" s="2">
        <f>AVERAGEIFS([3]!players[gold_per_min], [3]!players[name],A1259,[3]!players[hero_name],B1259)</f>
        <v>279</v>
      </c>
      <c r="H1259" s="2">
        <f>AVERAGEIFS([3]!players[xp_per_min], [3]!players[name],A1259,[3]!players[hero_name],B1259)</f>
        <v>341</v>
      </c>
    </row>
    <row r="1260" spans="1:8" x14ac:dyDescent="0.3">
      <c r="A1260" t="str">
        <v>NARMAN</v>
      </c>
      <c r="B1260" t="str">
        <v>Venomancer</v>
      </c>
      <c r="C1260" t="str" cm="1">
        <f t="array" ref="C1260">_xlfn.XLOOKUP(1,([3]!players[name]=A1260)*([3]!players[hero_name]=B1260),[3]!players[lane_name])</f>
        <v>Soft Support</v>
      </c>
      <c r="D1260">
        <f>COUNTIFS([3]!players[name],A1260,[3]!players[hero_name],B1260)</f>
        <v>1</v>
      </c>
      <c r="E1260">
        <f>COUNTIFS([3]!players[name],A1260,[3]!players[hero_name],B1260, [3]!players[win], 1)</f>
        <v>0</v>
      </c>
      <c r="F1260" s="1">
        <f t="shared" si="19"/>
        <v>0</v>
      </c>
      <c r="G1260" s="2">
        <f>AVERAGEIFS([3]!players[gold_per_min], [3]!players[name],A1260,[3]!players[hero_name],B1260)</f>
        <v>357</v>
      </c>
      <c r="H1260" s="2">
        <f>AVERAGEIFS([3]!players[xp_per_min], [3]!players[name],A1260,[3]!players[hero_name],B1260)</f>
        <v>329</v>
      </c>
    </row>
    <row r="1261" spans="1:8" x14ac:dyDescent="0.3">
      <c r="A1261" t="str">
        <v>NARMAN</v>
      </c>
      <c r="B1261" t="str">
        <v>Jakiro</v>
      </c>
      <c r="C1261" t="str" cm="1">
        <f t="array" ref="C1261">_xlfn.XLOOKUP(1,([3]!players[name]=A1261)*([3]!players[hero_name]=B1261),[3]!players[lane_name])</f>
        <v>Hard Support</v>
      </c>
      <c r="D1261">
        <f>COUNTIFS([3]!players[name],A1261,[3]!players[hero_name],B1261)</f>
        <v>3</v>
      </c>
      <c r="E1261">
        <f>COUNTIFS([3]!players[name],A1261,[3]!players[hero_name],B1261, [3]!players[win], 1)</f>
        <v>3</v>
      </c>
      <c r="F1261" s="1">
        <f t="shared" si="19"/>
        <v>1</v>
      </c>
      <c r="G1261" s="2">
        <f>AVERAGEIFS([3]!players[gold_per_min], [3]!players[name],A1261,[3]!players[hero_name],B1261)</f>
        <v>365.66666666666669</v>
      </c>
      <c r="H1261" s="2">
        <f>AVERAGEIFS([3]!players[xp_per_min], [3]!players[name],A1261,[3]!players[hero_name],B1261)</f>
        <v>548.33333333333337</v>
      </c>
    </row>
    <row r="1262" spans="1:8" x14ac:dyDescent="0.3">
      <c r="A1262" t="str">
        <v>NARMAN</v>
      </c>
      <c r="B1262" t="str">
        <v>Io</v>
      </c>
      <c r="C1262" t="str" cm="1">
        <f t="array" ref="C1262">_xlfn.XLOOKUP(1,([3]!players[name]=A1262)*([3]!players[hero_name]=B1262),[3]!players[lane_name])</f>
        <v>Soft Support</v>
      </c>
      <c r="D1262">
        <f>COUNTIFS([3]!players[name],A1262,[3]!players[hero_name],B1262)</f>
        <v>6</v>
      </c>
      <c r="E1262">
        <f>COUNTIFS([3]!players[name],A1262,[3]!players[hero_name],B1262, [3]!players[win], 1)</f>
        <v>5</v>
      </c>
      <c r="F1262" s="1">
        <f t="shared" si="19"/>
        <v>0.83333333333333337</v>
      </c>
      <c r="G1262" s="2">
        <f>AVERAGEIFS([3]!players[gold_per_min], [3]!players[name],A1262,[3]!players[hero_name],B1262)</f>
        <v>393.5</v>
      </c>
      <c r="H1262" s="2">
        <f>AVERAGEIFS([3]!players[xp_per_min], [3]!players[name],A1262,[3]!players[hero_name],B1262)</f>
        <v>587.66666666666663</v>
      </c>
    </row>
    <row r="1263" spans="1:8" x14ac:dyDescent="0.3">
      <c r="A1263" t="str">
        <v>NARMAN</v>
      </c>
      <c r="B1263" t="str">
        <v>Witch Doctor</v>
      </c>
      <c r="C1263" t="str" cm="1">
        <f t="array" ref="C1263">_xlfn.XLOOKUP(1,([3]!players[name]=A1263)*([3]!players[hero_name]=B1263),[3]!players[lane_name])</f>
        <v>Soft Support</v>
      </c>
      <c r="D1263">
        <f>COUNTIFS([3]!players[name],A1263,[3]!players[hero_name],B1263)</f>
        <v>1</v>
      </c>
      <c r="E1263">
        <f>COUNTIFS([3]!players[name],A1263,[3]!players[hero_name],B1263, [3]!players[win], 1)</f>
        <v>0</v>
      </c>
      <c r="F1263" s="1">
        <f t="shared" si="19"/>
        <v>0</v>
      </c>
      <c r="G1263" s="2">
        <f>AVERAGEIFS([3]!players[gold_per_min], [3]!players[name],A1263,[3]!players[hero_name],B1263)</f>
        <v>332</v>
      </c>
      <c r="H1263" s="2">
        <f>AVERAGEIFS([3]!players[xp_per_min], [3]!players[name],A1263,[3]!players[hero_name],B1263)</f>
        <v>461</v>
      </c>
    </row>
    <row r="1264" spans="1:8" x14ac:dyDescent="0.3">
      <c r="A1264" t="str">
        <v>NARMAN</v>
      </c>
      <c r="B1264" t="str">
        <v>Batrider</v>
      </c>
      <c r="C1264" t="str" cm="1">
        <f t="array" ref="C1264">_xlfn.XLOOKUP(1,([3]!players[name]=A1264)*([3]!players[hero_name]=B1264),[3]!players[lane_name])</f>
        <v>Roam</v>
      </c>
      <c r="D1264">
        <f>COUNTIFS([3]!players[name],A1264,[3]!players[hero_name],B1264)</f>
        <v>1</v>
      </c>
      <c r="E1264">
        <f>COUNTIFS([3]!players[name],A1264,[3]!players[hero_name],B1264, [3]!players[win], 1)</f>
        <v>1</v>
      </c>
      <c r="F1264" s="1">
        <f t="shared" si="19"/>
        <v>1</v>
      </c>
      <c r="G1264" s="2">
        <f>AVERAGEIFS([3]!players[gold_per_min], [3]!players[name],A1264,[3]!players[hero_name],B1264)</f>
        <v>414</v>
      </c>
      <c r="H1264" s="2">
        <f>AVERAGEIFS([3]!players[xp_per_min], [3]!players[name],A1264,[3]!players[hero_name],B1264)</f>
        <v>441</v>
      </c>
    </row>
    <row r="1265" spans="1:8" x14ac:dyDescent="0.3">
      <c r="A1265" t="str">
        <v>NARMAN</v>
      </c>
      <c r="B1265" t="str">
        <v>Enchantress</v>
      </c>
      <c r="C1265" t="str" cm="1">
        <f t="array" ref="C1265">_xlfn.XLOOKUP(1,([3]!players[name]=A1265)*([3]!players[hero_name]=B1265),[3]!players[lane_name])</f>
        <v>Hard Support</v>
      </c>
      <c r="D1265">
        <f>COUNTIFS([3]!players[name],A1265,[3]!players[hero_name],B1265)</f>
        <v>1</v>
      </c>
      <c r="E1265">
        <f>COUNTIFS([3]!players[name],A1265,[3]!players[hero_name],B1265, [3]!players[win], 1)</f>
        <v>1</v>
      </c>
      <c r="F1265" s="1">
        <f t="shared" si="19"/>
        <v>1</v>
      </c>
      <c r="G1265" s="2">
        <f>AVERAGEIFS([3]!players[gold_per_min], [3]!players[name],A1265,[3]!players[hero_name],B1265)</f>
        <v>359</v>
      </c>
      <c r="H1265" s="2">
        <f>AVERAGEIFS([3]!players[xp_per_min], [3]!players[name],A1265,[3]!players[hero_name],B1265)</f>
        <v>447</v>
      </c>
    </row>
    <row r="1266" spans="1:8" x14ac:dyDescent="0.3">
      <c r="A1266" t="str">
        <v>NARMAN</v>
      </c>
      <c r="B1266" t="str">
        <v>Pugna</v>
      </c>
      <c r="C1266" t="str" cm="1">
        <f t="array" ref="C1266">_xlfn.XLOOKUP(1,([3]!players[name]=A1266)*([3]!players[hero_name]=B1266),[3]!players[lane_name])</f>
        <v>Roam</v>
      </c>
      <c r="D1266">
        <f>COUNTIFS([3]!players[name],A1266,[3]!players[hero_name],B1266)</f>
        <v>1</v>
      </c>
      <c r="E1266">
        <f>COUNTIFS([3]!players[name],A1266,[3]!players[hero_name],B1266, [3]!players[win], 1)</f>
        <v>0</v>
      </c>
      <c r="F1266" s="1">
        <f t="shared" si="19"/>
        <v>0</v>
      </c>
      <c r="G1266" s="2">
        <f>AVERAGEIFS([3]!players[gold_per_min], [3]!players[name],A1266,[3]!players[hero_name],B1266)</f>
        <v>347</v>
      </c>
      <c r="H1266" s="2">
        <f>AVERAGEIFS([3]!players[xp_per_min], [3]!players[name],A1266,[3]!players[hero_name],B1266)</f>
        <v>444</v>
      </c>
    </row>
    <row r="1267" spans="1:8" x14ac:dyDescent="0.3">
      <c r="A1267" t="str">
        <v>nefrit</v>
      </c>
      <c r="B1267" t="str">
        <v>Largo</v>
      </c>
      <c r="C1267" t="str" cm="1">
        <f t="array" ref="C1267">_xlfn.XLOOKUP(1,([3]!players[name]=A1267)*([3]!players[hero_name]=B1267),[3]!players[lane_name])</f>
        <v>Off Lane</v>
      </c>
      <c r="D1267">
        <f>COUNTIFS([3]!players[name],A1267,[3]!players[hero_name],B1267)</f>
        <v>2</v>
      </c>
      <c r="E1267">
        <f>COUNTIFS([3]!players[name],A1267,[3]!players[hero_name],B1267, [3]!players[win], 1)</f>
        <v>1</v>
      </c>
      <c r="F1267" s="1">
        <f t="shared" si="19"/>
        <v>0.5</v>
      </c>
      <c r="G1267" s="2">
        <f>AVERAGEIFS([3]!players[gold_per_min], [3]!players[name],A1267,[3]!players[hero_name],B1267)</f>
        <v>533.5</v>
      </c>
      <c r="H1267" s="2">
        <f>AVERAGEIFS([3]!players[xp_per_min], [3]!players[name],A1267,[3]!players[hero_name],B1267)</f>
        <v>623</v>
      </c>
    </row>
    <row r="1268" spans="1:8" x14ac:dyDescent="0.3">
      <c r="A1268" t="str">
        <v>nefrit</v>
      </c>
      <c r="B1268" t="str">
        <v>Underlord</v>
      </c>
      <c r="C1268" t="str" cm="1">
        <f t="array" ref="C1268">_xlfn.XLOOKUP(1,([3]!players[name]=A1268)*([3]!players[hero_name]=B1268),[3]!players[lane_name])</f>
        <v>Off Lane</v>
      </c>
      <c r="D1268">
        <f>COUNTIFS([3]!players[name],A1268,[3]!players[hero_name],B1268)</f>
        <v>3</v>
      </c>
      <c r="E1268">
        <f>COUNTIFS([3]!players[name],A1268,[3]!players[hero_name],B1268, [3]!players[win], 1)</f>
        <v>0</v>
      </c>
      <c r="F1268" s="1">
        <f t="shared" si="19"/>
        <v>0</v>
      </c>
      <c r="G1268" s="2">
        <f>AVERAGEIFS([3]!players[gold_per_min], [3]!players[name],A1268,[3]!players[hero_name],B1268)</f>
        <v>489.66666666666669</v>
      </c>
      <c r="H1268" s="2">
        <f>AVERAGEIFS([3]!players[xp_per_min], [3]!players[name],A1268,[3]!players[hero_name],B1268)</f>
        <v>585.33333333333337</v>
      </c>
    </row>
    <row r="1269" spans="1:8" x14ac:dyDescent="0.3">
      <c r="A1269" t="str">
        <v>nefrit</v>
      </c>
      <c r="B1269" t="str">
        <v>Timbersaw</v>
      </c>
      <c r="C1269" t="str" cm="1">
        <f t="array" ref="C1269">_xlfn.XLOOKUP(1,([3]!players[name]=A1269)*([3]!players[hero_name]=B1269),[3]!players[lane_name])</f>
        <v>Off Lane</v>
      </c>
      <c r="D1269">
        <f>COUNTIFS([3]!players[name],A1269,[3]!players[hero_name],B1269)</f>
        <v>2</v>
      </c>
      <c r="E1269">
        <f>COUNTIFS([3]!players[name],A1269,[3]!players[hero_name],B1269, [3]!players[win], 1)</f>
        <v>1</v>
      </c>
      <c r="F1269" s="1">
        <f t="shared" si="19"/>
        <v>0.5</v>
      </c>
      <c r="G1269" s="2">
        <f>AVERAGEIFS([3]!players[gold_per_min], [3]!players[name],A1269,[3]!players[hero_name],B1269)</f>
        <v>600</v>
      </c>
      <c r="H1269" s="2">
        <f>AVERAGEIFS([3]!players[xp_per_min], [3]!players[name],A1269,[3]!players[hero_name],B1269)</f>
        <v>774.5</v>
      </c>
    </row>
    <row r="1270" spans="1:8" x14ac:dyDescent="0.3">
      <c r="A1270" t="str">
        <v>nefrit</v>
      </c>
      <c r="B1270" t="str">
        <v>Tidehunter</v>
      </c>
      <c r="C1270" t="str" cm="1">
        <f t="array" ref="C1270">_xlfn.XLOOKUP(1,([3]!players[name]=A1270)*([3]!players[hero_name]=B1270),[3]!players[lane_name])</f>
        <v>Off Lane</v>
      </c>
      <c r="D1270">
        <f>COUNTIFS([3]!players[name],A1270,[3]!players[hero_name],B1270)</f>
        <v>11</v>
      </c>
      <c r="E1270">
        <f>COUNTIFS([3]!players[name],A1270,[3]!players[hero_name],B1270, [3]!players[win], 1)</f>
        <v>6</v>
      </c>
      <c r="F1270" s="1">
        <f t="shared" si="19"/>
        <v>0.54545454545454541</v>
      </c>
      <c r="G1270" s="2">
        <f>AVERAGEIFS([3]!players[gold_per_min], [3]!players[name],A1270,[3]!players[hero_name],B1270)</f>
        <v>520.72727272727275</v>
      </c>
      <c r="H1270" s="2">
        <f>AVERAGEIFS([3]!players[xp_per_min], [3]!players[name],A1270,[3]!players[hero_name],B1270)</f>
        <v>670.5454545454545</v>
      </c>
    </row>
    <row r="1271" spans="1:8" x14ac:dyDescent="0.3">
      <c r="A1271" t="str">
        <v>nefrit</v>
      </c>
      <c r="B1271" t="str">
        <v>Bristleback</v>
      </c>
      <c r="C1271" t="str" cm="1">
        <f t="array" ref="C1271">_xlfn.XLOOKUP(1,([3]!players[name]=A1271)*([3]!players[hero_name]=B1271),[3]!players[lane_name])</f>
        <v>Off Lane</v>
      </c>
      <c r="D1271">
        <f>COUNTIFS([3]!players[name],A1271,[3]!players[hero_name],B1271)</f>
        <v>3</v>
      </c>
      <c r="E1271">
        <f>COUNTIFS([3]!players[name],A1271,[3]!players[hero_name],B1271, [3]!players[win], 1)</f>
        <v>2</v>
      </c>
      <c r="F1271" s="1">
        <f t="shared" si="19"/>
        <v>0.66666666666666663</v>
      </c>
      <c r="G1271" s="2">
        <f>AVERAGEIFS([3]!players[gold_per_min], [3]!players[name],A1271,[3]!players[hero_name],B1271)</f>
        <v>552</v>
      </c>
      <c r="H1271" s="2">
        <f>AVERAGEIFS([3]!players[xp_per_min], [3]!players[name],A1271,[3]!players[hero_name],B1271)</f>
        <v>700</v>
      </c>
    </row>
    <row r="1272" spans="1:8" x14ac:dyDescent="0.3">
      <c r="A1272" t="str">
        <v>nefrit</v>
      </c>
      <c r="B1272" t="str">
        <v>Beastmaster</v>
      </c>
      <c r="C1272" t="str" cm="1">
        <f t="array" ref="C1272">_xlfn.XLOOKUP(1,([3]!players[name]=A1272)*([3]!players[hero_name]=B1272),[3]!players[lane_name])</f>
        <v>Off Lane</v>
      </c>
      <c r="D1272">
        <f>COUNTIFS([3]!players[name],A1272,[3]!players[hero_name],B1272)</f>
        <v>2</v>
      </c>
      <c r="E1272">
        <f>COUNTIFS([3]!players[name],A1272,[3]!players[hero_name],B1272, [3]!players[win], 1)</f>
        <v>0</v>
      </c>
      <c r="F1272" s="1">
        <f t="shared" si="19"/>
        <v>0</v>
      </c>
      <c r="G1272" s="2">
        <f>AVERAGEIFS([3]!players[gold_per_min], [3]!players[name],A1272,[3]!players[hero_name],B1272)</f>
        <v>549.5</v>
      </c>
      <c r="H1272" s="2">
        <f>AVERAGEIFS([3]!players[xp_per_min], [3]!players[name],A1272,[3]!players[hero_name],B1272)</f>
        <v>674.5</v>
      </c>
    </row>
    <row r="1273" spans="1:8" x14ac:dyDescent="0.3">
      <c r="A1273" t="str">
        <v>nefrit</v>
      </c>
      <c r="B1273" t="str">
        <v>Brewmaster</v>
      </c>
      <c r="C1273" t="str" cm="1">
        <f t="array" ref="C1273">_xlfn.XLOOKUP(1,([3]!players[name]=A1273)*([3]!players[hero_name]=B1273),[3]!players[lane_name])</f>
        <v>Soft Support</v>
      </c>
      <c r="D1273">
        <f>COUNTIFS([3]!players[name],A1273,[3]!players[hero_name],B1273)</f>
        <v>3</v>
      </c>
      <c r="E1273">
        <f>COUNTIFS([3]!players[name],A1273,[3]!players[hero_name],B1273, [3]!players[win], 1)</f>
        <v>2</v>
      </c>
      <c r="F1273" s="1">
        <f t="shared" si="19"/>
        <v>0.66666666666666663</v>
      </c>
      <c r="G1273" s="2">
        <f>AVERAGEIFS([3]!players[gold_per_min], [3]!players[name],A1273,[3]!players[hero_name],B1273)</f>
        <v>553.66666666666663</v>
      </c>
      <c r="H1273" s="2">
        <f>AVERAGEIFS([3]!players[xp_per_min], [3]!players[name],A1273,[3]!players[hero_name],B1273)</f>
        <v>758</v>
      </c>
    </row>
    <row r="1274" spans="1:8" x14ac:dyDescent="0.3">
      <c r="A1274" t="str">
        <v>nefrit</v>
      </c>
      <c r="B1274" t="str">
        <v>Lycan</v>
      </c>
      <c r="C1274" t="str" cm="1">
        <f t="array" ref="C1274">_xlfn.XLOOKUP(1,([3]!players[name]=A1274)*([3]!players[hero_name]=B1274),[3]!players[lane_name])</f>
        <v>Off Lane</v>
      </c>
      <c r="D1274">
        <f>COUNTIFS([3]!players[name],A1274,[3]!players[hero_name],B1274)</f>
        <v>1</v>
      </c>
      <c r="E1274">
        <f>COUNTIFS([3]!players[name],A1274,[3]!players[hero_name],B1274, [3]!players[win], 1)</f>
        <v>0</v>
      </c>
      <c r="F1274" s="1">
        <f t="shared" si="19"/>
        <v>0</v>
      </c>
      <c r="G1274" s="2">
        <f>AVERAGEIFS([3]!players[gold_per_min], [3]!players[name],A1274,[3]!players[hero_name],B1274)</f>
        <v>457</v>
      </c>
      <c r="H1274" s="2">
        <f>AVERAGEIFS([3]!players[xp_per_min], [3]!players[name],A1274,[3]!players[hero_name],B1274)</f>
        <v>498</v>
      </c>
    </row>
    <row r="1275" spans="1:8" x14ac:dyDescent="0.3">
      <c r="A1275" t="str">
        <v>nefrit</v>
      </c>
      <c r="B1275" t="str">
        <v>Doom</v>
      </c>
      <c r="C1275" t="str" cm="1">
        <f t="array" ref="C1275">_xlfn.XLOOKUP(1,([3]!players[name]=A1275)*([3]!players[hero_name]=B1275),[3]!players[lane_name])</f>
        <v>Off Lane</v>
      </c>
      <c r="D1275">
        <f>COUNTIFS([3]!players[name],A1275,[3]!players[hero_name],B1275)</f>
        <v>7</v>
      </c>
      <c r="E1275">
        <f>COUNTIFS([3]!players[name],A1275,[3]!players[hero_name],B1275, [3]!players[win], 1)</f>
        <v>4</v>
      </c>
      <c r="F1275" s="1">
        <f t="shared" si="19"/>
        <v>0.5714285714285714</v>
      </c>
      <c r="G1275" s="2">
        <f>AVERAGEIFS([3]!players[gold_per_min], [3]!players[name],A1275,[3]!players[hero_name],B1275)</f>
        <v>576.14285714285711</v>
      </c>
      <c r="H1275" s="2">
        <f>AVERAGEIFS([3]!players[xp_per_min], [3]!players[name],A1275,[3]!players[hero_name],B1275)</f>
        <v>715</v>
      </c>
    </row>
    <row r="1276" spans="1:8" x14ac:dyDescent="0.3">
      <c r="A1276" t="str">
        <v>nefrit</v>
      </c>
      <c r="B1276" t="str">
        <v>Dark Seer</v>
      </c>
      <c r="C1276" t="str" cm="1">
        <f t="array" ref="C1276">_xlfn.XLOOKUP(1,([3]!players[name]=A1276)*([3]!players[hero_name]=B1276),[3]!players[lane_name])</f>
        <v>Off Lane</v>
      </c>
      <c r="D1276">
        <f>COUNTIFS([3]!players[name],A1276,[3]!players[hero_name],B1276)</f>
        <v>1</v>
      </c>
      <c r="E1276">
        <f>COUNTIFS([3]!players[name],A1276,[3]!players[hero_name],B1276, [3]!players[win], 1)</f>
        <v>0</v>
      </c>
      <c r="F1276" s="1">
        <f t="shared" si="19"/>
        <v>0</v>
      </c>
      <c r="G1276" s="2">
        <f>AVERAGEIFS([3]!players[gold_per_min], [3]!players[name],A1276,[3]!players[hero_name],B1276)</f>
        <v>433</v>
      </c>
      <c r="H1276" s="2">
        <f>AVERAGEIFS([3]!players[xp_per_min], [3]!players[name],A1276,[3]!players[hero_name],B1276)</f>
        <v>424</v>
      </c>
    </row>
    <row r="1277" spans="1:8" x14ac:dyDescent="0.3">
      <c r="A1277" t="str">
        <v>nefrit</v>
      </c>
      <c r="B1277" t="str">
        <v>Pangolier</v>
      </c>
      <c r="C1277" t="str" cm="1">
        <f t="array" ref="C1277">_xlfn.XLOOKUP(1,([3]!players[name]=A1277)*([3]!players[hero_name]=B1277),[3]!players[lane_name])</f>
        <v>Off Lane</v>
      </c>
      <c r="D1277">
        <f>COUNTIFS([3]!players[name],A1277,[3]!players[hero_name],B1277)</f>
        <v>1</v>
      </c>
      <c r="E1277">
        <f>COUNTIFS([3]!players[name],A1277,[3]!players[hero_name],B1277, [3]!players[win], 1)</f>
        <v>1</v>
      </c>
      <c r="F1277" s="1">
        <f t="shared" si="19"/>
        <v>1</v>
      </c>
      <c r="G1277" s="2">
        <f>AVERAGEIFS([3]!players[gold_per_min], [3]!players[name],A1277,[3]!players[hero_name],B1277)</f>
        <v>563</v>
      </c>
      <c r="H1277" s="2">
        <f>AVERAGEIFS([3]!players[xp_per_min], [3]!players[name],A1277,[3]!players[hero_name],B1277)</f>
        <v>725</v>
      </c>
    </row>
    <row r="1278" spans="1:8" x14ac:dyDescent="0.3">
      <c r="A1278" t="str">
        <v>nefrit</v>
      </c>
      <c r="B1278" t="str">
        <v>Dawnbreaker</v>
      </c>
      <c r="C1278" t="str" cm="1">
        <f t="array" ref="C1278">_xlfn.XLOOKUP(1,([3]!players[name]=A1278)*([3]!players[hero_name]=B1278),[3]!players[lane_name])</f>
        <v>Off Lane</v>
      </c>
      <c r="D1278">
        <f>COUNTIFS([3]!players[name],A1278,[3]!players[hero_name],B1278)</f>
        <v>1</v>
      </c>
      <c r="E1278">
        <f>COUNTIFS([3]!players[name],A1278,[3]!players[hero_name],B1278, [3]!players[win], 1)</f>
        <v>0</v>
      </c>
      <c r="F1278" s="1">
        <f t="shared" si="19"/>
        <v>0</v>
      </c>
      <c r="G1278" s="2">
        <f>AVERAGEIFS([3]!players[gold_per_min], [3]!players[name],A1278,[3]!players[hero_name],B1278)</f>
        <v>503</v>
      </c>
      <c r="H1278" s="2">
        <f>AVERAGEIFS([3]!players[xp_per_min], [3]!players[name],A1278,[3]!players[hero_name],B1278)</f>
        <v>665</v>
      </c>
    </row>
    <row r="1279" spans="1:8" x14ac:dyDescent="0.3">
      <c r="A1279" t="str">
        <v>nesfeer</v>
      </c>
      <c r="B1279" t="str">
        <v>Dragon Knight</v>
      </c>
      <c r="C1279" t="str" cm="1">
        <f t="array" ref="C1279">_xlfn.XLOOKUP(1,([3]!players[name]=A1279)*([3]!players[hero_name]=B1279),[3]!players[lane_name])</f>
        <v>Carry</v>
      </c>
      <c r="D1279">
        <f>COUNTIFS([3]!players[name],A1279,[3]!players[hero_name],B1279)</f>
        <v>1</v>
      </c>
      <c r="E1279">
        <f>COUNTIFS([3]!players[name],A1279,[3]!players[hero_name],B1279, [3]!players[win], 1)</f>
        <v>0</v>
      </c>
      <c r="F1279" s="1">
        <f t="shared" si="19"/>
        <v>0</v>
      </c>
      <c r="G1279" s="2">
        <f>AVERAGEIFS([3]!players[gold_per_min], [3]!players[name],A1279,[3]!players[hero_name],B1279)</f>
        <v>684</v>
      </c>
      <c r="H1279" s="2">
        <f>AVERAGEIFS([3]!players[xp_per_min], [3]!players[name],A1279,[3]!players[hero_name],B1279)</f>
        <v>918</v>
      </c>
    </row>
    <row r="1280" spans="1:8" x14ac:dyDescent="0.3">
      <c r="A1280" t="str">
        <v>nesfeer</v>
      </c>
      <c r="B1280" t="str">
        <v>Terrorblade</v>
      </c>
      <c r="C1280" t="str" cm="1">
        <f t="array" ref="C1280">_xlfn.XLOOKUP(1,([3]!players[name]=A1280)*([3]!players[hero_name]=B1280),[3]!players[lane_name])</f>
        <v>Carry</v>
      </c>
      <c r="D1280">
        <f>COUNTIFS([3]!players[name],A1280,[3]!players[hero_name],B1280)</f>
        <v>1</v>
      </c>
      <c r="E1280">
        <f>COUNTIFS([3]!players[name],A1280,[3]!players[hero_name],B1280, [3]!players[win], 1)</f>
        <v>0</v>
      </c>
      <c r="F1280" s="1">
        <f t="shared" si="19"/>
        <v>0</v>
      </c>
      <c r="G1280" s="2">
        <f>AVERAGEIFS([3]!players[gold_per_min], [3]!players[name],A1280,[3]!players[hero_name],B1280)</f>
        <v>416</v>
      </c>
      <c r="H1280" s="2">
        <f>AVERAGEIFS([3]!players[xp_per_min], [3]!players[name],A1280,[3]!players[hero_name],B1280)</f>
        <v>392</v>
      </c>
    </row>
    <row r="1281" spans="1:8" x14ac:dyDescent="0.3">
      <c r="A1281" t="str">
        <v>nesfeer</v>
      </c>
      <c r="B1281" t="str">
        <v>Bristleback</v>
      </c>
      <c r="C1281" t="str" cm="1">
        <f t="array" ref="C1281">_xlfn.XLOOKUP(1,([3]!players[name]=A1281)*([3]!players[hero_name]=B1281),[3]!players[lane_name])</f>
        <v>Carry</v>
      </c>
      <c r="D1281">
        <f>COUNTIFS([3]!players[name],A1281,[3]!players[hero_name],B1281)</f>
        <v>1</v>
      </c>
      <c r="E1281">
        <f>COUNTIFS([3]!players[name],A1281,[3]!players[hero_name],B1281, [3]!players[win], 1)</f>
        <v>1</v>
      </c>
      <c r="F1281" s="1">
        <f t="shared" si="19"/>
        <v>1</v>
      </c>
      <c r="G1281" s="2">
        <f>AVERAGEIFS([3]!players[gold_per_min], [3]!players[name],A1281,[3]!players[hero_name],B1281)</f>
        <v>826</v>
      </c>
      <c r="H1281" s="2">
        <f>AVERAGEIFS([3]!players[xp_per_min], [3]!players[name],A1281,[3]!players[hero_name],B1281)</f>
        <v>975</v>
      </c>
    </row>
    <row r="1282" spans="1:8" x14ac:dyDescent="0.3">
      <c r="A1282" t="str">
        <v>nesfeer</v>
      </c>
      <c r="B1282" t="str">
        <v>Monkey King</v>
      </c>
      <c r="C1282" t="str" cm="1">
        <f t="array" ref="C1282">_xlfn.XLOOKUP(1,([3]!players[name]=A1282)*([3]!players[hero_name]=B1282),[3]!players[lane_name])</f>
        <v>Carry</v>
      </c>
      <c r="D1282">
        <f>COUNTIFS([3]!players[name],A1282,[3]!players[hero_name],B1282)</f>
        <v>1</v>
      </c>
      <c r="E1282">
        <f>COUNTIFS([3]!players[name],A1282,[3]!players[hero_name],B1282, [3]!players[win], 1)</f>
        <v>0</v>
      </c>
      <c r="F1282" s="1">
        <f t="shared" si="19"/>
        <v>0</v>
      </c>
      <c r="G1282" s="2">
        <f>AVERAGEIFS([3]!players[gold_per_min], [3]!players[name],A1282,[3]!players[hero_name],B1282)</f>
        <v>505</v>
      </c>
      <c r="H1282" s="2">
        <f>AVERAGEIFS([3]!players[xp_per_min], [3]!players[name],A1282,[3]!players[hero_name],B1282)</f>
        <v>628</v>
      </c>
    </row>
    <row r="1283" spans="1:8" x14ac:dyDescent="0.3">
      <c r="A1283" t="str">
        <v>nesfeer</v>
      </c>
      <c r="B1283" t="str">
        <v>Weaver</v>
      </c>
      <c r="C1283" t="str" cm="1">
        <f t="array" ref="C1283">_xlfn.XLOOKUP(1,([3]!players[name]=A1283)*([3]!players[hero_name]=B1283),[3]!players[lane_name])</f>
        <v>Carry</v>
      </c>
      <c r="D1283">
        <f>COUNTIFS([3]!players[name],A1283,[3]!players[hero_name],B1283)</f>
        <v>1</v>
      </c>
      <c r="E1283">
        <f>COUNTIFS([3]!players[name],A1283,[3]!players[hero_name],B1283, [3]!players[win], 1)</f>
        <v>0</v>
      </c>
      <c r="F1283" s="1">
        <f t="shared" ref="F1283:F1346" si="20">E1283/D1283</f>
        <v>0</v>
      </c>
      <c r="G1283" s="2">
        <f>AVERAGEIFS([3]!players[gold_per_min], [3]!players[name],A1283,[3]!players[hero_name],B1283)</f>
        <v>654</v>
      </c>
      <c r="H1283" s="2">
        <f>AVERAGEIFS([3]!players[xp_per_min], [3]!players[name],A1283,[3]!players[hero_name],B1283)</f>
        <v>792</v>
      </c>
    </row>
    <row r="1284" spans="1:8" x14ac:dyDescent="0.3">
      <c r="A1284" t="str">
        <v>nesfeer</v>
      </c>
      <c r="B1284" t="str">
        <v>Morphling</v>
      </c>
      <c r="C1284" t="str" cm="1">
        <f t="array" ref="C1284">_xlfn.XLOOKUP(1,([3]!players[name]=A1284)*([3]!players[hero_name]=B1284),[3]!players[lane_name])</f>
        <v>Carry</v>
      </c>
      <c r="D1284">
        <f>COUNTIFS([3]!players[name],A1284,[3]!players[hero_name],B1284)</f>
        <v>1</v>
      </c>
      <c r="E1284">
        <f>COUNTIFS([3]!players[name],A1284,[3]!players[hero_name],B1284, [3]!players[win], 1)</f>
        <v>1</v>
      </c>
      <c r="F1284" s="1">
        <f t="shared" si="20"/>
        <v>1</v>
      </c>
      <c r="G1284" s="2">
        <f>AVERAGEIFS([3]!players[gold_per_min], [3]!players[name],A1284,[3]!players[hero_name],B1284)</f>
        <v>728</v>
      </c>
      <c r="H1284" s="2">
        <f>AVERAGEIFS([3]!players[xp_per_min], [3]!players[name],A1284,[3]!players[hero_name],B1284)</f>
        <v>977</v>
      </c>
    </row>
    <row r="1285" spans="1:8" x14ac:dyDescent="0.3">
      <c r="A1285" t="str">
        <v>nesfeer</v>
      </c>
      <c r="B1285" t="str">
        <v>Luna</v>
      </c>
      <c r="C1285" t="str" cm="1">
        <f t="array" ref="C1285">_xlfn.XLOOKUP(1,([3]!players[name]=A1285)*([3]!players[hero_name]=B1285),[3]!players[lane_name])</f>
        <v>Carry</v>
      </c>
      <c r="D1285">
        <f>COUNTIFS([3]!players[name],A1285,[3]!players[hero_name],B1285)</f>
        <v>1</v>
      </c>
      <c r="E1285">
        <f>COUNTIFS([3]!players[name],A1285,[3]!players[hero_name],B1285, [3]!players[win], 1)</f>
        <v>1</v>
      </c>
      <c r="F1285" s="1">
        <f t="shared" si="20"/>
        <v>1</v>
      </c>
      <c r="G1285" s="2">
        <f>AVERAGEIFS([3]!players[gold_per_min], [3]!players[name],A1285,[3]!players[hero_name],B1285)</f>
        <v>854</v>
      </c>
      <c r="H1285" s="2">
        <f>AVERAGEIFS([3]!players[xp_per_min], [3]!players[name],A1285,[3]!players[hero_name],B1285)</f>
        <v>1202</v>
      </c>
    </row>
    <row r="1286" spans="1:8" x14ac:dyDescent="0.3">
      <c r="A1286" t="str">
        <v>Nicky`Cool</v>
      </c>
      <c r="B1286" t="str">
        <v>Storm Spirit</v>
      </c>
      <c r="C1286" t="str" cm="1">
        <f t="array" ref="C1286">_xlfn.XLOOKUP(1,([3]!players[name]=A1286)*([3]!players[hero_name]=B1286),[3]!players[lane_name])</f>
        <v>Mid</v>
      </c>
      <c r="D1286">
        <f>COUNTIFS([3]!players[name],A1286,[3]!players[hero_name],B1286)</f>
        <v>4</v>
      </c>
      <c r="E1286">
        <f>COUNTIFS([3]!players[name],A1286,[3]!players[hero_name],B1286, [3]!players[win], 1)</f>
        <v>3</v>
      </c>
      <c r="F1286" s="1">
        <f t="shared" si="20"/>
        <v>0.75</v>
      </c>
      <c r="G1286" s="2">
        <f>AVERAGEIFS([3]!players[gold_per_min], [3]!players[name],A1286,[3]!players[hero_name],B1286)</f>
        <v>665.75</v>
      </c>
      <c r="H1286" s="2">
        <f>AVERAGEIFS([3]!players[xp_per_min], [3]!players[name],A1286,[3]!players[hero_name],B1286)</f>
        <v>982.75</v>
      </c>
    </row>
    <row r="1287" spans="1:8" x14ac:dyDescent="0.3">
      <c r="A1287" t="str">
        <v>Nicky`Cool</v>
      </c>
      <c r="B1287" t="str">
        <v>Sniper</v>
      </c>
      <c r="C1287" t="str" cm="1">
        <f t="array" ref="C1287">_xlfn.XLOOKUP(1,([3]!players[name]=A1287)*([3]!players[hero_name]=B1287),[3]!players[lane_name])</f>
        <v>Mid</v>
      </c>
      <c r="D1287">
        <f>COUNTIFS([3]!players[name],A1287,[3]!players[hero_name],B1287)</f>
        <v>3</v>
      </c>
      <c r="E1287">
        <f>COUNTIFS([3]!players[name],A1287,[3]!players[hero_name],B1287, [3]!players[win], 1)</f>
        <v>2</v>
      </c>
      <c r="F1287" s="1">
        <f t="shared" si="20"/>
        <v>0.66666666666666663</v>
      </c>
      <c r="G1287" s="2">
        <f>AVERAGEIFS([3]!players[gold_per_min], [3]!players[name],A1287,[3]!players[hero_name],B1287)</f>
        <v>588.33333333333337</v>
      </c>
      <c r="H1287" s="2">
        <f>AVERAGEIFS([3]!players[xp_per_min], [3]!players[name],A1287,[3]!players[hero_name],B1287)</f>
        <v>696</v>
      </c>
    </row>
    <row r="1288" spans="1:8" x14ac:dyDescent="0.3">
      <c r="A1288" t="str">
        <v>Nicky`Cool</v>
      </c>
      <c r="B1288" t="str">
        <v>Sand King</v>
      </c>
      <c r="C1288" t="str" cm="1">
        <f t="array" ref="C1288">_xlfn.XLOOKUP(1,([3]!players[name]=A1288)*([3]!players[hero_name]=B1288),[3]!players[lane_name])</f>
        <v>Mid</v>
      </c>
      <c r="D1288">
        <f>COUNTIFS([3]!players[name],A1288,[3]!players[hero_name],B1288)</f>
        <v>3</v>
      </c>
      <c r="E1288">
        <f>COUNTIFS([3]!players[name],A1288,[3]!players[hero_name],B1288, [3]!players[win], 1)</f>
        <v>0</v>
      </c>
      <c r="F1288" s="1">
        <f t="shared" si="20"/>
        <v>0</v>
      </c>
      <c r="G1288" s="2">
        <f>AVERAGEIFS([3]!players[gold_per_min], [3]!players[name],A1288,[3]!players[hero_name],B1288)</f>
        <v>599</v>
      </c>
      <c r="H1288" s="2">
        <f>AVERAGEIFS([3]!players[xp_per_min], [3]!players[name],A1288,[3]!players[hero_name],B1288)</f>
        <v>807.66666666666663</v>
      </c>
    </row>
    <row r="1289" spans="1:8" x14ac:dyDescent="0.3">
      <c r="A1289" t="str">
        <v>Nicky`Cool</v>
      </c>
      <c r="B1289" t="str">
        <v>Huskar</v>
      </c>
      <c r="C1289" t="str" cm="1">
        <f t="array" ref="C1289">_xlfn.XLOOKUP(1,([3]!players[name]=A1289)*([3]!players[hero_name]=B1289),[3]!players[lane_name])</f>
        <v>Mid</v>
      </c>
      <c r="D1289">
        <f>COUNTIFS([3]!players[name],A1289,[3]!players[hero_name],B1289)</f>
        <v>4</v>
      </c>
      <c r="E1289">
        <f>COUNTIFS([3]!players[name],A1289,[3]!players[hero_name],B1289, [3]!players[win], 1)</f>
        <v>2</v>
      </c>
      <c r="F1289" s="1">
        <f t="shared" si="20"/>
        <v>0.5</v>
      </c>
      <c r="G1289" s="2">
        <f>AVERAGEIFS([3]!players[gold_per_min], [3]!players[name],A1289,[3]!players[hero_name],B1289)</f>
        <v>532.25</v>
      </c>
      <c r="H1289" s="2">
        <f>AVERAGEIFS([3]!players[xp_per_min], [3]!players[name],A1289,[3]!players[hero_name],B1289)</f>
        <v>683.75</v>
      </c>
    </row>
    <row r="1290" spans="1:8" x14ac:dyDescent="0.3">
      <c r="A1290" t="str">
        <v>Nicky`Cool</v>
      </c>
      <c r="B1290" t="str">
        <v>Slardar</v>
      </c>
      <c r="C1290" t="str" cm="1">
        <f t="array" ref="C1290">_xlfn.XLOOKUP(1,([3]!players[name]=A1290)*([3]!players[hero_name]=B1290),[3]!players[lane_name])</f>
        <v>Mid</v>
      </c>
      <c r="D1290">
        <f>COUNTIFS([3]!players[name],A1290,[3]!players[hero_name],B1290)</f>
        <v>6</v>
      </c>
      <c r="E1290">
        <f>COUNTIFS([3]!players[name],A1290,[3]!players[hero_name],B1290, [3]!players[win], 1)</f>
        <v>2</v>
      </c>
      <c r="F1290" s="1">
        <f t="shared" si="20"/>
        <v>0.33333333333333331</v>
      </c>
      <c r="G1290" s="2">
        <f>AVERAGEIFS([3]!players[gold_per_min], [3]!players[name],A1290,[3]!players[hero_name],B1290)</f>
        <v>529</v>
      </c>
      <c r="H1290" s="2">
        <f>AVERAGEIFS([3]!players[xp_per_min], [3]!players[name],A1290,[3]!players[hero_name],B1290)</f>
        <v>730</v>
      </c>
    </row>
    <row r="1291" spans="1:8" x14ac:dyDescent="0.3">
      <c r="A1291" t="str">
        <v>Nicky`Cool</v>
      </c>
      <c r="B1291" t="str">
        <v>Keeper of the Light</v>
      </c>
      <c r="C1291" t="str" cm="1">
        <f t="array" ref="C1291">_xlfn.XLOOKUP(1,([3]!players[name]=A1291)*([3]!players[hero_name]=B1291),[3]!players[lane_name])</f>
        <v>Mid</v>
      </c>
      <c r="D1291">
        <f>COUNTIFS([3]!players[name],A1291,[3]!players[hero_name],B1291)</f>
        <v>3</v>
      </c>
      <c r="E1291">
        <f>COUNTIFS([3]!players[name],A1291,[3]!players[hero_name],B1291, [3]!players[win], 1)</f>
        <v>2</v>
      </c>
      <c r="F1291" s="1">
        <f t="shared" si="20"/>
        <v>0.66666666666666663</v>
      </c>
      <c r="G1291" s="2">
        <f>AVERAGEIFS([3]!players[gold_per_min], [3]!players[name],A1291,[3]!players[hero_name],B1291)</f>
        <v>675.66666666666663</v>
      </c>
      <c r="H1291" s="2">
        <f>AVERAGEIFS([3]!players[xp_per_min], [3]!players[name],A1291,[3]!players[hero_name],B1291)</f>
        <v>727</v>
      </c>
    </row>
    <row r="1292" spans="1:8" x14ac:dyDescent="0.3">
      <c r="A1292" t="str">
        <v>Nicky`Cool</v>
      </c>
      <c r="B1292" t="str">
        <v>Void Spirit</v>
      </c>
      <c r="C1292" t="str" cm="1">
        <f t="array" ref="C1292">_xlfn.XLOOKUP(1,([3]!players[name]=A1292)*([3]!players[hero_name]=B1292),[3]!players[lane_name])</f>
        <v>Mid</v>
      </c>
      <c r="D1292">
        <f>COUNTIFS([3]!players[name],A1292,[3]!players[hero_name],B1292)</f>
        <v>2</v>
      </c>
      <c r="E1292">
        <f>COUNTIFS([3]!players[name],A1292,[3]!players[hero_name],B1292, [3]!players[win], 1)</f>
        <v>0</v>
      </c>
      <c r="F1292" s="1">
        <f t="shared" si="20"/>
        <v>0</v>
      </c>
      <c r="G1292" s="2">
        <f>AVERAGEIFS([3]!players[gold_per_min], [3]!players[name],A1292,[3]!players[hero_name],B1292)</f>
        <v>483.5</v>
      </c>
      <c r="H1292" s="2">
        <f>AVERAGEIFS([3]!players[xp_per_min], [3]!players[name],A1292,[3]!players[hero_name],B1292)</f>
        <v>615</v>
      </c>
    </row>
    <row r="1293" spans="1:8" x14ac:dyDescent="0.3">
      <c r="A1293" t="str">
        <v>Nicky`Cool</v>
      </c>
      <c r="B1293" t="str">
        <v>Ember Spirit</v>
      </c>
      <c r="C1293" t="str" cm="1">
        <f t="array" ref="C1293">_xlfn.XLOOKUP(1,([3]!players[name]=A1293)*([3]!players[hero_name]=B1293),[3]!players[lane_name])</f>
        <v>Mid</v>
      </c>
      <c r="D1293">
        <f>COUNTIFS([3]!players[name],A1293,[3]!players[hero_name],B1293)</f>
        <v>2</v>
      </c>
      <c r="E1293">
        <f>COUNTIFS([3]!players[name],A1293,[3]!players[hero_name],B1293, [3]!players[win], 1)</f>
        <v>1</v>
      </c>
      <c r="F1293" s="1">
        <f t="shared" si="20"/>
        <v>0.5</v>
      </c>
      <c r="G1293" s="2">
        <f>AVERAGEIFS([3]!players[gold_per_min], [3]!players[name],A1293,[3]!players[hero_name],B1293)</f>
        <v>579.5</v>
      </c>
      <c r="H1293" s="2">
        <f>AVERAGEIFS([3]!players[xp_per_min], [3]!players[name],A1293,[3]!players[hero_name],B1293)</f>
        <v>868.5</v>
      </c>
    </row>
    <row r="1294" spans="1:8" x14ac:dyDescent="0.3">
      <c r="A1294" t="str">
        <v>Nicky`Cool</v>
      </c>
      <c r="B1294" t="str">
        <v>Tiny</v>
      </c>
      <c r="C1294" t="str" cm="1">
        <f t="array" ref="C1294">_xlfn.XLOOKUP(1,([3]!players[name]=A1294)*([3]!players[hero_name]=B1294),[3]!players[lane_name])</f>
        <v>Mid</v>
      </c>
      <c r="D1294">
        <f>COUNTIFS([3]!players[name],A1294,[3]!players[hero_name],B1294)</f>
        <v>8</v>
      </c>
      <c r="E1294">
        <f>COUNTIFS([3]!players[name],A1294,[3]!players[hero_name],B1294, [3]!players[win], 1)</f>
        <v>6</v>
      </c>
      <c r="F1294" s="1">
        <f t="shared" si="20"/>
        <v>0.75</v>
      </c>
      <c r="G1294" s="2">
        <f>AVERAGEIFS([3]!players[gold_per_min], [3]!players[name],A1294,[3]!players[hero_name],B1294)</f>
        <v>621.375</v>
      </c>
      <c r="H1294" s="2">
        <f>AVERAGEIFS([3]!players[xp_per_min], [3]!players[name],A1294,[3]!players[hero_name],B1294)</f>
        <v>814.625</v>
      </c>
    </row>
    <row r="1295" spans="1:8" x14ac:dyDescent="0.3">
      <c r="A1295" t="str">
        <v>Nicky`Cool</v>
      </c>
      <c r="B1295" t="str">
        <v>Viper</v>
      </c>
      <c r="C1295" t="str" cm="1">
        <f t="array" ref="C1295">_xlfn.XLOOKUP(1,([3]!players[name]=A1295)*([3]!players[hero_name]=B1295),[3]!players[lane_name])</f>
        <v>Mid</v>
      </c>
      <c r="D1295">
        <f>COUNTIFS([3]!players[name],A1295,[3]!players[hero_name],B1295)</f>
        <v>3</v>
      </c>
      <c r="E1295">
        <f>COUNTIFS([3]!players[name],A1295,[3]!players[hero_name],B1295, [3]!players[win], 1)</f>
        <v>2</v>
      </c>
      <c r="F1295" s="1">
        <f t="shared" si="20"/>
        <v>0.66666666666666663</v>
      </c>
      <c r="G1295" s="2">
        <f>AVERAGEIFS([3]!players[gold_per_min], [3]!players[name],A1295,[3]!players[hero_name],B1295)</f>
        <v>624.33333333333337</v>
      </c>
      <c r="H1295" s="2">
        <f>AVERAGEIFS([3]!players[xp_per_min], [3]!players[name],A1295,[3]!players[hero_name],B1295)</f>
        <v>747.66666666666663</v>
      </c>
    </row>
    <row r="1296" spans="1:8" x14ac:dyDescent="0.3">
      <c r="A1296" t="str">
        <v>Nicky`Cool</v>
      </c>
      <c r="B1296" t="str">
        <v>Puck</v>
      </c>
      <c r="C1296" t="str" cm="1">
        <f t="array" ref="C1296">_xlfn.XLOOKUP(1,([3]!players[name]=A1296)*([3]!players[hero_name]=B1296),[3]!players[lane_name])</f>
        <v>Mid</v>
      </c>
      <c r="D1296">
        <f>COUNTIFS([3]!players[name],A1296,[3]!players[hero_name],B1296)</f>
        <v>7</v>
      </c>
      <c r="E1296">
        <f>COUNTIFS([3]!players[name],A1296,[3]!players[hero_name],B1296, [3]!players[win], 1)</f>
        <v>4</v>
      </c>
      <c r="F1296" s="1">
        <f t="shared" si="20"/>
        <v>0.5714285714285714</v>
      </c>
      <c r="G1296" s="2">
        <f>AVERAGEIFS([3]!players[gold_per_min], [3]!players[name],A1296,[3]!players[hero_name],B1296)</f>
        <v>603.85714285714289</v>
      </c>
      <c r="H1296" s="2">
        <f>AVERAGEIFS([3]!players[xp_per_min], [3]!players[name],A1296,[3]!players[hero_name],B1296)</f>
        <v>857.14285714285711</v>
      </c>
    </row>
    <row r="1297" spans="1:8" x14ac:dyDescent="0.3">
      <c r="A1297" t="str">
        <v>Nicky`Cool</v>
      </c>
      <c r="B1297" t="str">
        <v>Death Prophet</v>
      </c>
      <c r="C1297" t="str" cm="1">
        <f t="array" ref="C1297">_xlfn.XLOOKUP(1,([3]!players[name]=A1297)*([3]!players[hero_name]=B1297),[3]!players[lane_name])</f>
        <v>Mid</v>
      </c>
      <c r="D1297">
        <f>COUNTIFS([3]!players[name],A1297,[3]!players[hero_name],B1297)</f>
        <v>1</v>
      </c>
      <c r="E1297">
        <f>COUNTIFS([3]!players[name],A1297,[3]!players[hero_name],B1297, [3]!players[win], 1)</f>
        <v>0</v>
      </c>
      <c r="F1297" s="1">
        <f t="shared" si="20"/>
        <v>0</v>
      </c>
      <c r="G1297" s="2">
        <f>AVERAGEIFS([3]!players[gold_per_min], [3]!players[name],A1297,[3]!players[hero_name],B1297)</f>
        <v>613</v>
      </c>
      <c r="H1297" s="2">
        <f>AVERAGEIFS([3]!players[xp_per_min], [3]!players[name],A1297,[3]!players[hero_name],B1297)</f>
        <v>753</v>
      </c>
    </row>
    <row r="1298" spans="1:8" x14ac:dyDescent="0.3">
      <c r="A1298" t="str">
        <v>Nicky`Cool</v>
      </c>
      <c r="B1298" t="str">
        <v>Centaur Warrunner</v>
      </c>
      <c r="C1298" t="str" cm="1">
        <f t="array" ref="C1298">_xlfn.XLOOKUP(1,([3]!players[name]=A1298)*([3]!players[hero_name]=B1298),[3]!players[lane_name])</f>
        <v>Mid</v>
      </c>
      <c r="D1298">
        <f>COUNTIFS([3]!players[name],A1298,[3]!players[hero_name],B1298)</f>
        <v>3</v>
      </c>
      <c r="E1298">
        <f>COUNTIFS([3]!players[name],A1298,[3]!players[hero_name],B1298, [3]!players[win], 1)</f>
        <v>1</v>
      </c>
      <c r="F1298" s="1">
        <f t="shared" si="20"/>
        <v>0.33333333333333331</v>
      </c>
      <c r="G1298" s="2">
        <f>AVERAGEIFS([3]!players[gold_per_min], [3]!players[name],A1298,[3]!players[hero_name],B1298)</f>
        <v>568.33333333333337</v>
      </c>
      <c r="H1298" s="2">
        <f>AVERAGEIFS([3]!players[xp_per_min], [3]!players[name],A1298,[3]!players[hero_name],B1298)</f>
        <v>766.33333333333337</v>
      </c>
    </row>
    <row r="1299" spans="1:8" x14ac:dyDescent="0.3">
      <c r="A1299" t="str">
        <v>Nightfall</v>
      </c>
      <c r="B1299" t="str">
        <v>Monkey King</v>
      </c>
      <c r="C1299" t="str" cm="1">
        <f t="array" ref="C1299">_xlfn.XLOOKUP(1,([3]!players[name]=A1299)*([3]!players[hero_name]=B1299),[3]!players[lane_name])</f>
        <v>Carry</v>
      </c>
      <c r="D1299">
        <f>COUNTIFS([3]!players[name],A1299,[3]!players[hero_name],B1299)</f>
        <v>1</v>
      </c>
      <c r="E1299">
        <f>COUNTIFS([3]!players[name],A1299,[3]!players[hero_name],B1299, [3]!players[win], 1)</f>
        <v>1</v>
      </c>
      <c r="F1299" s="1">
        <f t="shared" si="20"/>
        <v>1</v>
      </c>
      <c r="G1299" s="2">
        <f>AVERAGEIFS([3]!players[gold_per_min], [3]!players[name],A1299,[3]!players[hero_name],B1299)</f>
        <v>789</v>
      </c>
      <c r="H1299" s="2">
        <f>AVERAGEIFS([3]!players[xp_per_min], [3]!players[name],A1299,[3]!players[hero_name],B1299)</f>
        <v>1008</v>
      </c>
    </row>
    <row r="1300" spans="1:8" x14ac:dyDescent="0.3">
      <c r="A1300" t="str">
        <v>Nightfall</v>
      </c>
      <c r="B1300" t="str">
        <v>Abaddon</v>
      </c>
      <c r="C1300" t="str" cm="1">
        <f t="array" ref="C1300">_xlfn.XLOOKUP(1,([3]!players[name]=A1300)*([3]!players[hero_name]=B1300),[3]!players[lane_name])</f>
        <v>Carry</v>
      </c>
      <c r="D1300">
        <f>COUNTIFS([3]!players[name],A1300,[3]!players[hero_name],B1300)</f>
        <v>1</v>
      </c>
      <c r="E1300">
        <f>COUNTIFS([3]!players[name],A1300,[3]!players[hero_name],B1300, [3]!players[win], 1)</f>
        <v>0</v>
      </c>
      <c r="F1300" s="1">
        <f t="shared" si="20"/>
        <v>0</v>
      </c>
      <c r="G1300" s="2">
        <f>AVERAGEIFS([3]!players[gold_per_min], [3]!players[name],A1300,[3]!players[hero_name],B1300)</f>
        <v>476</v>
      </c>
      <c r="H1300" s="2">
        <f>AVERAGEIFS([3]!players[xp_per_min], [3]!players[name],A1300,[3]!players[hero_name],B1300)</f>
        <v>469</v>
      </c>
    </row>
    <row r="1301" spans="1:8" x14ac:dyDescent="0.3">
      <c r="A1301" t="str">
        <v>Nightfall</v>
      </c>
      <c r="B1301" t="str">
        <v>Faceless Void</v>
      </c>
      <c r="C1301" t="str" cm="1">
        <f t="array" ref="C1301">_xlfn.XLOOKUP(1,([3]!players[name]=A1301)*([3]!players[hero_name]=B1301),[3]!players[lane_name])</f>
        <v>Carry</v>
      </c>
      <c r="D1301">
        <f>COUNTIFS([3]!players[name],A1301,[3]!players[hero_name],B1301)</f>
        <v>5</v>
      </c>
      <c r="E1301">
        <f>COUNTIFS([3]!players[name],A1301,[3]!players[hero_name],B1301, [3]!players[win], 1)</f>
        <v>3</v>
      </c>
      <c r="F1301" s="1">
        <f t="shared" si="20"/>
        <v>0.6</v>
      </c>
      <c r="G1301" s="2">
        <f>AVERAGEIFS([3]!players[gold_per_min], [3]!players[name],A1301,[3]!players[hero_name],B1301)</f>
        <v>639.20000000000005</v>
      </c>
      <c r="H1301" s="2">
        <f>AVERAGEIFS([3]!players[xp_per_min], [3]!players[name],A1301,[3]!players[hero_name],B1301)</f>
        <v>782.4</v>
      </c>
    </row>
    <row r="1302" spans="1:8" x14ac:dyDescent="0.3">
      <c r="A1302" t="str">
        <v>Nightfall</v>
      </c>
      <c r="B1302" t="str">
        <v>Weaver</v>
      </c>
      <c r="C1302" t="str" cm="1">
        <f t="array" ref="C1302">_xlfn.XLOOKUP(1,([3]!players[name]=A1302)*([3]!players[hero_name]=B1302),[3]!players[lane_name])</f>
        <v>Carry</v>
      </c>
      <c r="D1302">
        <f>COUNTIFS([3]!players[name],A1302,[3]!players[hero_name],B1302)</f>
        <v>1</v>
      </c>
      <c r="E1302">
        <f>COUNTIFS([3]!players[name],A1302,[3]!players[hero_name],B1302, [3]!players[win], 1)</f>
        <v>1</v>
      </c>
      <c r="F1302" s="1">
        <f t="shared" si="20"/>
        <v>1</v>
      </c>
      <c r="G1302" s="2">
        <f>AVERAGEIFS([3]!players[gold_per_min], [3]!players[name],A1302,[3]!players[hero_name],B1302)</f>
        <v>773</v>
      </c>
      <c r="H1302" s="2">
        <f>AVERAGEIFS([3]!players[xp_per_min], [3]!players[name],A1302,[3]!players[hero_name],B1302)</f>
        <v>831</v>
      </c>
    </row>
    <row r="1303" spans="1:8" x14ac:dyDescent="0.3">
      <c r="A1303" t="str">
        <v>Nightfall</v>
      </c>
      <c r="B1303" t="str">
        <v>Alchemist</v>
      </c>
      <c r="C1303" t="str" cm="1">
        <f t="array" ref="C1303">_xlfn.XLOOKUP(1,([3]!players[name]=A1303)*([3]!players[hero_name]=B1303),[3]!players[lane_name])</f>
        <v>Carry</v>
      </c>
      <c r="D1303">
        <f>COUNTIFS([3]!players[name],A1303,[3]!players[hero_name],B1303)</f>
        <v>1</v>
      </c>
      <c r="E1303">
        <f>COUNTIFS([3]!players[name],A1303,[3]!players[hero_name],B1303, [3]!players[win], 1)</f>
        <v>0</v>
      </c>
      <c r="F1303" s="1">
        <f t="shared" si="20"/>
        <v>0</v>
      </c>
      <c r="G1303" s="2">
        <f>AVERAGEIFS([3]!players[gold_per_min], [3]!players[name],A1303,[3]!players[hero_name],B1303)</f>
        <v>728</v>
      </c>
      <c r="H1303" s="2">
        <f>AVERAGEIFS([3]!players[xp_per_min], [3]!players[name],A1303,[3]!players[hero_name],B1303)</f>
        <v>683</v>
      </c>
    </row>
    <row r="1304" spans="1:8" x14ac:dyDescent="0.3">
      <c r="A1304" t="str">
        <v>Nightfall</v>
      </c>
      <c r="B1304" t="str">
        <v>Ursa</v>
      </c>
      <c r="C1304" t="str" cm="1">
        <f t="array" ref="C1304">_xlfn.XLOOKUP(1,([3]!players[name]=A1304)*([3]!players[hero_name]=B1304),[3]!players[lane_name])</f>
        <v>Carry</v>
      </c>
      <c r="D1304">
        <f>COUNTIFS([3]!players[name],A1304,[3]!players[hero_name],B1304)</f>
        <v>5</v>
      </c>
      <c r="E1304">
        <f>COUNTIFS([3]!players[name],A1304,[3]!players[hero_name],B1304, [3]!players[win], 1)</f>
        <v>4</v>
      </c>
      <c r="F1304" s="1">
        <f t="shared" si="20"/>
        <v>0.8</v>
      </c>
      <c r="G1304" s="2">
        <f>AVERAGEIFS([3]!players[gold_per_min], [3]!players[name],A1304,[3]!players[hero_name],B1304)</f>
        <v>739.4</v>
      </c>
      <c r="H1304" s="2">
        <f>AVERAGEIFS([3]!players[xp_per_min], [3]!players[name],A1304,[3]!players[hero_name],B1304)</f>
        <v>953.4</v>
      </c>
    </row>
    <row r="1305" spans="1:8" x14ac:dyDescent="0.3">
      <c r="A1305" t="str">
        <v>Nightfall</v>
      </c>
      <c r="B1305" t="str">
        <v>Lone Druid</v>
      </c>
      <c r="C1305" t="str" cm="1">
        <f t="array" ref="C1305">_xlfn.XLOOKUP(1,([3]!players[name]=A1305)*([3]!players[hero_name]=B1305),[3]!players[lane_name])</f>
        <v>Carry</v>
      </c>
      <c r="D1305">
        <f>COUNTIFS([3]!players[name],A1305,[3]!players[hero_name],B1305)</f>
        <v>5</v>
      </c>
      <c r="E1305">
        <f>COUNTIFS([3]!players[name],A1305,[3]!players[hero_name],B1305, [3]!players[win], 1)</f>
        <v>4</v>
      </c>
      <c r="F1305" s="1">
        <f t="shared" si="20"/>
        <v>0.8</v>
      </c>
      <c r="G1305" s="2">
        <f>AVERAGEIFS([3]!players[gold_per_min], [3]!players[name],A1305,[3]!players[hero_name],B1305)</f>
        <v>805</v>
      </c>
      <c r="H1305" s="2">
        <f>AVERAGEIFS([3]!players[xp_per_min], [3]!players[name],A1305,[3]!players[hero_name],B1305)</f>
        <v>708.2</v>
      </c>
    </row>
    <row r="1306" spans="1:8" x14ac:dyDescent="0.3">
      <c r="A1306" t="str">
        <v>Nightfall</v>
      </c>
      <c r="B1306" t="str">
        <v>Tiny</v>
      </c>
      <c r="C1306" t="str" cm="1">
        <f t="array" ref="C1306">_xlfn.XLOOKUP(1,([3]!players[name]=A1306)*([3]!players[hero_name]=B1306),[3]!players[lane_name])</f>
        <v>Carry</v>
      </c>
      <c r="D1306">
        <f>COUNTIFS([3]!players[name],A1306,[3]!players[hero_name],B1306)</f>
        <v>5</v>
      </c>
      <c r="E1306">
        <f>COUNTIFS([3]!players[name],A1306,[3]!players[hero_name],B1306, [3]!players[win], 1)</f>
        <v>2</v>
      </c>
      <c r="F1306" s="1">
        <f t="shared" si="20"/>
        <v>0.4</v>
      </c>
      <c r="G1306" s="2">
        <f>AVERAGEIFS([3]!players[gold_per_min], [3]!players[name],A1306,[3]!players[hero_name],B1306)</f>
        <v>664.2</v>
      </c>
      <c r="H1306" s="2">
        <f>AVERAGEIFS([3]!players[xp_per_min], [3]!players[name],A1306,[3]!players[hero_name],B1306)</f>
        <v>871.4</v>
      </c>
    </row>
    <row r="1307" spans="1:8" x14ac:dyDescent="0.3">
      <c r="A1307" t="str">
        <v>Nightfall</v>
      </c>
      <c r="B1307" t="str">
        <v>Windranger</v>
      </c>
      <c r="C1307" t="str" cm="1">
        <f t="array" ref="C1307">_xlfn.XLOOKUP(1,([3]!players[name]=A1307)*([3]!players[hero_name]=B1307),[3]!players[lane_name])</f>
        <v>Carry</v>
      </c>
      <c r="D1307">
        <f>COUNTIFS([3]!players[name],A1307,[3]!players[hero_name],B1307)</f>
        <v>3</v>
      </c>
      <c r="E1307">
        <f>COUNTIFS([3]!players[name],A1307,[3]!players[hero_name],B1307, [3]!players[win], 1)</f>
        <v>2</v>
      </c>
      <c r="F1307" s="1">
        <f t="shared" si="20"/>
        <v>0.66666666666666663</v>
      </c>
      <c r="G1307" s="2">
        <f>AVERAGEIFS([3]!players[gold_per_min], [3]!players[name],A1307,[3]!players[hero_name],B1307)</f>
        <v>728.66666666666663</v>
      </c>
      <c r="H1307" s="2">
        <f>AVERAGEIFS([3]!players[xp_per_min], [3]!players[name],A1307,[3]!players[hero_name],B1307)</f>
        <v>866</v>
      </c>
    </row>
    <row r="1308" spans="1:8" x14ac:dyDescent="0.3">
      <c r="A1308" t="str">
        <v>Nightfall</v>
      </c>
      <c r="B1308" t="str">
        <v>Doom</v>
      </c>
      <c r="C1308" t="str" cm="1">
        <f t="array" ref="C1308">_xlfn.XLOOKUP(1,([3]!players[name]=A1308)*([3]!players[hero_name]=B1308),[3]!players[lane_name])</f>
        <v>Carry</v>
      </c>
      <c r="D1308">
        <f>COUNTIFS([3]!players[name],A1308,[3]!players[hero_name],B1308)</f>
        <v>1</v>
      </c>
      <c r="E1308">
        <f>COUNTIFS([3]!players[name],A1308,[3]!players[hero_name],B1308, [3]!players[win], 1)</f>
        <v>0</v>
      </c>
      <c r="F1308" s="1">
        <f t="shared" si="20"/>
        <v>0</v>
      </c>
      <c r="G1308" s="2">
        <f>AVERAGEIFS([3]!players[gold_per_min], [3]!players[name],A1308,[3]!players[hero_name],B1308)</f>
        <v>666</v>
      </c>
      <c r="H1308" s="2">
        <f>AVERAGEIFS([3]!players[xp_per_min], [3]!players[name],A1308,[3]!players[hero_name],B1308)</f>
        <v>636</v>
      </c>
    </row>
    <row r="1309" spans="1:8" x14ac:dyDescent="0.3">
      <c r="A1309" t="str">
        <v>Niku</v>
      </c>
      <c r="B1309" t="str">
        <v>Sand King</v>
      </c>
      <c r="C1309" t="str" cm="1">
        <f t="array" ref="C1309">_xlfn.XLOOKUP(1,([3]!players[name]=A1309)*([3]!players[hero_name]=B1309),[3]!players[lane_name])</f>
        <v>Mid</v>
      </c>
      <c r="D1309">
        <f>COUNTIFS([3]!players[name],A1309,[3]!players[hero_name],B1309)</f>
        <v>6</v>
      </c>
      <c r="E1309">
        <f>COUNTIFS([3]!players[name],A1309,[3]!players[hero_name],B1309, [3]!players[win], 1)</f>
        <v>3</v>
      </c>
      <c r="F1309" s="1">
        <f t="shared" si="20"/>
        <v>0.5</v>
      </c>
      <c r="G1309" s="2">
        <f>AVERAGEIFS([3]!players[gold_per_min], [3]!players[name],A1309,[3]!players[hero_name],B1309)</f>
        <v>579.83333333333337</v>
      </c>
      <c r="H1309" s="2">
        <f>AVERAGEIFS([3]!players[xp_per_min], [3]!players[name],A1309,[3]!players[hero_name],B1309)</f>
        <v>779.66666666666663</v>
      </c>
    </row>
    <row r="1310" spans="1:8" x14ac:dyDescent="0.3">
      <c r="A1310" t="str">
        <v>Niku</v>
      </c>
      <c r="B1310" t="str">
        <v>Ember Spirit</v>
      </c>
      <c r="C1310" t="str" cm="1">
        <f t="array" ref="C1310">_xlfn.XLOOKUP(1,([3]!players[name]=A1310)*([3]!players[hero_name]=B1310),[3]!players[lane_name])</f>
        <v>Mid</v>
      </c>
      <c r="D1310">
        <f>COUNTIFS([3]!players[name],A1310,[3]!players[hero_name],B1310)</f>
        <v>3</v>
      </c>
      <c r="E1310">
        <f>COUNTIFS([3]!players[name],A1310,[3]!players[hero_name],B1310, [3]!players[win], 1)</f>
        <v>1</v>
      </c>
      <c r="F1310" s="1">
        <f t="shared" si="20"/>
        <v>0.33333333333333331</v>
      </c>
      <c r="G1310" s="2">
        <f>AVERAGEIFS([3]!players[gold_per_min], [3]!players[name],A1310,[3]!players[hero_name],B1310)</f>
        <v>499</v>
      </c>
      <c r="H1310" s="2">
        <f>AVERAGEIFS([3]!players[xp_per_min], [3]!players[name],A1310,[3]!players[hero_name],B1310)</f>
        <v>608.66666666666663</v>
      </c>
    </row>
    <row r="1311" spans="1:8" x14ac:dyDescent="0.3">
      <c r="A1311" t="str">
        <v>Niku</v>
      </c>
      <c r="B1311" t="str">
        <v>Kez</v>
      </c>
      <c r="C1311" t="str" cm="1">
        <f t="array" ref="C1311">_xlfn.XLOOKUP(1,([3]!players[name]=A1311)*([3]!players[hero_name]=B1311),[3]!players[lane_name])</f>
        <v>Mid</v>
      </c>
      <c r="D1311">
        <f>COUNTIFS([3]!players[name],A1311,[3]!players[hero_name],B1311)</f>
        <v>3</v>
      </c>
      <c r="E1311">
        <f>COUNTIFS([3]!players[name],A1311,[3]!players[hero_name],B1311, [3]!players[win], 1)</f>
        <v>2</v>
      </c>
      <c r="F1311" s="1">
        <f t="shared" si="20"/>
        <v>0.66666666666666663</v>
      </c>
      <c r="G1311" s="2">
        <f>AVERAGEIFS([3]!players[gold_per_min], [3]!players[name],A1311,[3]!players[hero_name],B1311)</f>
        <v>595.66666666666663</v>
      </c>
      <c r="H1311" s="2">
        <f>AVERAGEIFS([3]!players[xp_per_min], [3]!players[name],A1311,[3]!players[hero_name],B1311)</f>
        <v>685.66666666666663</v>
      </c>
    </row>
    <row r="1312" spans="1:8" x14ac:dyDescent="0.3">
      <c r="A1312" t="str">
        <v>Niku</v>
      </c>
      <c r="B1312" t="str">
        <v>Pangolier</v>
      </c>
      <c r="C1312" t="str" cm="1">
        <f t="array" ref="C1312">_xlfn.XLOOKUP(1,([3]!players[name]=A1312)*([3]!players[hero_name]=B1312),[3]!players[lane_name])</f>
        <v>Mid</v>
      </c>
      <c r="D1312">
        <f>COUNTIFS([3]!players[name],A1312,[3]!players[hero_name],B1312)</f>
        <v>2</v>
      </c>
      <c r="E1312">
        <f>COUNTIFS([3]!players[name],A1312,[3]!players[hero_name],B1312, [3]!players[win], 1)</f>
        <v>0</v>
      </c>
      <c r="F1312" s="1">
        <f t="shared" si="20"/>
        <v>0</v>
      </c>
      <c r="G1312" s="2">
        <f>AVERAGEIFS([3]!players[gold_per_min], [3]!players[name],A1312,[3]!players[hero_name],B1312)</f>
        <v>441</v>
      </c>
      <c r="H1312" s="2">
        <f>AVERAGEIFS([3]!players[xp_per_min], [3]!players[name],A1312,[3]!players[hero_name],B1312)</f>
        <v>494.5</v>
      </c>
    </row>
    <row r="1313" spans="1:8" x14ac:dyDescent="0.3">
      <c r="A1313" t="str">
        <v>Niku</v>
      </c>
      <c r="B1313" t="str">
        <v>Keeper of the Light</v>
      </c>
      <c r="C1313" t="str" cm="1">
        <f t="array" ref="C1313">_xlfn.XLOOKUP(1,([3]!players[name]=A1313)*([3]!players[hero_name]=B1313),[3]!players[lane_name])</f>
        <v>Mid</v>
      </c>
      <c r="D1313">
        <f>COUNTIFS([3]!players[name],A1313,[3]!players[hero_name],B1313)</f>
        <v>1</v>
      </c>
      <c r="E1313">
        <f>COUNTIFS([3]!players[name],A1313,[3]!players[hero_name],B1313, [3]!players[win], 1)</f>
        <v>0</v>
      </c>
      <c r="F1313" s="1">
        <f t="shared" si="20"/>
        <v>0</v>
      </c>
      <c r="G1313" s="2">
        <f>AVERAGEIFS([3]!players[gold_per_min], [3]!players[name],A1313,[3]!players[hero_name],B1313)</f>
        <v>637</v>
      </c>
      <c r="H1313" s="2">
        <f>AVERAGEIFS([3]!players[xp_per_min], [3]!players[name],A1313,[3]!players[hero_name],B1313)</f>
        <v>724</v>
      </c>
    </row>
    <row r="1314" spans="1:8" x14ac:dyDescent="0.3">
      <c r="A1314" t="str">
        <v>Niku</v>
      </c>
      <c r="B1314" t="str">
        <v>Invoker</v>
      </c>
      <c r="C1314" t="str" cm="1">
        <f t="array" ref="C1314">_xlfn.XLOOKUP(1,([3]!players[name]=A1314)*([3]!players[hero_name]=B1314),[3]!players[lane_name])</f>
        <v>Mid</v>
      </c>
      <c r="D1314">
        <f>COUNTIFS([3]!players[name],A1314,[3]!players[hero_name],B1314)</f>
        <v>2</v>
      </c>
      <c r="E1314">
        <f>COUNTIFS([3]!players[name],A1314,[3]!players[hero_name],B1314, [3]!players[win], 1)</f>
        <v>2</v>
      </c>
      <c r="F1314" s="1">
        <f t="shared" si="20"/>
        <v>1</v>
      </c>
      <c r="G1314" s="2">
        <f>AVERAGEIFS([3]!players[gold_per_min], [3]!players[name],A1314,[3]!players[hero_name],B1314)</f>
        <v>690.5</v>
      </c>
      <c r="H1314" s="2">
        <f>AVERAGEIFS([3]!players[xp_per_min], [3]!players[name],A1314,[3]!players[hero_name],B1314)</f>
        <v>767.5</v>
      </c>
    </row>
    <row r="1315" spans="1:8" x14ac:dyDescent="0.3">
      <c r="A1315" t="str">
        <v>Niku</v>
      </c>
      <c r="B1315" t="str">
        <v>Lone Druid</v>
      </c>
      <c r="C1315" t="str" cm="1">
        <f t="array" ref="C1315">_xlfn.XLOOKUP(1,([3]!players[name]=A1315)*([3]!players[hero_name]=B1315),[3]!players[lane_name])</f>
        <v>Mid</v>
      </c>
      <c r="D1315">
        <f>COUNTIFS([3]!players[name],A1315,[3]!players[hero_name],B1315)</f>
        <v>1</v>
      </c>
      <c r="E1315">
        <f>COUNTIFS([3]!players[name],A1315,[3]!players[hero_name],B1315, [3]!players[win], 1)</f>
        <v>0</v>
      </c>
      <c r="F1315" s="1">
        <f t="shared" si="20"/>
        <v>0</v>
      </c>
      <c r="G1315" s="2">
        <f>AVERAGEIFS([3]!players[gold_per_min], [3]!players[name],A1315,[3]!players[hero_name],B1315)</f>
        <v>391</v>
      </c>
      <c r="H1315" s="2">
        <f>AVERAGEIFS([3]!players[xp_per_min], [3]!players[name],A1315,[3]!players[hero_name],B1315)</f>
        <v>450</v>
      </c>
    </row>
    <row r="1316" spans="1:8" x14ac:dyDescent="0.3">
      <c r="A1316" t="str">
        <v>Niku</v>
      </c>
      <c r="B1316" t="str">
        <v>Night Stalker</v>
      </c>
      <c r="C1316" t="str" cm="1">
        <f t="array" ref="C1316">_xlfn.XLOOKUP(1,([3]!players[name]=A1316)*([3]!players[hero_name]=B1316),[3]!players[lane_name])</f>
        <v>Mid</v>
      </c>
      <c r="D1316">
        <f>COUNTIFS([3]!players[name],A1316,[3]!players[hero_name],B1316)</f>
        <v>1</v>
      </c>
      <c r="E1316">
        <f>COUNTIFS([3]!players[name],A1316,[3]!players[hero_name],B1316, [3]!players[win], 1)</f>
        <v>1</v>
      </c>
      <c r="F1316" s="1">
        <f t="shared" si="20"/>
        <v>1</v>
      </c>
      <c r="G1316" s="2">
        <f>AVERAGEIFS([3]!players[gold_per_min], [3]!players[name],A1316,[3]!players[hero_name],B1316)</f>
        <v>545</v>
      </c>
      <c r="H1316" s="2">
        <f>AVERAGEIFS([3]!players[xp_per_min], [3]!players[name],A1316,[3]!players[hero_name],B1316)</f>
        <v>753</v>
      </c>
    </row>
    <row r="1317" spans="1:8" x14ac:dyDescent="0.3">
      <c r="A1317" t="str">
        <v>Niku</v>
      </c>
      <c r="B1317" t="str">
        <v>Huskar</v>
      </c>
      <c r="C1317" t="str" cm="1">
        <f t="array" ref="C1317">_xlfn.XLOOKUP(1,([3]!players[name]=A1317)*([3]!players[hero_name]=B1317),[3]!players[lane_name])</f>
        <v>Mid</v>
      </c>
      <c r="D1317">
        <f>COUNTIFS([3]!players[name],A1317,[3]!players[hero_name],B1317)</f>
        <v>1</v>
      </c>
      <c r="E1317">
        <f>COUNTIFS([3]!players[name],A1317,[3]!players[hero_name],B1317, [3]!players[win], 1)</f>
        <v>1</v>
      </c>
      <c r="F1317" s="1">
        <f t="shared" si="20"/>
        <v>1</v>
      </c>
      <c r="G1317" s="2">
        <f>AVERAGEIFS([3]!players[gold_per_min], [3]!players[name],A1317,[3]!players[hero_name],B1317)</f>
        <v>718</v>
      </c>
      <c r="H1317" s="2">
        <f>AVERAGEIFS([3]!players[xp_per_min], [3]!players[name],A1317,[3]!players[hero_name],B1317)</f>
        <v>963</v>
      </c>
    </row>
    <row r="1318" spans="1:8" x14ac:dyDescent="0.3">
      <c r="A1318" t="str">
        <v>Niku</v>
      </c>
      <c r="B1318" t="str">
        <v>Queen of Pain</v>
      </c>
      <c r="C1318" t="str" cm="1">
        <f t="array" ref="C1318">_xlfn.XLOOKUP(1,([3]!players[name]=A1318)*([3]!players[hero_name]=B1318),[3]!players[lane_name])</f>
        <v>Mid</v>
      </c>
      <c r="D1318">
        <f>COUNTIFS([3]!players[name],A1318,[3]!players[hero_name],B1318)</f>
        <v>1</v>
      </c>
      <c r="E1318">
        <f>COUNTIFS([3]!players[name],A1318,[3]!players[hero_name],B1318, [3]!players[win], 1)</f>
        <v>0</v>
      </c>
      <c r="F1318" s="1">
        <f t="shared" si="20"/>
        <v>0</v>
      </c>
      <c r="G1318" s="2">
        <f>AVERAGEIFS([3]!players[gold_per_min], [3]!players[name],A1318,[3]!players[hero_name],B1318)</f>
        <v>404</v>
      </c>
      <c r="H1318" s="2">
        <f>AVERAGEIFS([3]!players[xp_per_min], [3]!players[name],A1318,[3]!players[hero_name],B1318)</f>
        <v>451</v>
      </c>
    </row>
    <row r="1319" spans="1:8" x14ac:dyDescent="0.3">
      <c r="A1319" t="str">
        <v>Nisha</v>
      </c>
      <c r="B1319" t="str">
        <v>Void Spirit</v>
      </c>
      <c r="C1319" t="str" cm="1">
        <f t="array" ref="C1319">_xlfn.XLOOKUP(1,([3]!players[name]=A1319)*([3]!players[hero_name]=B1319),[3]!players[lane_name])</f>
        <v>Mid</v>
      </c>
      <c r="D1319">
        <f>COUNTIFS([3]!players[name],A1319,[3]!players[hero_name],B1319)</f>
        <v>5</v>
      </c>
      <c r="E1319">
        <f>COUNTIFS([3]!players[name],A1319,[3]!players[hero_name],B1319, [3]!players[win], 1)</f>
        <v>2</v>
      </c>
      <c r="F1319" s="1">
        <f t="shared" si="20"/>
        <v>0.4</v>
      </c>
      <c r="G1319" s="2">
        <f>AVERAGEIFS([3]!players[gold_per_min], [3]!players[name],A1319,[3]!players[hero_name],B1319)</f>
        <v>606.79999999999995</v>
      </c>
      <c r="H1319" s="2">
        <f>AVERAGEIFS([3]!players[xp_per_min], [3]!players[name],A1319,[3]!players[hero_name],B1319)</f>
        <v>720.4</v>
      </c>
    </row>
    <row r="1320" spans="1:8" x14ac:dyDescent="0.3">
      <c r="A1320" t="str">
        <v>Nisha</v>
      </c>
      <c r="B1320" t="str">
        <v>Pangolier</v>
      </c>
      <c r="C1320" t="str" cm="1">
        <f t="array" ref="C1320">_xlfn.XLOOKUP(1,([3]!players[name]=A1320)*([3]!players[hero_name]=B1320),[3]!players[lane_name])</f>
        <v>Mid</v>
      </c>
      <c r="D1320">
        <f>COUNTIFS([3]!players[name],A1320,[3]!players[hero_name],B1320)</f>
        <v>2</v>
      </c>
      <c r="E1320">
        <f>COUNTIFS([3]!players[name],A1320,[3]!players[hero_name],B1320, [3]!players[win], 1)</f>
        <v>1</v>
      </c>
      <c r="F1320" s="1">
        <f t="shared" si="20"/>
        <v>0.5</v>
      </c>
      <c r="G1320" s="2">
        <f>AVERAGEIFS([3]!players[gold_per_min], [3]!players[name],A1320,[3]!players[hero_name],B1320)</f>
        <v>559.5</v>
      </c>
      <c r="H1320" s="2">
        <f>AVERAGEIFS([3]!players[xp_per_min], [3]!players[name],A1320,[3]!players[hero_name],B1320)</f>
        <v>747</v>
      </c>
    </row>
    <row r="1321" spans="1:8" x14ac:dyDescent="0.3">
      <c r="A1321" t="str">
        <v>Nisha</v>
      </c>
      <c r="B1321" t="str">
        <v>Nature's Prophet</v>
      </c>
      <c r="C1321" t="str" cm="1">
        <f t="array" ref="C1321">_xlfn.XLOOKUP(1,([3]!players[name]=A1321)*([3]!players[hero_name]=B1321),[3]!players[lane_name])</f>
        <v>Mid</v>
      </c>
      <c r="D1321">
        <f>COUNTIFS([3]!players[name],A1321,[3]!players[hero_name],B1321)</f>
        <v>3</v>
      </c>
      <c r="E1321">
        <f>COUNTIFS([3]!players[name],A1321,[3]!players[hero_name],B1321, [3]!players[win], 1)</f>
        <v>3</v>
      </c>
      <c r="F1321" s="1">
        <f t="shared" si="20"/>
        <v>1</v>
      </c>
      <c r="G1321" s="2">
        <f>AVERAGEIFS([3]!players[gold_per_min], [3]!players[name],A1321,[3]!players[hero_name],B1321)</f>
        <v>828</v>
      </c>
      <c r="H1321" s="2">
        <f>AVERAGEIFS([3]!players[xp_per_min], [3]!players[name],A1321,[3]!players[hero_name],B1321)</f>
        <v>969.66666666666663</v>
      </c>
    </row>
    <row r="1322" spans="1:8" x14ac:dyDescent="0.3">
      <c r="A1322" t="str">
        <v>Nisha</v>
      </c>
      <c r="B1322" t="str">
        <v>Sniper</v>
      </c>
      <c r="C1322" t="str" cm="1">
        <f t="array" ref="C1322">_xlfn.XLOOKUP(1,([3]!players[name]=A1322)*([3]!players[hero_name]=B1322),[3]!players[lane_name])</f>
        <v>Mid</v>
      </c>
      <c r="D1322">
        <f>COUNTIFS([3]!players[name],A1322,[3]!players[hero_name],B1322)</f>
        <v>1</v>
      </c>
      <c r="E1322">
        <f>COUNTIFS([3]!players[name],A1322,[3]!players[hero_name],B1322, [3]!players[win], 1)</f>
        <v>1</v>
      </c>
      <c r="F1322" s="1">
        <f t="shared" si="20"/>
        <v>1</v>
      </c>
      <c r="G1322" s="2">
        <f>AVERAGEIFS([3]!players[gold_per_min], [3]!players[name],A1322,[3]!players[hero_name],B1322)</f>
        <v>686</v>
      </c>
      <c r="H1322" s="2">
        <f>AVERAGEIFS([3]!players[xp_per_min], [3]!players[name],A1322,[3]!players[hero_name],B1322)</f>
        <v>1048</v>
      </c>
    </row>
    <row r="1323" spans="1:8" x14ac:dyDescent="0.3">
      <c r="A1323" t="str">
        <v>Nisha</v>
      </c>
      <c r="B1323" t="str">
        <v>Slardar</v>
      </c>
      <c r="C1323" t="str" cm="1">
        <f t="array" ref="C1323">_xlfn.XLOOKUP(1,([3]!players[name]=A1323)*([3]!players[hero_name]=B1323),[3]!players[lane_name])</f>
        <v>Mid</v>
      </c>
      <c r="D1323">
        <f>COUNTIFS([3]!players[name],A1323,[3]!players[hero_name],B1323)</f>
        <v>2</v>
      </c>
      <c r="E1323">
        <f>COUNTIFS([3]!players[name],A1323,[3]!players[hero_name],B1323, [3]!players[win], 1)</f>
        <v>0</v>
      </c>
      <c r="F1323" s="1">
        <f t="shared" si="20"/>
        <v>0</v>
      </c>
      <c r="G1323" s="2">
        <f>AVERAGEIFS([3]!players[gold_per_min], [3]!players[name],A1323,[3]!players[hero_name],B1323)</f>
        <v>577</v>
      </c>
      <c r="H1323" s="2">
        <f>AVERAGEIFS([3]!players[xp_per_min], [3]!players[name],A1323,[3]!players[hero_name],B1323)</f>
        <v>748.5</v>
      </c>
    </row>
    <row r="1324" spans="1:8" x14ac:dyDescent="0.3">
      <c r="A1324" t="str">
        <v>Nisha</v>
      </c>
      <c r="B1324" t="str">
        <v>Queen of Pain</v>
      </c>
      <c r="C1324" t="str" cm="1">
        <f t="array" ref="C1324">_xlfn.XLOOKUP(1,([3]!players[name]=A1324)*([3]!players[hero_name]=B1324),[3]!players[lane_name])</f>
        <v>Mid</v>
      </c>
      <c r="D1324">
        <f>COUNTIFS([3]!players[name],A1324,[3]!players[hero_name],B1324)</f>
        <v>10</v>
      </c>
      <c r="E1324">
        <f>COUNTIFS([3]!players[name],A1324,[3]!players[hero_name],B1324, [3]!players[win], 1)</f>
        <v>6</v>
      </c>
      <c r="F1324" s="1">
        <f t="shared" si="20"/>
        <v>0.6</v>
      </c>
      <c r="G1324" s="2">
        <f>AVERAGEIFS([3]!players[gold_per_min], [3]!players[name],A1324,[3]!players[hero_name],B1324)</f>
        <v>730.7</v>
      </c>
      <c r="H1324" s="2">
        <f>AVERAGEIFS([3]!players[xp_per_min], [3]!players[name],A1324,[3]!players[hero_name],B1324)</f>
        <v>995.3</v>
      </c>
    </row>
    <row r="1325" spans="1:8" x14ac:dyDescent="0.3">
      <c r="A1325" t="str">
        <v>Nisha</v>
      </c>
      <c r="B1325" t="str">
        <v>Invoker</v>
      </c>
      <c r="C1325" t="str" cm="1">
        <f t="array" ref="C1325">_xlfn.XLOOKUP(1,([3]!players[name]=A1325)*([3]!players[hero_name]=B1325),[3]!players[lane_name])</f>
        <v>Mid</v>
      </c>
      <c r="D1325">
        <f>COUNTIFS([3]!players[name],A1325,[3]!players[hero_name],B1325)</f>
        <v>1</v>
      </c>
      <c r="E1325">
        <f>COUNTIFS([3]!players[name],A1325,[3]!players[hero_name],B1325, [3]!players[win], 1)</f>
        <v>0</v>
      </c>
      <c r="F1325" s="1">
        <f t="shared" si="20"/>
        <v>0</v>
      </c>
      <c r="G1325" s="2">
        <f>AVERAGEIFS([3]!players[gold_per_min], [3]!players[name],A1325,[3]!players[hero_name],B1325)</f>
        <v>579</v>
      </c>
      <c r="H1325" s="2">
        <f>AVERAGEIFS([3]!players[xp_per_min], [3]!players[name],A1325,[3]!players[hero_name],B1325)</f>
        <v>605</v>
      </c>
    </row>
    <row r="1326" spans="1:8" x14ac:dyDescent="0.3">
      <c r="A1326" t="str">
        <v>Nisha</v>
      </c>
      <c r="B1326" t="str">
        <v>Storm Spirit</v>
      </c>
      <c r="C1326" t="str" cm="1">
        <f t="array" ref="C1326">_xlfn.XLOOKUP(1,([3]!players[name]=A1326)*([3]!players[hero_name]=B1326),[3]!players[lane_name])</f>
        <v>Mid</v>
      </c>
      <c r="D1326">
        <f>COUNTIFS([3]!players[name],A1326,[3]!players[hero_name],B1326)</f>
        <v>2</v>
      </c>
      <c r="E1326">
        <f>COUNTIFS([3]!players[name],A1326,[3]!players[hero_name],B1326, [3]!players[win], 1)</f>
        <v>2</v>
      </c>
      <c r="F1326" s="1">
        <f t="shared" si="20"/>
        <v>1</v>
      </c>
      <c r="G1326" s="2">
        <f>AVERAGEIFS([3]!players[gold_per_min], [3]!players[name],A1326,[3]!players[hero_name],B1326)</f>
        <v>657</v>
      </c>
      <c r="H1326" s="2">
        <f>AVERAGEIFS([3]!players[xp_per_min], [3]!players[name],A1326,[3]!players[hero_name],B1326)</f>
        <v>930.5</v>
      </c>
    </row>
    <row r="1327" spans="1:8" x14ac:dyDescent="0.3">
      <c r="A1327" t="str">
        <v>Nisha</v>
      </c>
      <c r="B1327" t="str">
        <v>Puck</v>
      </c>
      <c r="C1327" t="str" cm="1">
        <f t="array" ref="C1327">_xlfn.XLOOKUP(1,([3]!players[name]=A1327)*([3]!players[hero_name]=B1327),[3]!players[lane_name])</f>
        <v>Mid</v>
      </c>
      <c r="D1327">
        <f>COUNTIFS([3]!players[name],A1327,[3]!players[hero_name],B1327)</f>
        <v>2</v>
      </c>
      <c r="E1327">
        <f>COUNTIFS([3]!players[name],A1327,[3]!players[hero_name],B1327, [3]!players[win], 1)</f>
        <v>1</v>
      </c>
      <c r="F1327" s="1">
        <f t="shared" si="20"/>
        <v>0.5</v>
      </c>
      <c r="G1327" s="2">
        <f>AVERAGEIFS([3]!players[gold_per_min], [3]!players[name],A1327,[3]!players[hero_name],B1327)</f>
        <v>610.5</v>
      </c>
      <c r="H1327" s="2">
        <f>AVERAGEIFS([3]!players[xp_per_min], [3]!players[name],A1327,[3]!players[hero_name],B1327)</f>
        <v>905.5</v>
      </c>
    </row>
    <row r="1328" spans="1:8" x14ac:dyDescent="0.3">
      <c r="A1328" t="str">
        <v>Nisha</v>
      </c>
      <c r="B1328" t="str">
        <v>Huskar</v>
      </c>
      <c r="C1328" t="str" cm="1">
        <f t="array" ref="C1328">_xlfn.XLOOKUP(1,([3]!players[name]=A1328)*([3]!players[hero_name]=B1328),[3]!players[lane_name])</f>
        <v>Mid</v>
      </c>
      <c r="D1328">
        <f>COUNTIFS([3]!players[name],A1328,[3]!players[hero_name],B1328)</f>
        <v>2</v>
      </c>
      <c r="E1328">
        <f>COUNTIFS([3]!players[name],A1328,[3]!players[hero_name],B1328, [3]!players[win], 1)</f>
        <v>1</v>
      </c>
      <c r="F1328" s="1">
        <f t="shared" si="20"/>
        <v>0.5</v>
      </c>
      <c r="G1328" s="2">
        <f>AVERAGEIFS([3]!players[gold_per_min], [3]!players[name],A1328,[3]!players[hero_name],B1328)</f>
        <v>601</v>
      </c>
      <c r="H1328" s="2">
        <f>AVERAGEIFS([3]!players[xp_per_min], [3]!players[name],A1328,[3]!players[hero_name],B1328)</f>
        <v>739.5</v>
      </c>
    </row>
    <row r="1329" spans="1:8" x14ac:dyDescent="0.3">
      <c r="A1329" t="str">
        <v>Nisha</v>
      </c>
      <c r="B1329" t="str">
        <v>Ember Spirit</v>
      </c>
      <c r="C1329" t="str" cm="1">
        <f t="array" ref="C1329">_xlfn.XLOOKUP(1,([3]!players[name]=A1329)*([3]!players[hero_name]=B1329),[3]!players[lane_name])</f>
        <v>Mid</v>
      </c>
      <c r="D1329">
        <f>COUNTIFS([3]!players[name],A1329,[3]!players[hero_name],B1329)</f>
        <v>4</v>
      </c>
      <c r="E1329">
        <f>COUNTIFS([3]!players[name],A1329,[3]!players[hero_name],B1329, [3]!players[win], 1)</f>
        <v>2</v>
      </c>
      <c r="F1329" s="1">
        <f t="shared" si="20"/>
        <v>0.5</v>
      </c>
      <c r="G1329" s="2">
        <f>AVERAGEIFS([3]!players[gold_per_min], [3]!players[name],A1329,[3]!players[hero_name],B1329)</f>
        <v>555.5</v>
      </c>
      <c r="H1329" s="2">
        <f>AVERAGEIFS([3]!players[xp_per_min], [3]!players[name],A1329,[3]!players[hero_name],B1329)</f>
        <v>723</v>
      </c>
    </row>
    <row r="1330" spans="1:8" x14ac:dyDescent="0.3">
      <c r="A1330" t="str">
        <v>Nisha</v>
      </c>
      <c r="B1330" t="str">
        <v>Beastmaster</v>
      </c>
      <c r="C1330" t="str" cm="1">
        <f t="array" ref="C1330">_xlfn.XLOOKUP(1,([3]!players[name]=A1330)*([3]!players[hero_name]=B1330),[3]!players[lane_name])</f>
        <v>Mid</v>
      </c>
      <c r="D1330">
        <f>COUNTIFS([3]!players[name],A1330,[3]!players[hero_name],B1330)</f>
        <v>3</v>
      </c>
      <c r="E1330">
        <f>COUNTIFS([3]!players[name],A1330,[3]!players[hero_name],B1330, [3]!players[win], 1)</f>
        <v>3</v>
      </c>
      <c r="F1330" s="1">
        <f t="shared" si="20"/>
        <v>1</v>
      </c>
      <c r="G1330" s="2">
        <f>AVERAGEIFS([3]!players[gold_per_min], [3]!players[name],A1330,[3]!players[hero_name],B1330)</f>
        <v>733.66666666666663</v>
      </c>
      <c r="H1330" s="2">
        <f>AVERAGEIFS([3]!players[xp_per_min], [3]!players[name],A1330,[3]!players[hero_name],B1330)</f>
        <v>864</v>
      </c>
    </row>
    <row r="1331" spans="1:8" x14ac:dyDescent="0.3">
      <c r="A1331" t="str">
        <v>niu</v>
      </c>
      <c r="B1331" t="str">
        <v>Kunkka</v>
      </c>
      <c r="C1331" t="str" cm="1">
        <f t="array" ref="C1331">_xlfn.XLOOKUP(1,([3]!players[name]=A1331)*([3]!players[hero_name]=B1331),[3]!players[lane_name])</f>
        <v>Off Lane</v>
      </c>
      <c r="D1331">
        <f>COUNTIFS([3]!players[name],A1331,[3]!players[hero_name],B1331)</f>
        <v>1</v>
      </c>
      <c r="E1331">
        <f>COUNTIFS([3]!players[name],A1331,[3]!players[hero_name],B1331, [3]!players[win], 1)</f>
        <v>1</v>
      </c>
      <c r="F1331" s="1">
        <f t="shared" si="20"/>
        <v>1</v>
      </c>
      <c r="G1331" s="2">
        <f>AVERAGEIFS([3]!players[gold_per_min], [3]!players[name],A1331,[3]!players[hero_name],B1331)</f>
        <v>550</v>
      </c>
      <c r="H1331" s="2">
        <f>AVERAGEIFS([3]!players[xp_per_min], [3]!players[name],A1331,[3]!players[hero_name],B1331)</f>
        <v>671</v>
      </c>
    </row>
    <row r="1332" spans="1:8" x14ac:dyDescent="0.3">
      <c r="A1332" t="str">
        <v>niu</v>
      </c>
      <c r="B1332" t="str">
        <v>Brewmaster</v>
      </c>
      <c r="C1332" t="str" cm="1">
        <f t="array" ref="C1332">_xlfn.XLOOKUP(1,([3]!players[name]=A1332)*([3]!players[hero_name]=B1332),[3]!players[lane_name])</f>
        <v>Off Lane</v>
      </c>
      <c r="D1332">
        <f>COUNTIFS([3]!players[name],A1332,[3]!players[hero_name],B1332)</f>
        <v>1</v>
      </c>
      <c r="E1332">
        <f>COUNTIFS([3]!players[name],A1332,[3]!players[hero_name],B1332, [3]!players[win], 1)</f>
        <v>1</v>
      </c>
      <c r="F1332" s="1">
        <f t="shared" si="20"/>
        <v>1</v>
      </c>
      <c r="G1332" s="2">
        <f>AVERAGEIFS([3]!players[gold_per_min], [3]!players[name],A1332,[3]!players[hero_name],B1332)</f>
        <v>584</v>
      </c>
      <c r="H1332" s="2">
        <f>AVERAGEIFS([3]!players[xp_per_min], [3]!players[name],A1332,[3]!players[hero_name],B1332)</f>
        <v>732</v>
      </c>
    </row>
    <row r="1333" spans="1:8" x14ac:dyDescent="0.3">
      <c r="A1333" t="str">
        <v>niu</v>
      </c>
      <c r="B1333" t="str">
        <v>Slardar</v>
      </c>
      <c r="C1333" t="str" cm="1">
        <f t="array" ref="C1333">_xlfn.XLOOKUP(1,([3]!players[name]=A1333)*([3]!players[hero_name]=B1333),[3]!players[lane_name])</f>
        <v>Off Lane</v>
      </c>
      <c r="D1333">
        <f>COUNTIFS([3]!players[name],A1333,[3]!players[hero_name],B1333)</f>
        <v>3</v>
      </c>
      <c r="E1333">
        <f>COUNTIFS([3]!players[name],A1333,[3]!players[hero_name],B1333, [3]!players[win], 1)</f>
        <v>1</v>
      </c>
      <c r="F1333" s="1">
        <f t="shared" si="20"/>
        <v>0.33333333333333331</v>
      </c>
      <c r="G1333" s="2">
        <f>AVERAGEIFS([3]!players[gold_per_min], [3]!players[name],A1333,[3]!players[hero_name],B1333)</f>
        <v>501.66666666666669</v>
      </c>
      <c r="H1333" s="2">
        <f>AVERAGEIFS([3]!players[xp_per_min], [3]!players[name],A1333,[3]!players[hero_name],B1333)</f>
        <v>642.66666666666663</v>
      </c>
    </row>
    <row r="1334" spans="1:8" x14ac:dyDescent="0.3">
      <c r="A1334" t="str">
        <v>niu</v>
      </c>
      <c r="B1334" t="str">
        <v>Tidehunter</v>
      </c>
      <c r="C1334" t="str" cm="1">
        <f t="array" ref="C1334">_xlfn.XLOOKUP(1,([3]!players[name]=A1334)*([3]!players[hero_name]=B1334),[3]!players[lane_name])</f>
        <v>Off Lane</v>
      </c>
      <c r="D1334">
        <f>COUNTIFS([3]!players[name],A1334,[3]!players[hero_name],B1334)</f>
        <v>2</v>
      </c>
      <c r="E1334">
        <f>COUNTIFS([3]!players[name],A1334,[3]!players[hero_name],B1334, [3]!players[win], 1)</f>
        <v>1</v>
      </c>
      <c r="F1334" s="1">
        <f t="shared" si="20"/>
        <v>0.5</v>
      </c>
      <c r="G1334" s="2">
        <f>AVERAGEIFS([3]!players[gold_per_min], [3]!players[name],A1334,[3]!players[hero_name],B1334)</f>
        <v>509</v>
      </c>
      <c r="H1334" s="2">
        <f>AVERAGEIFS([3]!players[xp_per_min], [3]!players[name],A1334,[3]!players[hero_name],B1334)</f>
        <v>583</v>
      </c>
    </row>
    <row r="1335" spans="1:8" x14ac:dyDescent="0.3">
      <c r="A1335" t="str">
        <v>niu</v>
      </c>
      <c r="B1335" t="str">
        <v>Beastmaster</v>
      </c>
      <c r="C1335" t="str" cm="1">
        <f t="array" ref="C1335">_xlfn.XLOOKUP(1,([3]!players[name]=A1335)*([3]!players[hero_name]=B1335),[3]!players[lane_name])</f>
        <v>Off Lane</v>
      </c>
      <c r="D1335">
        <f>COUNTIFS([3]!players[name],A1335,[3]!players[hero_name],B1335)</f>
        <v>2</v>
      </c>
      <c r="E1335">
        <f>COUNTIFS([3]!players[name],A1335,[3]!players[hero_name],B1335, [3]!players[win], 1)</f>
        <v>2</v>
      </c>
      <c r="F1335" s="1">
        <f t="shared" si="20"/>
        <v>1</v>
      </c>
      <c r="G1335" s="2">
        <f>AVERAGEIFS([3]!players[gold_per_min], [3]!players[name],A1335,[3]!players[hero_name],B1335)</f>
        <v>667</v>
      </c>
      <c r="H1335" s="2">
        <f>AVERAGEIFS([3]!players[xp_per_min], [3]!players[name],A1335,[3]!players[hero_name],B1335)</f>
        <v>706.5</v>
      </c>
    </row>
    <row r="1336" spans="1:8" x14ac:dyDescent="0.3">
      <c r="A1336" t="str">
        <v>niu</v>
      </c>
      <c r="B1336" t="str">
        <v>Night Stalker</v>
      </c>
      <c r="C1336" t="str" cm="1">
        <f t="array" ref="C1336">_xlfn.XLOOKUP(1,([3]!players[name]=A1336)*([3]!players[hero_name]=B1336),[3]!players[lane_name])</f>
        <v>Off Lane</v>
      </c>
      <c r="D1336">
        <f>COUNTIFS([3]!players[name],A1336,[3]!players[hero_name],B1336)</f>
        <v>1</v>
      </c>
      <c r="E1336">
        <f>COUNTIFS([3]!players[name],A1336,[3]!players[hero_name],B1336, [3]!players[win], 1)</f>
        <v>1</v>
      </c>
      <c r="F1336" s="1">
        <f t="shared" si="20"/>
        <v>1</v>
      </c>
      <c r="G1336" s="2">
        <f>AVERAGEIFS([3]!players[gold_per_min], [3]!players[name],A1336,[3]!players[hero_name],B1336)</f>
        <v>550</v>
      </c>
      <c r="H1336" s="2">
        <f>AVERAGEIFS([3]!players[xp_per_min], [3]!players[name],A1336,[3]!players[hero_name],B1336)</f>
        <v>522</v>
      </c>
    </row>
    <row r="1337" spans="1:8" x14ac:dyDescent="0.3">
      <c r="A1337" t="str">
        <v>niu</v>
      </c>
      <c r="B1337" t="str">
        <v>Pangolier</v>
      </c>
      <c r="C1337" t="str" cm="1">
        <f t="array" ref="C1337">_xlfn.XLOOKUP(1,([3]!players[name]=A1337)*([3]!players[hero_name]=B1337),[3]!players[lane_name])</f>
        <v>Off Lane</v>
      </c>
      <c r="D1337">
        <f>COUNTIFS([3]!players[name],A1337,[3]!players[hero_name],B1337)</f>
        <v>1</v>
      </c>
      <c r="E1337">
        <f>COUNTIFS([3]!players[name],A1337,[3]!players[hero_name],B1337, [3]!players[win], 1)</f>
        <v>0</v>
      </c>
      <c r="F1337" s="1">
        <f t="shared" si="20"/>
        <v>0</v>
      </c>
      <c r="G1337" s="2">
        <f>AVERAGEIFS([3]!players[gold_per_min], [3]!players[name],A1337,[3]!players[hero_name],B1337)</f>
        <v>459</v>
      </c>
      <c r="H1337" s="2">
        <f>AVERAGEIFS([3]!players[xp_per_min], [3]!players[name],A1337,[3]!players[hero_name],B1337)</f>
        <v>568</v>
      </c>
    </row>
    <row r="1338" spans="1:8" x14ac:dyDescent="0.3">
      <c r="A1338" t="str">
        <v>niu</v>
      </c>
      <c r="B1338" t="str">
        <v>Underlord</v>
      </c>
      <c r="C1338" t="str" cm="1">
        <f t="array" ref="C1338">_xlfn.XLOOKUP(1,([3]!players[name]=A1338)*([3]!players[hero_name]=B1338),[3]!players[lane_name])</f>
        <v>Off Lane</v>
      </c>
      <c r="D1338">
        <f>COUNTIFS([3]!players[name],A1338,[3]!players[hero_name],B1338)</f>
        <v>3</v>
      </c>
      <c r="E1338">
        <f>COUNTIFS([3]!players[name],A1338,[3]!players[hero_name],B1338, [3]!players[win], 1)</f>
        <v>2</v>
      </c>
      <c r="F1338" s="1">
        <f t="shared" si="20"/>
        <v>0.66666666666666663</v>
      </c>
      <c r="G1338" s="2">
        <f>AVERAGEIFS([3]!players[gold_per_min], [3]!players[name],A1338,[3]!players[hero_name],B1338)</f>
        <v>561.33333333333337</v>
      </c>
      <c r="H1338" s="2">
        <f>AVERAGEIFS([3]!players[xp_per_min], [3]!players[name],A1338,[3]!players[hero_name],B1338)</f>
        <v>684.66666666666663</v>
      </c>
    </row>
    <row r="1339" spans="1:8" x14ac:dyDescent="0.3">
      <c r="A1339" t="str">
        <v>niu</v>
      </c>
      <c r="B1339" t="str">
        <v>Batrider</v>
      </c>
      <c r="C1339" t="str" cm="1">
        <f t="array" ref="C1339">_xlfn.XLOOKUP(1,([3]!players[name]=A1339)*([3]!players[hero_name]=B1339),[3]!players[lane_name])</f>
        <v>Off Lane</v>
      </c>
      <c r="D1339">
        <f>COUNTIFS([3]!players[name],A1339,[3]!players[hero_name],B1339)</f>
        <v>1</v>
      </c>
      <c r="E1339">
        <f>COUNTIFS([3]!players[name],A1339,[3]!players[hero_name],B1339, [3]!players[win], 1)</f>
        <v>1</v>
      </c>
      <c r="F1339" s="1">
        <f t="shared" si="20"/>
        <v>1</v>
      </c>
      <c r="G1339" s="2">
        <f>AVERAGEIFS([3]!players[gold_per_min], [3]!players[name],A1339,[3]!players[hero_name],B1339)</f>
        <v>533</v>
      </c>
      <c r="H1339" s="2">
        <f>AVERAGEIFS([3]!players[xp_per_min], [3]!players[name],A1339,[3]!players[hero_name],B1339)</f>
        <v>678</v>
      </c>
    </row>
    <row r="1340" spans="1:8" x14ac:dyDescent="0.3">
      <c r="A1340" t="str">
        <v>No!obâ„¢</v>
      </c>
      <c r="B1340" t="str">
        <v>Sand King</v>
      </c>
      <c r="C1340" t="str" cm="1">
        <f t="array" ref="C1340">_xlfn.XLOOKUP(1,([3]!players[name]=A1340)*([3]!players[hero_name]=B1340),[3]!players[lane_name])</f>
        <v>Mid</v>
      </c>
      <c r="D1340">
        <f>COUNTIFS([3]!players[name],A1340,[3]!players[hero_name],B1340)</f>
        <v>4</v>
      </c>
      <c r="E1340">
        <f>COUNTIFS([3]!players[name],A1340,[3]!players[hero_name],B1340, [3]!players[win], 1)</f>
        <v>2</v>
      </c>
      <c r="F1340" s="1">
        <f t="shared" si="20"/>
        <v>0.5</v>
      </c>
      <c r="G1340" s="2">
        <f>AVERAGEIFS([3]!players[gold_per_min], [3]!players[name],A1340,[3]!players[hero_name],B1340)</f>
        <v>505.5</v>
      </c>
      <c r="H1340" s="2">
        <f>AVERAGEIFS([3]!players[xp_per_min], [3]!players[name],A1340,[3]!players[hero_name],B1340)</f>
        <v>687.75</v>
      </c>
    </row>
    <row r="1341" spans="1:8" x14ac:dyDescent="0.3">
      <c r="A1341" t="str">
        <v>No!obâ„¢</v>
      </c>
      <c r="B1341" t="str">
        <v>Puck</v>
      </c>
      <c r="C1341" t="str" cm="1">
        <f t="array" ref="C1341">_xlfn.XLOOKUP(1,([3]!players[name]=A1341)*([3]!players[hero_name]=B1341),[3]!players[lane_name])</f>
        <v>Mid</v>
      </c>
      <c r="D1341">
        <f>COUNTIFS([3]!players[name],A1341,[3]!players[hero_name],B1341)</f>
        <v>6</v>
      </c>
      <c r="E1341">
        <f>COUNTIFS([3]!players[name],A1341,[3]!players[hero_name],B1341, [3]!players[win], 1)</f>
        <v>3</v>
      </c>
      <c r="F1341" s="1">
        <f t="shared" si="20"/>
        <v>0.5</v>
      </c>
      <c r="G1341" s="2">
        <f>AVERAGEIFS([3]!players[gold_per_min], [3]!players[name],A1341,[3]!players[hero_name],B1341)</f>
        <v>605.33333333333337</v>
      </c>
      <c r="H1341" s="2">
        <f>AVERAGEIFS([3]!players[xp_per_min], [3]!players[name],A1341,[3]!players[hero_name],B1341)</f>
        <v>741.83333333333337</v>
      </c>
    </row>
    <row r="1342" spans="1:8" x14ac:dyDescent="0.3">
      <c r="A1342" t="str">
        <v>No!obâ„¢</v>
      </c>
      <c r="B1342" t="str">
        <v>Storm Spirit</v>
      </c>
      <c r="C1342" t="str" cm="1">
        <f t="array" ref="C1342">_xlfn.XLOOKUP(1,([3]!players[name]=A1342)*([3]!players[hero_name]=B1342),[3]!players[lane_name])</f>
        <v>Mid</v>
      </c>
      <c r="D1342">
        <f>COUNTIFS([3]!players[name],A1342,[3]!players[hero_name],B1342)</f>
        <v>1</v>
      </c>
      <c r="E1342">
        <f>COUNTIFS([3]!players[name],A1342,[3]!players[hero_name],B1342, [3]!players[win], 1)</f>
        <v>1</v>
      </c>
      <c r="F1342" s="1">
        <f t="shared" si="20"/>
        <v>1</v>
      </c>
      <c r="G1342" s="2">
        <f>AVERAGEIFS([3]!players[gold_per_min], [3]!players[name],A1342,[3]!players[hero_name],B1342)</f>
        <v>607</v>
      </c>
      <c r="H1342" s="2">
        <f>AVERAGEIFS([3]!players[xp_per_min], [3]!players[name],A1342,[3]!players[hero_name],B1342)</f>
        <v>933</v>
      </c>
    </row>
    <row r="1343" spans="1:8" x14ac:dyDescent="0.3">
      <c r="A1343" t="str">
        <v>No!obâ„¢</v>
      </c>
      <c r="B1343" t="str">
        <v>Void Spirit</v>
      </c>
      <c r="C1343" t="str" cm="1">
        <f t="array" ref="C1343">_xlfn.XLOOKUP(1,([3]!players[name]=A1343)*([3]!players[hero_name]=B1343),[3]!players[lane_name])</f>
        <v>Mid</v>
      </c>
      <c r="D1343">
        <f>COUNTIFS([3]!players[name],A1343,[3]!players[hero_name],B1343)</f>
        <v>2</v>
      </c>
      <c r="E1343">
        <f>COUNTIFS([3]!players[name],A1343,[3]!players[hero_name],B1343, [3]!players[win], 1)</f>
        <v>2</v>
      </c>
      <c r="F1343" s="1">
        <f t="shared" si="20"/>
        <v>1</v>
      </c>
      <c r="G1343" s="2">
        <f>AVERAGEIFS([3]!players[gold_per_min], [3]!players[name],A1343,[3]!players[hero_name],B1343)</f>
        <v>651</v>
      </c>
      <c r="H1343" s="2">
        <f>AVERAGEIFS([3]!players[xp_per_min], [3]!players[name],A1343,[3]!players[hero_name],B1343)</f>
        <v>877.5</v>
      </c>
    </row>
    <row r="1344" spans="1:8" x14ac:dyDescent="0.3">
      <c r="A1344" t="str">
        <v>No!obâ„¢</v>
      </c>
      <c r="B1344" t="str">
        <v>Queen of Pain</v>
      </c>
      <c r="C1344" t="str" cm="1">
        <f t="array" ref="C1344">_xlfn.XLOOKUP(1,([3]!players[name]=A1344)*([3]!players[hero_name]=B1344),[3]!players[lane_name])</f>
        <v>Mid</v>
      </c>
      <c r="D1344">
        <f>COUNTIFS([3]!players[name],A1344,[3]!players[hero_name],B1344)</f>
        <v>5</v>
      </c>
      <c r="E1344">
        <f>COUNTIFS([3]!players[name],A1344,[3]!players[hero_name],B1344, [3]!players[win], 1)</f>
        <v>4</v>
      </c>
      <c r="F1344" s="1">
        <f t="shared" si="20"/>
        <v>0.8</v>
      </c>
      <c r="G1344" s="2">
        <f>AVERAGEIFS([3]!players[gold_per_min], [3]!players[name],A1344,[3]!players[hero_name],B1344)</f>
        <v>664.6</v>
      </c>
      <c r="H1344" s="2">
        <f>AVERAGEIFS([3]!players[xp_per_min], [3]!players[name],A1344,[3]!players[hero_name],B1344)</f>
        <v>883.2</v>
      </c>
    </row>
    <row r="1345" spans="1:8" x14ac:dyDescent="0.3">
      <c r="A1345" t="str">
        <v>No!obâ„¢</v>
      </c>
      <c r="B1345" t="str">
        <v>Ember Spirit</v>
      </c>
      <c r="C1345" t="str" cm="1">
        <f t="array" ref="C1345">_xlfn.XLOOKUP(1,([3]!players[name]=A1345)*([3]!players[hero_name]=B1345),[3]!players[lane_name])</f>
        <v>Mid</v>
      </c>
      <c r="D1345">
        <f>COUNTIFS([3]!players[name],A1345,[3]!players[hero_name],B1345)</f>
        <v>4</v>
      </c>
      <c r="E1345">
        <f>COUNTIFS([3]!players[name],A1345,[3]!players[hero_name],B1345, [3]!players[win], 1)</f>
        <v>3</v>
      </c>
      <c r="F1345" s="1">
        <f t="shared" si="20"/>
        <v>0.75</v>
      </c>
      <c r="G1345" s="2">
        <f>AVERAGEIFS([3]!players[gold_per_min], [3]!players[name],A1345,[3]!players[hero_name],B1345)</f>
        <v>620</v>
      </c>
      <c r="H1345" s="2">
        <f>AVERAGEIFS([3]!players[xp_per_min], [3]!players[name],A1345,[3]!players[hero_name],B1345)</f>
        <v>789.5</v>
      </c>
    </row>
    <row r="1346" spans="1:8" x14ac:dyDescent="0.3">
      <c r="A1346" t="str">
        <v>No!obâ„¢</v>
      </c>
      <c r="B1346" t="str">
        <v>Beastmaster</v>
      </c>
      <c r="C1346" t="str" cm="1">
        <f t="array" ref="C1346">_xlfn.XLOOKUP(1,([3]!players[name]=A1346)*([3]!players[hero_name]=B1346),[3]!players[lane_name])</f>
        <v>Mid</v>
      </c>
      <c r="D1346">
        <f>COUNTIFS([3]!players[name],A1346,[3]!players[hero_name],B1346)</f>
        <v>11</v>
      </c>
      <c r="E1346">
        <f>COUNTIFS([3]!players[name],A1346,[3]!players[hero_name],B1346, [3]!players[win], 1)</f>
        <v>7</v>
      </c>
      <c r="F1346" s="1">
        <f t="shared" si="20"/>
        <v>0.63636363636363635</v>
      </c>
      <c r="G1346" s="2">
        <f>AVERAGEIFS([3]!players[gold_per_min], [3]!players[name],A1346,[3]!players[hero_name],B1346)</f>
        <v>633</v>
      </c>
      <c r="H1346" s="2">
        <f>AVERAGEIFS([3]!players[xp_per_min], [3]!players[name],A1346,[3]!players[hero_name],B1346)</f>
        <v>739.72727272727275</v>
      </c>
    </row>
    <row r="1347" spans="1:8" x14ac:dyDescent="0.3">
      <c r="A1347" t="str">
        <v>No!obâ„¢</v>
      </c>
      <c r="B1347" t="str">
        <v>Pangolier</v>
      </c>
      <c r="C1347" t="str" cm="1">
        <f t="array" ref="C1347">_xlfn.XLOOKUP(1,([3]!players[name]=A1347)*([3]!players[hero_name]=B1347),[3]!players[lane_name])</f>
        <v>Mid</v>
      </c>
      <c r="D1347">
        <f>COUNTIFS([3]!players[name],A1347,[3]!players[hero_name],B1347)</f>
        <v>5</v>
      </c>
      <c r="E1347">
        <f>COUNTIFS([3]!players[name],A1347,[3]!players[hero_name],B1347, [3]!players[win], 1)</f>
        <v>4</v>
      </c>
      <c r="F1347" s="1">
        <f t="shared" ref="F1347:F1410" si="21">E1347/D1347</f>
        <v>0.8</v>
      </c>
      <c r="G1347" s="2">
        <f>AVERAGEIFS([3]!players[gold_per_min], [3]!players[name],A1347,[3]!players[hero_name],B1347)</f>
        <v>616.4</v>
      </c>
      <c r="H1347" s="2">
        <f>AVERAGEIFS([3]!players[xp_per_min], [3]!players[name],A1347,[3]!players[hero_name],B1347)</f>
        <v>838.4</v>
      </c>
    </row>
    <row r="1348" spans="1:8" x14ac:dyDescent="0.3">
      <c r="A1348" t="str">
        <v>No!obâ„¢</v>
      </c>
      <c r="B1348" t="str">
        <v>Dragon Knight</v>
      </c>
      <c r="C1348" t="str" cm="1">
        <f t="array" ref="C1348">_xlfn.XLOOKUP(1,([3]!players[name]=A1348)*([3]!players[hero_name]=B1348),[3]!players[lane_name])</f>
        <v>Mid</v>
      </c>
      <c r="D1348">
        <f>COUNTIFS([3]!players[name],A1348,[3]!players[hero_name],B1348)</f>
        <v>1</v>
      </c>
      <c r="E1348">
        <f>COUNTIFS([3]!players[name],A1348,[3]!players[hero_name],B1348, [3]!players[win], 1)</f>
        <v>0</v>
      </c>
      <c r="F1348" s="1">
        <f t="shared" si="21"/>
        <v>0</v>
      </c>
      <c r="G1348" s="2">
        <f>AVERAGEIFS([3]!players[gold_per_min], [3]!players[name],A1348,[3]!players[hero_name],B1348)</f>
        <v>690</v>
      </c>
      <c r="H1348" s="2">
        <f>AVERAGEIFS([3]!players[xp_per_min], [3]!players[name],A1348,[3]!players[hero_name],B1348)</f>
        <v>979</v>
      </c>
    </row>
    <row r="1349" spans="1:8" x14ac:dyDescent="0.3">
      <c r="A1349" t="str">
        <v>No!obâ„¢</v>
      </c>
      <c r="B1349" t="str">
        <v>Lycan</v>
      </c>
      <c r="C1349" t="str" cm="1">
        <f t="array" ref="C1349">_xlfn.XLOOKUP(1,([3]!players[name]=A1349)*([3]!players[hero_name]=B1349),[3]!players[lane_name])</f>
        <v>Mid</v>
      </c>
      <c r="D1349">
        <f>COUNTIFS([3]!players[name],A1349,[3]!players[hero_name],B1349)</f>
        <v>2</v>
      </c>
      <c r="E1349">
        <f>COUNTIFS([3]!players[name],A1349,[3]!players[hero_name],B1349, [3]!players[win], 1)</f>
        <v>2</v>
      </c>
      <c r="F1349" s="1">
        <f t="shared" si="21"/>
        <v>1</v>
      </c>
      <c r="G1349" s="2">
        <f>AVERAGEIFS([3]!players[gold_per_min], [3]!players[name],A1349,[3]!players[hero_name],B1349)</f>
        <v>686</v>
      </c>
      <c r="H1349" s="2">
        <f>AVERAGEIFS([3]!players[xp_per_min], [3]!players[name],A1349,[3]!players[hero_name],B1349)</f>
        <v>711</v>
      </c>
    </row>
    <row r="1350" spans="1:8" x14ac:dyDescent="0.3">
      <c r="A1350" t="str">
        <v>No!obâ„¢</v>
      </c>
      <c r="B1350" t="str">
        <v>Doom</v>
      </c>
      <c r="C1350" t="str" cm="1">
        <f t="array" ref="C1350">_xlfn.XLOOKUP(1,([3]!players[name]=A1350)*([3]!players[hero_name]=B1350),[3]!players[lane_name])</f>
        <v>Mid</v>
      </c>
      <c r="D1350">
        <f>COUNTIFS([3]!players[name],A1350,[3]!players[hero_name],B1350)</f>
        <v>1</v>
      </c>
      <c r="E1350">
        <f>COUNTIFS([3]!players[name],A1350,[3]!players[hero_name],B1350, [3]!players[win], 1)</f>
        <v>0</v>
      </c>
      <c r="F1350" s="1">
        <f t="shared" si="21"/>
        <v>0</v>
      </c>
      <c r="G1350" s="2">
        <f>AVERAGEIFS([3]!players[gold_per_min], [3]!players[name],A1350,[3]!players[hero_name],B1350)</f>
        <v>355</v>
      </c>
      <c r="H1350" s="2">
        <f>AVERAGEIFS([3]!players[xp_per_min], [3]!players[name],A1350,[3]!players[hero_name],B1350)</f>
        <v>334</v>
      </c>
    </row>
    <row r="1351" spans="1:8" x14ac:dyDescent="0.3">
      <c r="A1351" t="str">
        <v>No!obâ„¢</v>
      </c>
      <c r="B1351" t="str">
        <v>Nature's Prophet</v>
      </c>
      <c r="C1351" t="str" cm="1">
        <f t="array" ref="C1351">_xlfn.XLOOKUP(1,([3]!players[name]=A1351)*([3]!players[hero_name]=B1351),[3]!players[lane_name])</f>
        <v>Mid</v>
      </c>
      <c r="D1351">
        <f>COUNTIFS([3]!players[name],A1351,[3]!players[hero_name],B1351)</f>
        <v>1</v>
      </c>
      <c r="E1351">
        <f>COUNTIFS([3]!players[name],A1351,[3]!players[hero_name],B1351, [3]!players[win], 1)</f>
        <v>0</v>
      </c>
      <c r="F1351" s="1">
        <f t="shared" si="21"/>
        <v>0</v>
      </c>
      <c r="G1351" s="2">
        <f>AVERAGEIFS([3]!players[gold_per_min], [3]!players[name],A1351,[3]!players[hero_name],B1351)</f>
        <v>707</v>
      </c>
      <c r="H1351" s="2">
        <f>AVERAGEIFS([3]!players[xp_per_min], [3]!players[name],A1351,[3]!players[hero_name],B1351)</f>
        <v>794</v>
      </c>
    </row>
    <row r="1352" spans="1:8" x14ac:dyDescent="0.3">
      <c r="A1352" t="str">
        <v>No!obâ„¢</v>
      </c>
      <c r="B1352" t="str">
        <v>Death Prophet</v>
      </c>
      <c r="C1352" t="str" cm="1">
        <f t="array" ref="C1352">_xlfn.XLOOKUP(1,([3]!players[name]=A1352)*([3]!players[hero_name]=B1352),[3]!players[lane_name])</f>
        <v>Mid</v>
      </c>
      <c r="D1352">
        <f>COUNTIFS([3]!players[name],A1352,[3]!players[hero_name],B1352)</f>
        <v>1</v>
      </c>
      <c r="E1352">
        <f>COUNTIFS([3]!players[name],A1352,[3]!players[hero_name],B1352, [3]!players[win], 1)</f>
        <v>1</v>
      </c>
      <c r="F1352" s="1">
        <f t="shared" si="21"/>
        <v>1</v>
      </c>
      <c r="G1352" s="2">
        <f>AVERAGEIFS([3]!players[gold_per_min], [3]!players[name],A1352,[3]!players[hero_name],B1352)</f>
        <v>591</v>
      </c>
      <c r="H1352" s="2">
        <f>AVERAGEIFS([3]!players[xp_per_min], [3]!players[name],A1352,[3]!players[hero_name],B1352)</f>
        <v>732</v>
      </c>
    </row>
    <row r="1353" spans="1:8" x14ac:dyDescent="0.3">
      <c r="A1353" t="str">
        <v>No!obâ„¢</v>
      </c>
      <c r="B1353" t="str">
        <v>Bristleback</v>
      </c>
      <c r="C1353" t="str" cm="1">
        <f t="array" ref="C1353">_xlfn.XLOOKUP(1,([3]!players[name]=A1353)*([3]!players[hero_name]=B1353),[3]!players[lane_name])</f>
        <v>Mid</v>
      </c>
      <c r="D1353">
        <f>COUNTIFS([3]!players[name],A1353,[3]!players[hero_name],B1353)</f>
        <v>2</v>
      </c>
      <c r="E1353">
        <f>COUNTIFS([3]!players[name],A1353,[3]!players[hero_name],B1353, [3]!players[win], 1)</f>
        <v>2</v>
      </c>
      <c r="F1353" s="1">
        <f t="shared" si="21"/>
        <v>1</v>
      </c>
      <c r="G1353" s="2">
        <f>AVERAGEIFS([3]!players[gold_per_min], [3]!players[name],A1353,[3]!players[hero_name],B1353)</f>
        <v>600.5</v>
      </c>
      <c r="H1353" s="2">
        <f>AVERAGEIFS([3]!players[xp_per_min], [3]!players[name],A1353,[3]!players[hero_name],B1353)</f>
        <v>766</v>
      </c>
    </row>
    <row r="1354" spans="1:8" x14ac:dyDescent="0.3">
      <c r="A1354" t="str">
        <v>No!obâ„¢</v>
      </c>
      <c r="B1354" t="str">
        <v>Primal Beast</v>
      </c>
      <c r="C1354" t="str" cm="1">
        <f t="array" ref="C1354">_xlfn.XLOOKUP(1,([3]!players[name]=A1354)*([3]!players[hero_name]=B1354),[3]!players[lane_name])</f>
        <v>Mid</v>
      </c>
      <c r="D1354">
        <f>COUNTIFS([3]!players[name],A1354,[3]!players[hero_name],B1354)</f>
        <v>1</v>
      </c>
      <c r="E1354">
        <f>COUNTIFS([3]!players[name],A1354,[3]!players[hero_name],B1354, [3]!players[win], 1)</f>
        <v>1</v>
      </c>
      <c r="F1354" s="1">
        <f t="shared" si="21"/>
        <v>1</v>
      </c>
      <c r="G1354" s="2">
        <f>AVERAGEIFS([3]!players[gold_per_min], [3]!players[name],A1354,[3]!players[hero_name],B1354)</f>
        <v>504</v>
      </c>
      <c r="H1354" s="2">
        <f>AVERAGEIFS([3]!players[xp_per_min], [3]!players[name],A1354,[3]!players[hero_name],B1354)</f>
        <v>668</v>
      </c>
    </row>
    <row r="1355" spans="1:8" x14ac:dyDescent="0.3">
      <c r="A1355" t="str">
        <v>No!obâ„¢</v>
      </c>
      <c r="B1355" t="str">
        <v>Batrider</v>
      </c>
      <c r="C1355" t="str" cm="1">
        <f t="array" ref="C1355">_xlfn.XLOOKUP(1,([3]!players[name]=A1355)*([3]!players[hero_name]=B1355),[3]!players[lane_name])</f>
        <v>Mid</v>
      </c>
      <c r="D1355">
        <f>COUNTIFS([3]!players[name],A1355,[3]!players[hero_name],B1355)</f>
        <v>1</v>
      </c>
      <c r="E1355">
        <f>COUNTIFS([3]!players[name],A1355,[3]!players[hero_name],B1355, [3]!players[win], 1)</f>
        <v>1</v>
      </c>
      <c r="F1355" s="1">
        <f t="shared" si="21"/>
        <v>1</v>
      </c>
      <c r="G1355" s="2">
        <f>AVERAGEIFS([3]!players[gold_per_min], [3]!players[name],A1355,[3]!players[hero_name],B1355)</f>
        <v>579</v>
      </c>
      <c r="H1355" s="2">
        <f>AVERAGEIFS([3]!players[xp_per_min], [3]!players[name],A1355,[3]!players[hero_name],B1355)</f>
        <v>771</v>
      </c>
    </row>
    <row r="1356" spans="1:8" x14ac:dyDescent="0.3">
      <c r="A1356" t="str">
        <v>No!obâ„¢</v>
      </c>
      <c r="B1356" t="str">
        <v>Keeper of the Light</v>
      </c>
      <c r="C1356" t="str" cm="1">
        <f t="array" ref="C1356">_xlfn.XLOOKUP(1,([3]!players[name]=A1356)*([3]!players[hero_name]=B1356),[3]!players[lane_name])</f>
        <v>Mid</v>
      </c>
      <c r="D1356">
        <f>COUNTIFS([3]!players[name],A1356,[3]!players[hero_name],B1356)</f>
        <v>1</v>
      </c>
      <c r="E1356">
        <f>COUNTIFS([3]!players[name],A1356,[3]!players[hero_name],B1356, [3]!players[win], 1)</f>
        <v>1</v>
      </c>
      <c r="F1356" s="1">
        <f t="shared" si="21"/>
        <v>1</v>
      </c>
      <c r="G1356" s="2">
        <f>AVERAGEIFS([3]!players[gold_per_min], [3]!players[name],A1356,[3]!players[hero_name],B1356)</f>
        <v>683</v>
      </c>
      <c r="H1356" s="2">
        <f>AVERAGEIFS([3]!players[xp_per_min], [3]!players[name],A1356,[3]!players[hero_name],B1356)</f>
        <v>871</v>
      </c>
    </row>
    <row r="1357" spans="1:8" x14ac:dyDescent="0.3">
      <c r="A1357" t="str">
        <v>No[o]ne-</v>
      </c>
      <c r="B1357" t="str">
        <v>Monkey King</v>
      </c>
      <c r="C1357" t="str" cm="1">
        <f t="array" ref="C1357">_xlfn.XLOOKUP(1,([3]!players[name]=A1357)*([3]!players[hero_name]=B1357),[3]!players[lane_name])</f>
        <v>Mid</v>
      </c>
      <c r="D1357">
        <f>COUNTIFS([3]!players[name],A1357,[3]!players[hero_name],B1357)</f>
        <v>1</v>
      </c>
      <c r="E1357">
        <f>COUNTIFS([3]!players[name],A1357,[3]!players[hero_name],B1357, [3]!players[win], 1)</f>
        <v>1</v>
      </c>
      <c r="F1357" s="1">
        <f t="shared" si="21"/>
        <v>1</v>
      </c>
      <c r="G1357" s="2">
        <f>AVERAGEIFS([3]!players[gold_per_min], [3]!players[name],A1357,[3]!players[hero_name],B1357)</f>
        <v>599</v>
      </c>
      <c r="H1357" s="2">
        <f>AVERAGEIFS([3]!players[xp_per_min], [3]!players[name],A1357,[3]!players[hero_name],B1357)</f>
        <v>704</v>
      </c>
    </row>
    <row r="1358" spans="1:8" x14ac:dyDescent="0.3">
      <c r="A1358" t="str">
        <v>No[o]ne-</v>
      </c>
      <c r="B1358" t="str">
        <v>Tidehunter</v>
      </c>
      <c r="C1358" t="str" cm="1">
        <f t="array" ref="C1358">_xlfn.XLOOKUP(1,([3]!players[name]=A1358)*([3]!players[hero_name]=B1358),[3]!players[lane_name])</f>
        <v>Mid</v>
      </c>
      <c r="D1358">
        <f>COUNTIFS([3]!players[name],A1358,[3]!players[hero_name],B1358)</f>
        <v>2</v>
      </c>
      <c r="E1358">
        <f>COUNTIFS([3]!players[name],A1358,[3]!players[hero_name],B1358, [3]!players[win], 1)</f>
        <v>1</v>
      </c>
      <c r="F1358" s="1">
        <f t="shared" si="21"/>
        <v>0.5</v>
      </c>
      <c r="G1358" s="2">
        <f>AVERAGEIFS([3]!players[gold_per_min], [3]!players[name],A1358,[3]!players[hero_name],B1358)</f>
        <v>634.5</v>
      </c>
      <c r="H1358" s="2">
        <f>AVERAGEIFS([3]!players[xp_per_min], [3]!players[name],A1358,[3]!players[hero_name],B1358)</f>
        <v>811</v>
      </c>
    </row>
    <row r="1359" spans="1:8" x14ac:dyDescent="0.3">
      <c r="A1359" t="str">
        <v>No[o]ne-</v>
      </c>
      <c r="B1359" t="str">
        <v>Razor</v>
      </c>
      <c r="C1359" t="str" cm="1">
        <f t="array" ref="C1359">_xlfn.XLOOKUP(1,([3]!players[name]=A1359)*([3]!players[hero_name]=B1359),[3]!players[lane_name])</f>
        <v>Mid</v>
      </c>
      <c r="D1359">
        <f>COUNTIFS([3]!players[name],A1359,[3]!players[hero_name],B1359)</f>
        <v>1</v>
      </c>
      <c r="E1359">
        <f>COUNTIFS([3]!players[name],A1359,[3]!players[hero_name],B1359, [3]!players[win], 1)</f>
        <v>1</v>
      </c>
      <c r="F1359" s="1">
        <f t="shared" si="21"/>
        <v>1</v>
      </c>
      <c r="G1359" s="2">
        <f>AVERAGEIFS([3]!players[gold_per_min], [3]!players[name],A1359,[3]!players[hero_name],B1359)</f>
        <v>577</v>
      </c>
      <c r="H1359" s="2">
        <f>AVERAGEIFS([3]!players[xp_per_min], [3]!players[name],A1359,[3]!players[hero_name],B1359)</f>
        <v>639</v>
      </c>
    </row>
    <row r="1360" spans="1:8" x14ac:dyDescent="0.3">
      <c r="A1360" t="str">
        <v>No[o]ne-</v>
      </c>
      <c r="B1360" t="str">
        <v>Weaver</v>
      </c>
      <c r="C1360" t="str" cm="1">
        <f t="array" ref="C1360">_xlfn.XLOOKUP(1,([3]!players[name]=A1360)*([3]!players[hero_name]=B1360),[3]!players[lane_name])</f>
        <v>Mid</v>
      </c>
      <c r="D1360">
        <f>COUNTIFS([3]!players[name],A1360,[3]!players[hero_name],B1360)</f>
        <v>1</v>
      </c>
      <c r="E1360">
        <f>COUNTIFS([3]!players[name],A1360,[3]!players[hero_name],B1360, [3]!players[win], 1)</f>
        <v>1</v>
      </c>
      <c r="F1360" s="1">
        <f t="shared" si="21"/>
        <v>1</v>
      </c>
      <c r="G1360" s="2">
        <f>AVERAGEIFS([3]!players[gold_per_min], [3]!players[name],A1360,[3]!players[hero_name],B1360)</f>
        <v>637</v>
      </c>
      <c r="H1360" s="2">
        <f>AVERAGEIFS([3]!players[xp_per_min], [3]!players[name],A1360,[3]!players[hero_name],B1360)</f>
        <v>800</v>
      </c>
    </row>
    <row r="1361" spans="1:8" x14ac:dyDescent="0.3">
      <c r="A1361" t="str">
        <v>No[o]ne-</v>
      </c>
      <c r="B1361" t="str">
        <v>Puck</v>
      </c>
      <c r="C1361" t="str" cm="1">
        <f t="array" ref="C1361">_xlfn.XLOOKUP(1,([3]!players[name]=A1361)*([3]!players[hero_name]=B1361),[3]!players[lane_name])</f>
        <v>Mid</v>
      </c>
      <c r="D1361">
        <f>COUNTIFS([3]!players[name],A1361,[3]!players[hero_name],B1361)</f>
        <v>6</v>
      </c>
      <c r="E1361">
        <f>COUNTIFS([3]!players[name],A1361,[3]!players[hero_name],B1361, [3]!players[win], 1)</f>
        <v>6</v>
      </c>
      <c r="F1361" s="1">
        <f t="shared" si="21"/>
        <v>1</v>
      </c>
      <c r="G1361" s="2">
        <f>AVERAGEIFS([3]!players[gold_per_min], [3]!players[name],A1361,[3]!players[hero_name],B1361)</f>
        <v>656.5</v>
      </c>
      <c r="H1361" s="2">
        <f>AVERAGEIFS([3]!players[xp_per_min], [3]!players[name],A1361,[3]!players[hero_name],B1361)</f>
        <v>787</v>
      </c>
    </row>
    <row r="1362" spans="1:8" x14ac:dyDescent="0.3">
      <c r="A1362" t="str">
        <v>No[o]ne-</v>
      </c>
      <c r="B1362" t="str">
        <v>Void Spirit</v>
      </c>
      <c r="C1362" t="str" cm="1">
        <f t="array" ref="C1362">_xlfn.XLOOKUP(1,([3]!players[name]=A1362)*([3]!players[hero_name]=B1362),[3]!players[lane_name])</f>
        <v>Mid</v>
      </c>
      <c r="D1362">
        <f>COUNTIFS([3]!players[name],A1362,[3]!players[hero_name],B1362)</f>
        <v>4</v>
      </c>
      <c r="E1362">
        <f>COUNTIFS([3]!players[name],A1362,[3]!players[hero_name],B1362, [3]!players[win], 1)</f>
        <v>3</v>
      </c>
      <c r="F1362" s="1">
        <f t="shared" si="21"/>
        <v>0.75</v>
      </c>
      <c r="G1362" s="2">
        <f>AVERAGEIFS([3]!players[gold_per_min], [3]!players[name],A1362,[3]!players[hero_name],B1362)</f>
        <v>581.5</v>
      </c>
      <c r="H1362" s="2">
        <f>AVERAGEIFS([3]!players[xp_per_min], [3]!players[name],A1362,[3]!players[hero_name],B1362)</f>
        <v>760.5</v>
      </c>
    </row>
    <row r="1363" spans="1:8" x14ac:dyDescent="0.3">
      <c r="A1363" t="str">
        <v>No[o]ne-</v>
      </c>
      <c r="B1363" t="str">
        <v>Pangolier</v>
      </c>
      <c r="C1363" t="str" cm="1">
        <f t="array" ref="C1363">_xlfn.XLOOKUP(1,([3]!players[name]=A1363)*([3]!players[hero_name]=B1363),[3]!players[lane_name])</f>
        <v>Mid</v>
      </c>
      <c r="D1363">
        <f>COUNTIFS([3]!players[name],A1363,[3]!players[hero_name],B1363)</f>
        <v>2</v>
      </c>
      <c r="E1363">
        <f>COUNTIFS([3]!players[name],A1363,[3]!players[hero_name],B1363, [3]!players[win], 1)</f>
        <v>2</v>
      </c>
      <c r="F1363" s="1">
        <f t="shared" si="21"/>
        <v>1</v>
      </c>
      <c r="G1363" s="2">
        <f>AVERAGEIFS([3]!players[gold_per_min], [3]!players[name],A1363,[3]!players[hero_name],B1363)</f>
        <v>589</v>
      </c>
      <c r="H1363" s="2">
        <f>AVERAGEIFS([3]!players[xp_per_min], [3]!players[name],A1363,[3]!players[hero_name],B1363)</f>
        <v>742</v>
      </c>
    </row>
    <row r="1364" spans="1:8" x14ac:dyDescent="0.3">
      <c r="A1364" t="str">
        <v>No[o]ne-</v>
      </c>
      <c r="B1364" t="str">
        <v>Death Prophet</v>
      </c>
      <c r="C1364" t="str" cm="1">
        <f t="array" ref="C1364">_xlfn.XLOOKUP(1,([3]!players[name]=A1364)*([3]!players[hero_name]=B1364),[3]!players[lane_name])</f>
        <v>Mid</v>
      </c>
      <c r="D1364">
        <f>COUNTIFS([3]!players[name],A1364,[3]!players[hero_name],B1364)</f>
        <v>1</v>
      </c>
      <c r="E1364">
        <f>COUNTIFS([3]!players[name],A1364,[3]!players[hero_name],B1364, [3]!players[win], 1)</f>
        <v>1</v>
      </c>
      <c r="F1364" s="1">
        <f t="shared" si="21"/>
        <v>1</v>
      </c>
      <c r="G1364" s="2">
        <f>AVERAGEIFS([3]!players[gold_per_min], [3]!players[name],A1364,[3]!players[hero_name],B1364)</f>
        <v>621</v>
      </c>
      <c r="H1364" s="2">
        <f>AVERAGEIFS([3]!players[xp_per_min], [3]!players[name],A1364,[3]!players[hero_name],B1364)</f>
        <v>742</v>
      </c>
    </row>
    <row r="1365" spans="1:8" x14ac:dyDescent="0.3">
      <c r="A1365" t="str">
        <v>No[o]ne-</v>
      </c>
      <c r="B1365" t="str">
        <v>Ember Spirit</v>
      </c>
      <c r="C1365" t="str" cm="1">
        <f t="array" ref="C1365">_xlfn.XLOOKUP(1,([3]!players[name]=A1365)*([3]!players[hero_name]=B1365),[3]!players[lane_name])</f>
        <v>Mid</v>
      </c>
      <c r="D1365">
        <f>COUNTIFS([3]!players[name],A1365,[3]!players[hero_name],B1365)</f>
        <v>3</v>
      </c>
      <c r="E1365">
        <f>COUNTIFS([3]!players[name],A1365,[3]!players[hero_name],B1365, [3]!players[win], 1)</f>
        <v>2</v>
      </c>
      <c r="F1365" s="1">
        <f t="shared" si="21"/>
        <v>0.66666666666666663</v>
      </c>
      <c r="G1365" s="2">
        <f>AVERAGEIFS([3]!players[gold_per_min], [3]!players[name],A1365,[3]!players[hero_name],B1365)</f>
        <v>545</v>
      </c>
      <c r="H1365" s="2">
        <f>AVERAGEIFS([3]!players[xp_per_min], [3]!players[name],A1365,[3]!players[hero_name],B1365)</f>
        <v>774</v>
      </c>
    </row>
    <row r="1366" spans="1:8" x14ac:dyDescent="0.3">
      <c r="A1366" t="str">
        <v>No[o]ne-</v>
      </c>
      <c r="B1366" t="str">
        <v>Queen of Pain</v>
      </c>
      <c r="C1366" t="str" cm="1">
        <f t="array" ref="C1366">_xlfn.XLOOKUP(1,([3]!players[name]=A1366)*([3]!players[hero_name]=B1366),[3]!players[lane_name])</f>
        <v>Mid</v>
      </c>
      <c r="D1366">
        <f>COUNTIFS([3]!players[name],A1366,[3]!players[hero_name],B1366)</f>
        <v>3</v>
      </c>
      <c r="E1366">
        <f>COUNTIFS([3]!players[name],A1366,[3]!players[hero_name],B1366, [3]!players[win], 1)</f>
        <v>1</v>
      </c>
      <c r="F1366" s="1">
        <f t="shared" si="21"/>
        <v>0.33333333333333331</v>
      </c>
      <c r="G1366" s="2">
        <f>AVERAGEIFS([3]!players[gold_per_min], [3]!players[name],A1366,[3]!players[hero_name],B1366)</f>
        <v>565</v>
      </c>
      <c r="H1366" s="2">
        <f>AVERAGEIFS([3]!players[xp_per_min], [3]!players[name],A1366,[3]!players[hero_name],B1366)</f>
        <v>660</v>
      </c>
    </row>
    <row r="1367" spans="1:8" x14ac:dyDescent="0.3">
      <c r="A1367" t="str">
        <v>No[o]ne-</v>
      </c>
      <c r="B1367" t="str">
        <v>Leshrac</v>
      </c>
      <c r="C1367" t="str" cm="1">
        <f t="array" ref="C1367">_xlfn.XLOOKUP(1,([3]!players[name]=A1367)*([3]!players[hero_name]=B1367),[3]!players[lane_name])</f>
        <v>Mid</v>
      </c>
      <c r="D1367">
        <f>COUNTIFS([3]!players[name],A1367,[3]!players[hero_name],B1367)</f>
        <v>1</v>
      </c>
      <c r="E1367">
        <f>COUNTIFS([3]!players[name],A1367,[3]!players[hero_name],B1367, [3]!players[win], 1)</f>
        <v>1</v>
      </c>
      <c r="F1367" s="1">
        <f t="shared" si="21"/>
        <v>1</v>
      </c>
      <c r="G1367" s="2">
        <f>AVERAGEIFS([3]!players[gold_per_min], [3]!players[name],A1367,[3]!players[hero_name],B1367)</f>
        <v>673</v>
      </c>
      <c r="H1367" s="2">
        <f>AVERAGEIFS([3]!players[xp_per_min], [3]!players[name],A1367,[3]!players[hero_name],B1367)</f>
        <v>698</v>
      </c>
    </row>
    <row r="1368" spans="1:8" x14ac:dyDescent="0.3">
      <c r="A1368" t="str">
        <v>No[o]ne-</v>
      </c>
      <c r="B1368" t="str">
        <v>Invoker</v>
      </c>
      <c r="C1368" t="str" cm="1">
        <f t="array" ref="C1368">_xlfn.XLOOKUP(1,([3]!players[name]=A1368)*([3]!players[hero_name]=B1368),[3]!players[lane_name])</f>
        <v>Mid</v>
      </c>
      <c r="D1368">
        <f>COUNTIFS([3]!players[name],A1368,[3]!players[hero_name],B1368)</f>
        <v>4</v>
      </c>
      <c r="E1368">
        <f>COUNTIFS([3]!players[name],A1368,[3]!players[hero_name],B1368, [3]!players[win], 1)</f>
        <v>3</v>
      </c>
      <c r="F1368" s="1">
        <f t="shared" si="21"/>
        <v>0.75</v>
      </c>
      <c r="G1368" s="2">
        <f>AVERAGEIFS([3]!players[gold_per_min], [3]!players[name],A1368,[3]!players[hero_name],B1368)</f>
        <v>647.25</v>
      </c>
      <c r="H1368" s="2">
        <f>AVERAGEIFS([3]!players[xp_per_min], [3]!players[name],A1368,[3]!players[hero_name],B1368)</f>
        <v>819.25</v>
      </c>
    </row>
    <row r="1369" spans="1:8" x14ac:dyDescent="0.3">
      <c r="A1369" t="str">
        <v>No[o]ne-</v>
      </c>
      <c r="B1369" t="str">
        <v>Sand King</v>
      </c>
      <c r="C1369" t="str" cm="1">
        <f t="array" ref="C1369">_xlfn.XLOOKUP(1,([3]!players[name]=A1369)*([3]!players[hero_name]=B1369),[3]!players[lane_name])</f>
        <v>Mid</v>
      </c>
      <c r="D1369">
        <f>COUNTIFS([3]!players[name],A1369,[3]!players[hero_name],B1369)</f>
        <v>1</v>
      </c>
      <c r="E1369">
        <f>COUNTIFS([3]!players[name],A1369,[3]!players[hero_name],B1369, [3]!players[win], 1)</f>
        <v>0</v>
      </c>
      <c r="F1369" s="1">
        <f t="shared" si="21"/>
        <v>0</v>
      </c>
      <c r="G1369" s="2">
        <f>AVERAGEIFS([3]!players[gold_per_min], [3]!players[name],A1369,[3]!players[hero_name],B1369)</f>
        <v>478</v>
      </c>
      <c r="H1369" s="2">
        <f>AVERAGEIFS([3]!players[xp_per_min], [3]!players[name],A1369,[3]!players[hero_name],B1369)</f>
        <v>687</v>
      </c>
    </row>
    <row r="1370" spans="1:8" x14ac:dyDescent="0.3">
      <c r="A1370" t="str">
        <v>No[o]ne-</v>
      </c>
      <c r="B1370" t="str">
        <v>Tiny</v>
      </c>
      <c r="C1370" t="str" cm="1">
        <f t="array" ref="C1370">_xlfn.XLOOKUP(1,([3]!players[name]=A1370)*([3]!players[hero_name]=B1370),[3]!players[lane_name])</f>
        <v>Mid</v>
      </c>
      <c r="D1370">
        <f>COUNTIFS([3]!players[name],A1370,[3]!players[hero_name],B1370)</f>
        <v>1</v>
      </c>
      <c r="E1370">
        <f>COUNTIFS([3]!players[name],A1370,[3]!players[hero_name],B1370, [3]!players[win], 1)</f>
        <v>0</v>
      </c>
      <c r="F1370" s="1">
        <f t="shared" si="21"/>
        <v>0</v>
      </c>
      <c r="G1370" s="2">
        <f>AVERAGEIFS([3]!players[gold_per_min], [3]!players[name],A1370,[3]!players[hero_name],B1370)</f>
        <v>580</v>
      </c>
      <c r="H1370" s="2">
        <f>AVERAGEIFS([3]!players[xp_per_min], [3]!players[name],A1370,[3]!players[hero_name],B1370)</f>
        <v>650</v>
      </c>
    </row>
    <row r="1371" spans="1:8" x14ac:dyDescent="0.3">
      <c r="A1371" t="str">
        <v>not me</v>
      </c>
      <c r="B1371" t="str">
        <v>Hoodwink</v>
      </c>
      <c r="C1371" t="str" cm="1">
        <f t="array" ref="C1371">_xlfn.XLOOKUP(1,([3]!players[name]=A1371)*([3]!players[hero_name]=B1371),[3]!players[lane_name])</f>
        <v>Soft Support</v>
      </c>
      <c r="D1371">
        <f>COUNTIFS([3]!players[name],A1371,[3]!players[hero_name],B1371)</f>
        <v>13</v>
      </c>
      <c r="E1371">
        <f>COUNTIFS([3]!players[name],A1371,[3]!players[hero_name],B1371, [3]!players[win], 1)</f>
        <v>8</v>
      </c>
      <c r="F1371" s="1">
        <f t="shared" si="21"/>
        <v>0.61538461538461542</v>
      </c>
      <c r="G1371" s="2">
        <f>AVERAGEIFS([3]!players[gold_per_min], [3]!players[name],A1371,[3]!players[hero_name],B1371)</f>
        <v>362.38461538461536</v>
      </c>
      <c r="H1371" s="2">
        <f>AVERAGEIFS([3]!players[xp_per_min], [3]!players[name],A1371,[3]!players[hero_name],B1371)</f>
        <v>507</v>
      </c>
    </row>
    <row r="1372" spans="1:8" x14ac:dyDescent="0.3">
      <c r="A1372" t="str">
        <v>not me</v>
      </c>
      <c r="B1372" t="str">
        <v>Tusk</v>
      </c>
      <c r="C1372" t="str" cm="1">
        <f t="array" ref="C1372">_xlfn.XLOOKUP(1,([3]!players[name]=A1372)*([3]!players[hero_name]=B1372),[3]!players[lane_name])</f>
        <v>Hard Support</v>
      </c>
      <c r="D1372">
        <f>COUNTIFS([3]!players[name],A1372,[3]!players[hero_name],B1372)</f>
        <v>4</v>
      </c>
      <c r="E1372">
        <f>COUNTIFS([3]!players[name],A1372,[3]!players[hero_name],B1372, [3]!players[win], 1)</f>
        <v>3</v>
      </c>
      <c r="F1372" s="1">
        <f t="shared" si="21"/>
        <v>0.75</v>
      </c>
      <c r="G1372" s="2">
        <f>AVERAGEIFS([3]!players[gold_per_min], [3]!players[name],A1372,[3]!players[hero_name],B1372)</f>
        <v>322.5</v>
      </c>
      <c r="H1372" s="2">
        <f>AVERAGEIFS([3]!players[xp_per_min], [3]!players[name],A1372,[3]!players[hero_name],B1372)</f>
        <v>537.75</v>
      </c>
    </row>
    <row r="1373" spans="1:8" x14ac:dyDescent="0.3">
      <c r="A1373" t="str">
        <v>not me</v>
      </c>
      <c r="B1373" t="str">
        <v>Shadow Shaman</v>
      </c>
      <c r="C1373" t="str" cm="1">
        <f t="array" ref="C1373">_xlfn.XLOOKUP(1,([3]!players[name]=A1373)*([3]!players[hero_name]=B1373),[3]!players[lane_name])</f>
        <v>Soft Support</v>
      </c>
      <c r="D1373">
        <f>COUNTIFS([3]!players[name],A1373,[3]!players[hero_name],B1373)</f>
        <v>2</v>
      </c>
      <c r="E1373">
        <f>COUNTIFS([3]!players[name],A1373,[3]!players[hero_name],B1373, [3]!players[win], 1)</f>
        <v>1</v>
      </c>
      <c r="F1373" s="1">
        <f t="shared" si="21"/>
        <v>0.5</v>
      </c>
      <c r="G1373" s="2">
        <f>AVERAGEIFS([3]!players[gold_per_min], [3]!players[name],A1373,[3]!players[hero_name],B1373)</f>
        <v>338.5</v>
      </c>
      <c r="H1373" s="2">
        <f>AVERAGEIFS([3]!players[xp_per_min], [3]!players[name],A1373,[3]!players[hero_name],B1373)</f>
        <v>468</v>
      </c>
    </row>
    <row r="1374" spans="1:8" x14ac:dyDescent="0.3">
      <c r="A1374" t="str">
        <v>not me</v>
      </c>
      <c r="B1374" t="str">
        <v>Ringmaster</v>
      </c>
      <c r="C1374" t="str" cm="1">
        <f t="array" ref="C1374">_xlfn.XLOOKUP(1,([3]!players[name]=A1374)*([3]!players[hero_name]=B1374),[3]!players[lane_name])</f>
        <v>Soft Support</v>
      </c>
      <c r="D1374">
        <f>COUNTIFS([3]!players[name],A1374,[3]!players[hero_name],B1374)</f>
        <v>3</v>
      </c>
      <c r="E1374">
        <f>COUNTIFS([3]!players[name],A1374,[3]!players[hero_name],B1374, [3]!players[win], 1)</f>
        <v>2</v>
      </c>
      <c r="F1374" s="1">
        <f t="shared" si="21"/>
        <v>0.66666666666666663</v>
      </c>
      <c r="G1374" s="2">
        <f>AVERAGEIFS([3]!players[gold_per_min], [3]!players[name],A1374,[3]!players[hero_name],B1374)</f>
        <v>359.66666666666669</v>
      </c>
      <c r="H1374" s="2">
        <f>AVERAGEIFS([3]!players[xp_per_min], [3]!players[name],A1374,[3]!players[hero_name],B1374)</f>
        <v>446</v>
      </c>
    </row>
    <row r="1375" spans="1:8" x14ac:dyDescent="0.3">
      <c r="A1375" t="str">
        <v>not me</v>
      </c>
      <c r="B1375" t="str">
        <v>Batrider</v>
      </c>
      <c r="C1375" t="str" cm="1">
        <f t="array" ref="C1375">_xlfn.XLOOKUP(1,([3]!players[name]=A1375)*([3]!players[hero_name]=B1375),[3]!players[lane_name])</f>
        <v>Soft Support</v>
      </c>
      <c r="D1375">
        <f>COUNTIFS([3]!players[name],A1375,[3]!players[hero_name],B1375)</f>
        <v>3</v>
      </c>
      <c r="E1375">
        <f>COUNTIFS([3]!players[name],A1375,[3]!players[hero_name],B1375, [3]!players[win], 1)</f>
        <v>2</v>
      </c>
      <c r="F1375" s="1">
        <f t="shared" si="21"/>
        <v>0.66666666666666663</v>
      </c>
      <c r="G1375" s="2">
        <f>AVERAGEIFS([3]!players[gold_per_min], [3]!players[name],A1375,[3]!players[hero_name],B1375)</f>
        <v>402</v>
      </c>
      <c r="H1375" s="2">
        <f>AVERAGEIFS([3]!players[xp_per_min], [3]!players[name],A1375,[3]!players[hero_name],B1375)</f>
        <v>481.33333333333331</v>
      </c>
    </row>
    <row r="1376" spans="1:8" x14ac:dyDescent="0.3">
      <c r="A1376" t="str">
        <v>not me</v>
      </c>
      <c r="B1376" t="str">
        <v>Monkey King</v>
      </c>
      <c r="C1376" t="str" cm="1">
        <f t="array" ref="C1376">_xlfn.XLOOKUP(1,([3]!players[name]=A1376)*([3]!players[hero_name]=B1376),[3]!players[lane_name])</f>
        <v>Soft Support</v>
      </c>
      <c r="D1376">
        <f>COUNTIFS([3]!players[name],A1376,[3]!players[hero_name],B1376)</f>
        <v>1</v>
      </c>
      <c r="E1376">
        <f>COUNTIFS([3]!players[name],A1376,[3]!players[hero_name],B1376, [3]!players[win], 1)</f>
        <v>1</v>
      </c>
      <c r="F1376" s="1">
        <f t="shared" si="21"/>
        <v>1</v>
      </c>
      <c r="G1376" s="2">
        <f>AVERAGEIFS([3]!players[gold_per_min], [3]!players[name],A1376,[3]!players[hero_name],B1376)</f>
        <v>397</v>
      </c>
      <c r="H1376" s="2">
        <f>AVERAGEIFS([3]!players[xp_per_min], [3]!players[name],A1376,[3]!players[hero_name],B1376)</f>
        <v>618</v>
      </c>
    </row>
    <row r="1377" spans="1:8" x14ac:dyDescent="0.3">
      <c r="A1377" t="str">
        <v>not me</v>
      </c>
      <c r="B1377" t="str">
        <v>Rubick</v>
      </c>
      <c r="C1377" t="str" cm="1">
        <f t="array" ref="C1377">_xlfn.XLOOKUP(1,([3]!players[name]=A1377)*([3]!players[hero_name]=B1377),[3]!players[lane_name])</f>
        <v>Soft Support</v>
      </c>
      <c r="D1377">
        <f>COUNTIFS([3]!players[name],A1377,[3]!players[hero_name],B1377)</f>
        <v>2</v>
      </c>
      <c r="E1377">
        <f>COUNTIFS([3]!players[name],A1377,[3]!players[hero_name],B1377, [3]!players[win], 1)</f>
        <v>2</v>
      </c>
      <c r="F1377" s="1">
        <f t="shared" si="21"/>
        <v>1</v>
      </c>
      <c r="G1377" s="2">
        <f>AVERAGEIFS([3]!players[gold_per_min], [3]!players[name],A1377,[3]!players[hero_name],B1377)</f>
        <v>383.5</v>
      </c>
      <c r="H1377" s="2">
        <f>AVERAGEIFS([3]!players[xp_per_min], [3]!players[name],A1377,[3]!players[hero_name],B1377)</f>
        <v>576</v>
      </c>
    </row>
    <row r="1378" spans="1:8" x14ac:dyDescent="0.3">
      <c r="A1378" t="str">
        <v>not me</v>
      </c>
      <c r="B1378" t="str">
        <v>Techies</v>
      </c>
      <c r="C1378" t="str" cm="1">
        <f t="array" ref="C1378">_xlfn.XLOOKUP(1,([3]!players[name]=A1378)*([3]!players[hero_name]=B1378),[3]!players[lane_name])</f>
        <v>Roam</v>
      </c>
      <c r="D1378">
        <f>COUNTIFS([3]!players[name],A1378,[3]!players[hero_name],B1378)</f>
        <v>1</v>
      </c>
      <c r="E1378">
        <f>COUNTIFS([3]!players[name],A1378,[3]!players[hero_name],B1378, [3]!players[win], 1)</f>
        <v>1</v>
      </c>
      <c r="F1378" s="1">
        <f t="shared" si="21"/>
        <v>1</v>
      </c>
      <c r="G1378" s="2">
        <f>AVERAGEIFS([3]!players[gold_per_min], [3]!players[name],A1378,[3]!players[hero_name],B1378)</f>
        <v>374</v>
      </c>
      <c r="H1378" s="2">
        <f>AVERAGEIFS([3]!players[xp_per_min], [3]!players[name],A1378,[3]!players[hero_name],B1378)</f>
        <v>481</v>
      </c>
    </row>
    <row r="1379" spans="1:8" x14ac:dyDescent="0.3">
      <c r="A1379" t="str">
        <v>NothingToSay</v>
      </c>
      <c r="B1379" t="str">
        <v>Huskar</v>
      </c>
      <c r="C1379" t="str" cm="1">
        <f t="array" ref="C1379">_xlfn.XLOOKUP(1,([3]!players[name]=A1379)*([3]!players[hero_name]=B1379),[3]!players[lane_name])</f>
        <v>Mid</v>
      </c>
      <c r="D1379">
        <f>COUNTIFS([3]!players[name],A1379,[3]!players[hero_name],B1379)</f>
        <v>2</v>
      </c>
      <c r="E1379">
        <f>COUNTIFS([3]!players[name],A1379,[3]!players[hero_name],B1379, [3]!players[win], 1)</f>
        <v>2</v>
      </c>
      <c r="F1379" s="1">
        <f t="shared" si="21"/>
        <v>1</v>
      </c>
      <c r="G1379" s="2">
        <f>AVERAGEIFS([3]!players[gold_per_min], [3]!players[name],A1379,[3]!players[hero_name],B1379)</f>
        <v>558.5</v>
      </c>
      <c r="H1379" s="2">
        <f>AVERAGEIFS([3]!players[xp_per_min], [3]!players[name],A1379,[3]!players[hero_name],B1379)</f>
        <v>654.5</v>
      </c>
    </row>
    <row r="1380" spans="1:8" x14ac:dyDescent="0.3">
      <c r="A1380" t="str">
        <v>NothingToSay</v>
      </c>
      <c r="B1380" t="str">
        <v>Ember Spirit</v>
      </c>
      <c r="C1380" t="str" cm="1">
        <f t="array" ref="C1380">_xlfn.XLOOKUP(1,([3]!players[name]=A1380)*([3]!players[hero_name]=B1380),[3]!players[lane_name])</f>
        <v>Mid</v>
      </c>
      <c r="D1380">
        <f>COUNTIFS([3]!players[name],A1380,[3]!players[hero_name],B1380)</f>
        <v>7</v>
      </c>
      <c r="E1380">
        <f>COUNTIFS([3]!players[name],A1380,[3]!players[hero_name],B1380, [3]!players[win], 1)</f>
        <v>6</v>
      </c>
      <c r="F1380" s="1">
        <f t="shared" si="21"/>
        <v>0.8571428571428571</v>
      </c>
      <c r="G1380" s="2">
        <f>AVERAGEIFS([3]!players[gold_per_min], [3]!players[name],A1380,[3]!players[hero_name],B1380)</f>
        <v>564.85714285714289</v>
      </c>
      <c r="H1380" s="2">
        <f>AVERAGEIFS([3]!players[xp_per_min], [3]!players[name],A1380,[3]!players[hero_name],B1380)</f>
        <v>738.57142857142856</v>
      </c>
    </row>
    <row r="1381" spans="1:8" x14ac:dyDescent="0.3">
      <c r="A1381" t="str">
        <v>NothingToSay</v>
      </c>
      <c r="B1381" t="str">
        <v>Slardar</v>
      </c>
      <c r="C1381" t="str" cm="1">
        <f t="array" ref="C1381">_xlfn.XLOOKUP(1,([3]!players[name]=A1381)*([3]!players[hero_name]=B1381),[3]!players[lane_name])</f>
        <v>Mid</v>
      </c>
      <c r="D1381">
        <f>COUNTIFS([3]!players[name],A1381,[3]!players[hero_name],B1381)</f>
        <v>1</v>
      </c>
      <c r="E1381">
        <f>COUNTIFS([3]!players[name],A1381,[3]!players[hero_name],B1381, [3]!players[win], 1)</f>
        <v>1</v>
      </c>
      <c r="F1381" s="1">
        <f t="shared" si="21"/>
        <v>1</v>
      </c>
      <c r="G1381" s="2">
        <f>AVERAGEIFS([3]!players[gold_per_min], [3]!players[name],A1381,[3]!players[hero_name],B1381)</f>
        <v>531</v>
      </c>
      <c r="H1381" s="2">
        <f>AVERAGEIFS([3]!players[xp_per_min], [3]!players[name],A1381,[3]!players[hero_name],B1381)</f>
        <v>609</v>
      </c>
    </row>
    <row r="1382" spans="1:8" x14ac:dyDescent="0.3">
      <c r="A1382" t="str">
        <v>NothingToSay</v>
      </c>
      <c r="B1382" t="str">
        <v>Sand King</v>
      </c>
      <c r="C1382" t="str" cm="1">
        <f t="array" ref="C1382">_xlfn.XLOOKUP(1,([3]!players[name]=A1382)*([3]!players[hero_name]=B1382),[3]!players[lane_name])</f>
        <v>Mid</v>
      </c>
      <c r="D1382">
        <f>COUNTIFS([3]!players[name],A1382,[3]!players[hero_name],B1382)</f>
        <v>6</v>
      </c>
      <c r="E1382">
        <f>COUNTIFS([3]!players[name],A1382,[3]!players[hero_name],B1382, [3]!players[win], 1)</f>
        <v>3</v>
      </c>
      <c r="F1382" s="1">
        <f t="shared" si="21"/>
        <v>0.5</v>
      </c>
      <c r="G1382" s="2">
        <f>AVERAGEIFS([3]!players[gold_per_min], [3]!players[name],A1382,[3]!players[hero_name],B1382)</f>
        <v>502.33333333333331</v>
      </c>
      <c r="H1382" s="2">
        <f>AVERAGEIFS([3]!players[xp_per_min], [3]!players[name],A1382,[3]!players[hero_name],B1382)</f>
        <v>639.66666666666663</v>
      </c>
    </row>
    <row r="1383" spans="1:8" x14ac:dyDescent="0.3">
      <c r="A1383" t="str">
        <v>NothingToSay</v>
      </c>
      <c r="B1383" t="str">
        <v>Void Spirit</v>
      </c>
      <c r="C1383" t="str" cm="1">
        <f t="array" ref="C1383">_xlfn.XLOOKUP(1,([3]!players[name]=A1383)*([3]!players[hero_name]=B1383),[3]!players[lane_name])</f>
        <v>Mid</v>
      </c>
      <c r="D1383">
        <f>COUNTIFS([3]!players[name],A1383,[3]!players[hero_name],B1383)</f>
        <v>1</v>
      </c>
      <c r="E1383">
        <f>COUNTIFS([3]!players[name],A1383,[3]!players[hero_name],B1383, [3]!players[win], 1)</f>
        <v>0</v>
      </c>
      <c r="F1383" s="1">
        <f t="shared" si="21"/>
        <v>0</v>
      </c>
      <c r="G1383" s="2">
        <f>AVERAGEIFS([3]!players[gold_per_min], [3]!players[name],A1383,[3]!players[hero_name],B1383)</f>
        <v>386</v>
      </c>
      <c r="H1383" s="2">
        <f>AVERAGEIFS([3]!players[xp_per_min], [3]!players[name],A1383,[3]!players[hero_name],B1383)</f>
        <v>400</v>
      </c>
    </row>
    <row r="1384" spans="1:8" x14ac:dyDescent="0.3">
      <c r="A1384" t="str">
        <v>NothingToSay</v>
      </c>
      <c r="B1384" t="str">
        <v>Tinker</v>
      </c>
      <c r="C1384" t="str" cm="1">
        <f t="array" ref="C1384">_xlfn.XLOOKUP(1,([3]!players[name]=A1384)*([3]!players[hero_name]=B1384),[3]!players[lane_name])</f>
        <v>Mid</v>
      </c>
      <c r="D1384">
        <f>COUNTIFS([3]!players[name],A1384,[3]!players[hero_name],B1384)</f>
        <v>1</v>
      </c>
      <c r="E1384">
        <f>COUNTIFS([3]!players[name],A1384,[3]!players[hero_name],B1384, [3]!players[win], 1)</f>
        <v>0</v>
      </c>
      <c r="F1384" s="1">
        <f t="shared" si="21"/>
        <v>0</v>
      </c>
      <c r="G1384" s="2">
        <f>AVERAGEIFS([3]!players[gold_per_min], [3]!players[name],A1384,[3]!players[hero_name],B1384)</f>
        <v>798</v>
      </c>
      <c r="H1384" s="2">
        <f>AVERAGEIFS([3]!players[xp_per_min], [3]!players[name],A1384,[3]!players[hero_name],B1384)</f>
        <v>1138</v>
      </c>
    </row>
    <row r="1385" spans="1:8" x14ac:dyDescent="0.3">
      <c r="A1385" t="str">
        <v>Noticed</v>
      </c>
      <c r="B1385" t="str">
        <v>Bristleback</v>
      </c>
      <c r="C1385" t="str" cm="1">
        <f t="array" ref="C1385">_xlfn.XLOOKUP(1,([3]!players[name]=A1385)*([3]!players[hero_name]=B1385),[3]!players[lane_name])</f>
        <v>Off Lane</v>
      </c>
      <c r="D1385">
        <f>COUNTIFS([3]!players[name],A1385,[3]!players[hero_name],B1385)</f>
        <v>1</v>
      </c>
      <c r="E1385">
        <f>COUNTIFS([3]!players[name],A1385,[3]!players[hero_name],B1385, [3]!players[win], 1)</f>
        <v>0</v>
      </c>
      <c r="F1385" s="1">
        <f t="shared" si="21"/>
        <v>0</v>
      </c>
      <c r="G1385" s="2">
        <f>AVERAGEIFS([3]!players[gold_per_min], [3]!players[name],A1385,[3]!players[hero_name],B1385)</f>
        <v>522</v>
      </c>
      <c r="H1385" s="2">
        <f>AVERAGEIFS([3]!players[xp_per_min], [3]!players[name],A1385,[3]!players[hero_name],B1385)</f>
        <v>566</v>
      </c>
    </row>
    <row r="1386" spans="1:8" x14ac:dyDescent="0.3">
      <c r="A1386" t="str">
        <v>Noticed</v>
      </c>
      <c r="B1386" t="str">
        <v>Slardar</v>
      </c>
      <c r="C1386" t="str" cm="1">
        <f t="array" ref="C1386">_xlfn.XLOOKUP(1,([3]!players[name]=A1386)*([3]!players[hero_name]=B1386),[3]!players[lane_name])</f>
        <v>Off Lane</v>
      </c>
      <c r="D1386">
        <f>COUNTIFS([3]!players[name],A1386,[3]!players[hero_name],B1386)</f>
        <v>1</v>
      </c>
      <c r="E1386">
        <f>COUNTIFS([3]!players[name],A1386,[3]!players[hero_name],B1386, [3]!players[win], 1)</f>
        <v>1</v>
      </c>
      <c r="F1386" s="1">
        <f t="shared" si="21"/>
        <v>1</v>
      </c>
      <c r="G1386" s="2">
        <f>AVERAGEIFS([3]!players[gold_per_min], [3]!players[name],A1386,[3]!players[hero_name],B1386)</f>
        <v>570</v>
      </c>
      <c r="H1386" s="2">
        <f>AVERAGEIFS([3]!players[xp_per_min], [3]!players[name],A1386,[3]!players[hero_name],B1386)</f>
        <v>803</v>
      </c>
    </row>
    <row r="1387" spans="1:8" x14ac:dyDescent="0.3">
      <c r="A1387" t="str">
        <v>Noticed</v>
      </c>
      <c r="B1387" t="str">
        <v>Underlord</v>
      </c>
      <c r="C1387" t="str" cm="1">
        <f t="array" ref="C1387">_xlfn.XLOOKUP(1,([3]!players[name]=A1387)*([3]!players[hero_name]=B1387),[3]!players[lane_name])</f>
        <v>Off Lane</v>
      </c>
      <c r="D1387">
        <f>COUNTIFS([3]!players[name],A1387,[3]!players[hero_name],B1387)</f>
        <v>1</v>
      </c>
      <c r="E1387">
        <f>COUNTIFS([3]!players[name],A1387,[3]!players[hero_name],B1387, [3]!players[win], 1)</f>
        <v>0</v>
      </c>
      <c r="F1387" s="1">
        <f t="shared" si="21"/>
        <v>0</v>
      </c>
      <c r="G1387" s="2">
        <f>AVERAGEIFS([3]!players[gold_per_min], [3]!players[name],A1387,[3]!players[hero_name],B1387)</f>
        <v>551</v>
      </c>
      <c r="H1387" s="2">
        <f>AVERAGEIFS([3]!players[xp_per_min], [3]!players[name],A1387,[3]!players[hero_name],B1387)</f>
        <v>724</v>
      </c>
    </row>
    <row r="1388" spans="1:8" x14ac:dyDescent="0.3">
      <c r="A1388" t="str">
        <v>OmaR</v>
      </c>
      <c r="B1388" t="str">
        <v>Shadow Shaman</v>
      </c>
      <c r="C1388" t="str" cm="1">
        <f t="array" ref="C1388">_xlfn.XLOOKUP(1,([3]!players[name]=A1388)*([3]!players[hero_name]=B1388),[3]!players[lane_name])</f>
        <v>Soft Support</v>
      </c>
      <c r="D1388">
        <f>COUNTIFS([3]!players[name],A1388,[3]!players[hero_name],B1388)</f>
        <v>4</v>
      </c>
      <c r="E1388">
        <f>COUNTIFS([3]!players[name],A1388,[3]!players[hero_name],B1388, [3]!players[win], 1)</f>
        <v>3</v>
      </c>
      <c r="F1388" s="1">
        <f t="shared" si="21"/>
        <v>0.75</v>
      </c>
      <c r="G1388" s="2">
        <f>AVERAGEIFS([3]!players[gold_per_min], [3]!players[name],A1388,[3]!players[hero_name],B1388)</f>
        <v>348.5</v>
      </c>
      <c r="H1388" s="2">
        <f>AVERAGEIFS([3]!players[xp_per_min], [3]!players[name],A1388,[3]!players[hero_name],B1388)</f>
        <v>484.25</v>
      </c>
    </row>
    <row r="1389" spans="1:8" x14ac:dyDescent="0.3">
      <c r="A1389" t="str">
        <v>OmaR</v>
      </c>
      <c r="B1389" t="str">
        <v>Rubick</v>
      </c>
      <c r="C1389" t="str" cm="1">
        <f t="array" ref="C1389">_xlfn.XLOOKUP(1,([3]!players[name]=A1389)*([3]!players[hero_name]=B1389),[3]!players[lane_name])</f>
        <v>Hard Support</v>
      </c>
      <c r="D1389">
        <f>COUNTIFS([3]!players[name],A1389,[3]!players[hero_name],B1389)</f>
        <v>16</v>
      </c>
      <c r="E1389">
        <f>COUNTIFS([3]!players[name],A1389,[3]!players[hero_name],B1389, [3]!players[win], 1)</f>
        <v>13</v>
      </c>
      <c r="F1389" s="1">
        <f t="shared" si="21"/>
        <v>0.8125</v>
      </c>
      <c r="G1389" s="2">
        <f>AVERAGEIFS([3]!players[gold_per_min], [3]!players[name],A1389,[3]!players[hero_name],B1389)</f>
        <v>356.875</v>
      </c>
      <c r="H1389" s="2">
        <f>AVERAGEIFS([3]!players[xp_per_min], [3]!players[name],A1389,[3]!players[hero_name],B1389)</f>
        <v>549.0625</v>
      </c>
    </row>
    <row r="1390" spans="1:8" x14ac:dyDescent="0.3">
      <c r="A1390" t="str">
        <v>OmaR</v>
      </c>
      <c r="B1390" t="str">
        <v>Tusk</v>
      </c>
      <c r="C1390" t="str" cm="1">
        <f t="array" ref="C1390">_xlfn.XLOOKUP(1,([3]!players[name]=A1390)*([3]!players[hero_name]=B1390),[3]!players[lane_name])</f>
        <v>Roam</v>
      </c>
      <c r="D1390">
        <f>COUNTIFS([3]!players[name],A1390,[3]!players[hero_name],B1390)</f>
        <v>4</v>
      </c>
      <c r="E1390">
        <f>COUNTIFS([3]!players[name],A1390,[3]!players[hero_name],B1390, [3]!players[win], 1)</f>
        <v>2</v>
      </c>
      <c r="F1390" s="1">
        <f t="shared" si="21"/>
        <v>0.5</v>
      </c>
      <c r="G1390" s="2">
        <f>AVERAGEIFS([3]!players[gold_per_min], [3]!players[name],A1390,[3]!players[hero_name],B1390)</f>
        <v>322.75</v>
      </c>
      <c r="H1390" s="2">
        <f>AVERAGEIFS([3]!players[xp_per_min], [3]!players[name],A1390,[3]!players[hero_name],B1390)</f>
        <v>531</v>
      </c>
    </row>
    <row r="1391" spans="1:8" x14ac:dyDescent="0.3">
      <c r="A1391" t="str">
        <v>OmaR</v>
      </c>
      <c r="B1391" t="str">
        <v>Snapfire</v>
      </c>
      <c r="C1391" t="str" cm="1">
        <f t="array" ref="C1391">_xlfn.XLOOKUP(1,([3]!players[name]=A1391)*([3]!players[hero_name]=B1391),[3]!players[lane_name])</f>
        <v>Soft Support</v>
      </c>
      <c r="D1391">
        <f>COUNTIFS([3]!players[name],A1391,[3]!players[hero_name],B1391)</f>
        <v>3</v>
      </c>
      <c r="E1391">
        <f>COUNTIFS([3]!players[name],A1391,[3]!players[hero_name],B1391, [3]!players[win], 1)</f>
        <v>2</v>
      </c>
      <c r="F1391" s="1">
        <f t="shared" si="21"/>
        <v>0.66666666666666663</v>
      </c>
      <c r="G1391" s="2">
        <f>AVERAGEIFS([3]!players[gold_per_min], [3]!players[name],A1391,[3]!players[hero_name],B1391)</f>
        <v>354</v>
      </c>
      <c r="H1391" s="2">
        <f>AVERAGEIFS([3]!players[xp_per_min], [3]!players[name],A1391,[3]!players[hero_name],B1391)</f>
        <v>515.33333333333337</v>
      </c>
    </row>
    <row r="1392" spans="1:8" x14ac:dyDescent="0.3">
      <c r="A1392" t="str">
        <v>OmaR</v>
      </c>
      <c r="B1392" t="str">
        <v>Batrider</v>
      </c>
      <c r="C1392" t="str" cm="1">
        <f t="array" ref="C1392">_xlfn.XLOOKUP(1,([3]!players[name]=A1392)*([3]!players[hero_name]=B1392),[3]!players[lane_name])</f>
        <v>Hard Support</v>
      </c>
      <c r="D1392">
        <f>COUNTIFS([3]!players[name],A1392,[3]!players[hero_name],B1392)</f>
        <v>3</v>
      </c>
      <c r="E1392">
        <f>COUNTIFS([3]!players[name],A1392,[3]!players[hero_name],B1392, [3]!players[win], 1)</f>
        <v>2</v>
      </c>
      <c r="F1392" s="1">
        <f t="shared" si="21"/>
        <v>0.66666666666666663</v>
      </c>
      <c r="G1392" s="2">
        <f>AVERAGEIFS([3]!players[gold_per_min], [3]!players[name],A1392,[3]!players[hero_name],B1392)</f>
        <v>336</v>
      </c>
      <c r="H1392" s="2">
        <f>AVERAGEIFS([3]!players[xp_per_min], [3]!players[name],A1392,[3]!players[hero_name],B1392)</f>
        <v>529.66666666666663</v>
      </c>
    </row>
    <row r="1393" spans="1:8" x14ac:dyDescent="0.3">
      <c r="A1393" t="str">
        <v>OmaR</v>
      </c>
      <c r="B1393" t="str">
        <v>Hoodwink</v>
      </c>
      <c r="C1393" t="str" cm="1">
        <f t="array" ref="C1393">_xlfn.XLOOKUP(1,([3]!players[name]=A1393)*([3]!players[hero_name]=B1393),[3]!players[lane_name])</f>
        <v>Hard Support</v>
      </c>
      <c r="D1393">
        <f>COUNTIFS([3]!players[name],A1393,[3]!players[hero_name],B1393)</f>
        <v>14</v>
      </c>
      <c r="E1393">
        <f>COUNTIFS([3]!players[name],A1393,[3]!players[hero_name],B1393, [3]!players[win], 1)</f>
        <v>9</v>
      </c>
      <c r="F1393" s="1">
        <f t="shared" si="21"/>
        <v>0.6428571428571429</v>
      </c>
      <c r="G1393" s="2">
        <f>AVERAGEIFS([3]!players[gold_per_min], [3]!players[name],A1393,[3]!players[hero_name],B1393)</f>
        <v>338.92857142857144</v>
      </c>
      <c r="H1393" s="2">
        <f>AVERAGEIFS([3]!players[xp_per_min], [3]!players[name],A1393,[3]!players[hero_name],B1393)</f>
        <v>538.57142857142856</v>
      </c>
    </row>
    <row r="1394" spans="1:8" x14ac:dyDescent="0.3">
      <c r="A1394" t="str">
        <v>OmaR</v>
      </c>
      <c r="B1394" t="str">
        <v>Spirit Breaker</v>
      </c>
      <c r="C1394" t="str" cm="1">
        <f t="array" ref="C1394">_xlfn.XLOOKUP(1,([3]!players[name]=A1394)*([3]!players[hero_name]=B1394),[3]!players[lane_name])</f>
        <v>Hard Support</v>
      </c>
      <c r="D1394">
        <f>COUNTIFS([3]!players[name],A1394,[3]!players[hero_name],B1394)</f>
        <v>2</v>
      </c>
      <c r="E1394">
        <f>COUNTIFS([3]!players[name],A1394,[3]!players[hero_name],B1394, [3]!players[win], 1)</f>
        <v>2</v>
      </c>
      <c r="F1394" s="1">
        <f t="shared" si="21"/>
        <v>1</v>
      </c>
      <c r="G1394" s="2">
        <f>AVERAGEIFS([3]!players[gold_per_min], [3]!players[name],A1394,[3]!players[hero_name],B1394)</f>
        <v>306</v>
      </c>
      <c r="H1394" s="2">
        <f>AVERAGEIFS([3]!players[xp_per_min], [3]!players[name],A1394,[3]!players[hero_name],B1394)</f>
        <v>518</v>
      </c>
    </row>
    <row r="1395" spans="1:8" x14ac:dyDescent="0.3">
      <c r="A1395" t="str">
        <v>OmaR</v>
      </c>
      <c r="B1395" t="str">
        <v>Muerta</v>
      </c>
      <c r="C1395" t="str" cm="1">
        <f t="array" ref="C1395">_xlfn.XLOOKUP(1,([3]!players[name]=A1395)*([3]!players[hero_name]=B1395),[3]!players[lane_name])</f>
        <v>Soft Support</v>
      </c>
      <c r="D1395">
        <f>COUNTIFS([3]!players[name],A1395,[3]!players[hero_name],B1395)</f>
        <v>2</v>
      </c>
      <c r="E1395">
        <f>COUNTIFS([3]!players[name],A1395,[3]!players[hero_name],B1395, [3]!players[win], 1)</f>
        <v>1</v>
      </c>
      <c r="F1395" s="1">
        <f t="shared" si="21"/>
        <v>0.5</v>
      </c>
      <c r="G1395" s="2">
        <f>AVERAGEIFS([3]!players[gold_per_min], [3]!players[name],A1395,[3]!players[hero_name],B1395)</f>
        <v>367.5</v>
      </c>
      <c r="H1395" s="2">
        <f>AVERAGEIFS([3]!players[xp_per_min], [3]!players[name],A1395,[3]!players[hero_name],B1395)</f>
        <v>479.5</v>
      </c>
    </row>
    <row r="1396" spans="1:8" x14ac:dyDescent="0.3">
      <c r="A1396" t="str">
        <v>OmaR</v>
      </c>
      <c r="B1396" t="str">
        <v>Grimstroke</v>
      </c>
      <c r="C1396" t="str" cm="1">
        <f t="array" ref="C1396">_xlfn.XLOOKUP(1,([3]!players[name]=A1396)*([3]!players[hero_name]=B1396),[3]!players[lane_name])</f>
        <v>Roam</v>
      </c>
      <c r="D1396">
        <f>COUNTIFS([3]!players[name],A1396,[3]!players[hero_name],B1396)</f>
        <v>1</v>
      </c>
      <c r="E1396">
        <f>COUNTIFS([3]!players[name],A1396,[3]!players[hero_name],B1396, [3]!players[win], 1)</f>
        <v>0</v>
      </c>
      <c r="F1396" s="1">
        <f t="shared" si="21"/>
        <v>0</v>
      </c>
      <c r="G1396" s="2">
        <f>AVERAGEIFS([3]!players[gold_per_min], [3]!players[name],A1396,[3]!players[hero_name],B1396)</f>
        <v>228</v>
      </c>
      <c r="H1396" s="2">
        <f>AVERAGEIFS([3]!players[xp_per_min], [3]!players[name],A1396,[3]!players[hero_name],B1396)</f>
        <v>325</v>
      </c>
    </row>
    <row r="1397" spans="1:8" x14ac:dyDescent="0.3">
      <c r="A1397" t="str">
        <v>onLiTaL</v>
      </c>
      <c r="B1397" t="str">
        <v>Beastmaster</v>
      </c>
      <c r="C1397" t="str" cm="1">
        <f t="array" ref="C1397">_xlfn.XLOOKUP(1,([3]!players[name]=A1397)*([3]!players[hero_name]=B1397),[3]!players[lane_name])</f>
        <v>Carry</v>
      </c>
      <c r="D1397">
        <f>COUNTIFS([3]!players[name],A1397,[3]!players[hero_name],B1397)</f>
        <v>1</v>
      </c>
      <c r="E1397">
        <f>COUNTIFS([3]!players[name],A1397,[3]!players[hero_name],B1397, [3]!players[win], 1)</f>
        <v>0</v>
      </c>
      <c r="F1397" s="1">
        <f t="shared" si="21"/>
        <v>0</v>
      </c>
      <c r="G1397" s="2">
        <f>AVERAGEIFS([3]!players[gold_per_min], [3]!players[name],A1397,[3]!players[hero_name],B1397)</f>
        <v>590</v>
      </c>
      <c r="H1397" s="2">
        <f>AVERAGEIFS([3]!players[xp_per_min], [3]!players[name],A1397,[3]!players[hero_name],B1397)</f>
        <v>755</v>
      </c>
    </row>
    <row r="1398" spans="1:8" x14ac:dyDescent="0.3">
      <c r="A1398" t="str">
        <v>onLiTaL</v>
      </c>
      <c r="B1398" t="str">
        <v>Ursa</v>
      </c>
      <c r="C1398" t="str" cm="1">
        <f t="array" ref="C1398">_xlfn.XLOOKUP(1,([3]!players[name]=A1398)*([3]!players[hero_name]=B1398),[3]!players[lane_name])</f>
        <v>Carry</v>
      </c>
      <c r="D1398">
        <f>COUNTIFS([3]!players[name],A1398,[3]!players[hero_name],B1398)</f>
        <v>1</v>
      </c>
      <c r="E1398">
        <f>COUNTIFS([3]!players[name],A1398,[3]!players[hero_name],B1398, [3]!players[win], 1)</f>
        <v>1</v>
      </c>
      <c r="F1398" s="1">
        <f t="shared" si="21"/>
        <v>1</v>
      </c>
      <c r="G1398" s="2">
        <f>AVERAGEIFS([3]!players[gold_per_min], [3]!players[name],A1398,[3]!players[hero_name],B1398)</f>
        <v>686</v>
      </c>
      <c r="H1398" s="2">
        <f>AVERAGEIFS([3]!players[xp_per_min], [3]!players[name],A1398,[3]!players[hero_name],B1398)</f>
        <v>926</v>
      </c>
    </row>
    <row r="1399" spans="1:8" x14ac:dyDescent="0.3">
      <c r="A1399" t="str">
        <v>onLiTaL</v>
      </c>
      <c r="B1399" t="str">
        <v>Kez</v>
      </c>
      <c r="C1399" t="str" cm="1">
        <f t="array" ref="C1399">_xlfn.XLOOKUP(1,([3]!players[name]=A1399)*([3]!players[hero_name]=B1399),[3]!players[lane_name])</f>
        <v>Carry</v>
      </c>
      <c r="D1399">
        <f>COUNTIFS([3]!players[name],A1399,[3]!players[hero_name],B1399)</f>
        <v>4</v>
      </c>
      <c r="E1399">
        <f>COUNTIFS([3]!players[name],A1399,[3]!players[hero_name],B1399, [3]!players[win], 1)</f>
        <v>2</v>
      </c>
      <c r="F1399" s="1">
        <f t="shared" si="21"/>
        <v>0.5</v>
      </c>
      <c r="G1399" s="2">
        <f>AVERAGEIFS([3]!players[gold_per_min], [3]!players[name],A1399,[3]!players[hero_name],B1399)</f>
        <v>615</v>
      </c>
      <c r="H1399" s="2">
        <f>AVERAGEIFS([3]!players[xp_per_min], [3]!players[name],A1399,[3]!players[hero_name],B1399)</f>
        <v>773.5</v>
      </c>
    </row>
    <row r="1400" spans="1:8" x14ac:dyDescent="0.3">
      <c r="A1400" t="str">
        <v>onLiTaL</v>
      </c>
      <c r="B1400" t="str">
        <v>Meepo</v>
      </c>
      <c r="C1400" t="str" cm="1">
        <f t="array" ref="C1400">_xlfn.XLOOKUP(1,([3]!players[name]=A1400)*([3]!players[hero_name]=B1400),[3]!players[lane_name])</f>
        <v>Carry</v>
      </c>
      <c r="D1400">
        <f>COUNTIFS([3]!players[name],A1400,[3]!players[hero_name],B1400)</f>
        <v>1</v>
      </c>
      <c r="E1400">
        <f>COUNTIFS([3]!players[name],A1400,[3]!players[hero_name],B1400, [3]!players[win], 1)</f>
        <v>0</v>
      </c>
      <c r="F1400" s="1">
        <f t="shared" si="21"/>
        <v>0</v>
      </c>
      <c r="G1400" s="2">
        <f>AVERAGEIFS([3]!players[gold_per_min], [3]!players[name],A1400,[3]!players[hero_name],B1400)</f>
        <v>408</v>
      </c>
      <c r="H1400" s="2">
        <f>AVERAGEIFS([3]!players[xp_per_min], [3]!players[name],A1400,[3]!players[hero_name],B1400)</f>
        <v>430</v>
      </c>
    </row>
    <row r="1401" spans="1:8" x14ac:dyDescent="0.3">
      <c r="A1401" t="str">
        <v>onLiTaL</v>
      </c>
      <c r="B1401" t="str">
        <v>Lifestealer</v>
      </c>
      <c r="C1401" t="str" cm="1">
        <f t="array" ref="C1401">_xlfn.XLOOKUP(1,([3]!players[name]=A1401)*([3]!players[hero_name]=B1401),[3]!players[lane_name])</f>
        <v>Carry</v>
      </c>
      <c r="D1401">
        <f>COUNTIFS([3]!players[name],A1401,[3]!players[hero_name],B1401)</f>
        <v>1</v>
      </c>
      <c r="E1401">
        <f>COUNTIFS([3]!players[name],A1401,[3]!players[hero_name],B1401, [3]!players[win], 1)</f>
        <v>0</v>
      </c>
      <c r="F1401" s="1">
        <f t="shared" si="21"/>
        <v>0</v>
      </c>
      <c r="G1401" s="2">
        <f>AVERAGEIFS([3]!players[gold_per_min], [3]!players[name],A1401,[3]!players[hero_name],B1401)</f>
        <v>447</v>
      </c>
      <c r="H1401" s="2">
        <f>AVERAGEIFS([3]!players[xp_per_min], [3]!players[name],A1401,[3]!players[hero_name],B1401)</f>
        <v>483</v>
      </c>
    </row>
    <row r="1402" spans="1:8" x14ac:dyDescent="0.3">
      <c r="A1402" t="str">
        <v>onLiTaL</v>
      </c>
      <c r="B1402" t="str">
        <v>Faceless Void</v>
      </c>
      <c r="C1402" t="str" cm="1">
        <f t="array" ref="C1402">_xlfn.XLOOKUP(1,([3]!players[name]=A1402)*([3]!players[hero_name]=B1402),[3]!players[lane_name])</f>
        <v>Carry</v>
      </c>
      <c r="D1402">
        <f>COUNTIFS([3]!players[name],A1402,[3]!players[hero_name],B1402)</f>
        <v>1</v>
      </c>
      <c r="E1402">
        <f>COUNTIFS([3]!players[name],A1402,[3]!players[hero_name],B1402, [3]!players[win], 1)</f>
        <v>0</v>
      </c>
      <c r="F1402" s="1">
        <f t="shared" si="21"/>
        <v>0</v>
      </c>
      <c r="G1402" s="2">
        <f>AVERAGEIFS([3]!players[gold_per_min], [3]!players[name],A1402,[3]!players[hero_name],B1402)</f>
        <v>383</v>
      </c>
      <c r="H1402" s="2">
        <f>AVERAGEIFS([3]!players[xp_per_min], [3]!players[name],A1402,[3]!players[hero_name],B1402)</f>
        <v>510</v>
      </c>
    </row>
    <row r="1403" spans="1:8" x14ac:dyDescent="0.3">
      <c r="A1403" t="str">
        <v>onLiTaL</v>
      </c>
      <c r="B1403" t="str">
        <v>Templar Assassin</v>
      </c>
      <c r="C1403" t="str" cm="1">
        <f t="array" ref="C1403">_xlfn.XLOOKUP(1,([3]!players[name]=A1403)*([3]!players[hero_name]=B1403),[3]!players[lane_name])</f>
        <v>Carry</v>
      </c>
      <c r="D1403">
        <f>COUNTIFS([3]!players[name],A1403,[3]!players[hero_name],B1403)</f>
        <v>1</v>
      </c>
      <c r="E1403">
        <f>COUNTIFS([3]!players[name],A1403,[3]!players[hero_name],B1403, [3]!players[win], 1)</f>
        <v>0</v>
      </c>
      <c r="F1403" s="1">
        <f t="shared" si="21"/>
        <v>0</v>
      </c>
      <c r="G1403" s="2">
        <f>AVERAGEIFS([3]!players[gold_per_min], [3]!players[name],A1403,[3]!players[hero_name],B1403)</f>
        <v>648</v>
      </c>
      <c r="H1403" s="2">
        <f>AVERAGEIFS([3]!players[xp_per_min], [3]!players[name],A1403,[3]!players[hero_name],B1403)</f>
        <v>972</v>
      </c>
    </row>
    <row r="1404" spans="1:8" x14ac:dyDescent="0.3">
      <c r="A1404" t="str">
        <v>onLiTaL</v>
      </c>
      <c r="B1404" t="str">
        <v>Monkey King</v>
      </c>
      <c r="C1404" t="str" cm="1">
        <f t="array" ref="C1404">_xlfn.XLOOKUP(1,([3]!players[name]=A1404)*([3]!players[hero_name]=B1404),[3]!players[lane_name])</f>
        <v>Carry</v>
      </c>
      <c r="D1404">
        <f>COUNTIFS([3]!players[name],A1404,[3]!players[hero_name],B1404)</f>
        <v>1</v>
      </c>
      <c r="E1404">
        <f>COUNTIFS([3]!players[name],A1404,[3]!players[hero_name],B1404, [3]!players[win], 1)</f>
        <v>0</v>
      </c>
      <c r="F1404" s="1">
        <f t="shared" si="21"/>
        <v>0</v>
      </c>
      <c r="G1404" s="2">
        <f>AVERAGEIFS([3]!players[gold_per_min], [3]!players[name],A1404,[3]!players[hero_name],B1404)</f>
        <v>452</v>
      </c>
      <c r="H1404" s="2">
        <f>AVERAGEIFS([3]!players[xp_per_min], [3]!players[name],A1404,[3]!players[hero_name],B1404)</f>
        <v>586</v>
      </c>
    </row>
    <row r="1405" spans="1:8" x14ac:dyDescent="0.3">
      <c r="A1405" t="str">
        <v>onLiTaL</v>
      </c>
      <c r="B1405" t="str">
        <v>Alchemist</v>
      </c>
      <c r="C1405" t="str" cm="1">
        <f t="array" ref="C1405">_xlfn.XLOOKUP(1,([3]!players[name]=A1405)*([3]!players[hero_name]=B1405),[3]!players[lane_name])</f>
        <v>Carry</v>
      </c>
      <c r="D1405">
        <f>COUNTIFS([3]!players[name],A1405,[3]!players[hero_name],B1405)</f>
        <v>1</v>
      </c>
      <c r="E1405">
        <f>COUNTIFS([3]!players[name],A1405,[3]!players[hero_name],B1405, [3]!players[win], 1)</f>
        <v>1</v>
      </c>
      <c r="F1405" s="1">
        <f t="shared" si="21"/>
        <v>1</v>
      </c>
      <c r="G1405" s="2">
        <f>AVERAGEIFS([3]!players[gold_per_min], [3]!players[name],A1405,[3]!players[hero_name],B1405)</f>
        <v>775</v>
      </c>
      <c r="H1405" s="2">
        <f>AVERAGEIFS([3]!players[xp_per_min], [3]!players[name],A1405,[3]!players[hero_name],B1405)</f>
        <v>717</v>
      </c>
    </row>
    <row r="1406" spans="1:8" x14ac:dyDescent="0.3">
      <c r="A1406" t="str">
        <v>osito</v>
      </c>
      <c r="B1406" t="str">
        <v>Huskar</v>
      </c>
      <c r="C1406" t="str" cm="1">
        <f t="array" ref="C1406">_xlfn.XLOOKUP(1,([3]!players[name]=A1406)*([3]!players[hero_name]=B1406),[3]!players[lane_name])</f>
        <v>Mid</v>
      </c>
      <c r="D1406">
        <f>COUNTIFS([3]!players[name],A1406,[3]!players[hero_name],B1406)</f>
        <v>3</v>
      </c>
      <c r="E1406">
        <f>COUNTIFS([3]!players[name],A1406,[3]!players[hero_name],B1406, [3]!players[win], 1)</f>
        <v>1</v>
      </c>
      <c r="F1406" s="1">
        <f t="shared" si="21"/>
        <v>0.33333333333333331</v>
      </c>
      <c r="G1406" s="2">
        <f>AVERAGEIFS([3]!players[gold_per_min], [3]!players[name],A1406,[3]!players[hero_name],B1406)</f>
        <v>607.33333333333337</v>
      </c>
      <c r="H1406" s="2">
        <f>AVERAGEIFS([3]!players[xp_per_min], [3]!players[name],A1406,[3]!players[hero_name],B1406)</f>
        <v>728.66666666666663</v>
      </c>
    </row>
    <row r="1407" spans="1:8" x14ac:dyDescent="0.3">
      <c r="A1407" t="str">
        <v>osito</v>
      </c>
      <c r="B1407" t="str">
        <v>Viper</v>
      </c>
      <c r="C1407" t="str" cm="1">
        <f t="array" ref="C1407">_xlfn.XLOOKUP(1,([3]!players[name]=A1407)*([3]!players[hero_name]=B1407),[3]!players[lane_name])</f>
        <v>Mid</v>
      </c>
      <c r="D1407">
        <f>COUNTIFS([3]!players[name],A1407,[3]!players[hero_name],B1407)</f>
        <v>8</v>
      </c>
      <c r="E1407">
        <f>COUNTIFS([3]!players[name],A1407,[3]!players[hero_name],B1407, [3]!players[win], 1)</f>
        <v>3</v>
      </c>
      <c r="F1407" s="1">
        <f t="shared" si="21"/>
        <v>0.375</v>
      </c>
      <c r="G1407" s="2">
        <f>AVERAGEIFS([3]!players[gold_per_min], [3]!players[name],A1407,[3]!players[hero_name],B1407)</f>
        <v>593.5</v>
      </c>
      <c r="H1407" s="2">
        <f>AVERAGEIFS([3]!players[xp_per_min], [3]!players[name],A1407,[3]!players[hero_name],B1407)</f>
        <v>734.625</v>
      </c>
    </row>
    <row r="1408" spans="1:8" x14ac:dyDescent="0.3">
      <c r="A1408" t="str">
        <v>osito</v>
      </c>
      <c r="B1408" t="str">
        <v>Sand King</v>
      </c>
      <c r="C1408" t="str" cm="1">
        <f t="array" ref="C1408">_xlfn.XLOOKUP(1,([3]!players[name]=A1408)*([3]!players[hero_name]=B1408),[3]!players[lane_name])</f>
        <v>Mid</v>
      </c>
      <c r="D1408">
        <f>COUNTIFS([3]!players[name],A1408,[3]!players[hero_name],B1408)</f>
        <v>3</v>
      </c>
      <c r="E1408">
        <f>COUNTIFS([3]!players[name],A1408,[3]!players[hero_name],B1408, [3]!players[win], 1)</f>
        <v>3</v>
      </c>
      <c r="F1408" s="1">
        <f t="shared" si="21"/>
        <v>1</v>
      </c>
      <c r="G1408" s="2">
        <f>AVERAGEIFS([3]!players[gold_per_min], [3]!players[name],A1408,[3]!players[hero_name],B1408)</f>
        <v>661.33333333333337</v>
      </c>
      <c r="H1408" s="2">
        <f>AVERAGEIFS([3]!players[xp_per_min], [3]!players[name],A1408,[3]!players[hero_name],B1408)</f>
        <v>896</v>
      </c>
    </row>
    <row r="1409" spans="1:8" x14ac:dyDescent="0.3">
      <c r="A1409" t="str">
        <v>osito</v>
      </c>
      <c r="B1409" t="str">
        <v>Pangolier</v>
      </c>
      <c r="C1409" t="str" cm="1">
        <f t="array" ref="C1409">_xlfn.XLOOKUP(1,([3]!players[name]=A1409)*([3]!players[hero_name]=B1409),[3]!players[lane_name])</f>
        <v>Mid</v>
      </c>
      <c r="D1409">
        <f>COUNTIFS([3]!players[name],A1409,[3]!players[hero_name],B1409)</f>
        <v>6</v>
      </c>
      <c r="E1409">
        <f>COUNTIFS([3]!players[name],A1409,[3]!players[hero_name],B1409, [3]!players[win], 1)</f>
        <v>1</v>
      </c>
      <c r="F1409" s="1">
        <f t="shared" si="21"/>
        <v>0.16666666666666666</v>
      </c>
      <c r="G1409" s="2">
        <f>AVERAGEIFS([3]!players[gold_per_min], [3]!players[name],A1409,[3]!players[hero_name],B1409)</f>
        <v>572.83333333333337</v>
      </c>
      <c r="H1409" s="2">
        <f>AVERAGEIFS([3]!players[xp_per_min], [3]!players[name],A1409,[3]!players[hero_name],B1409)</f>
        <v>766.66666666666663</v>
      </c>
    </row>
    <row r="1410" spans="1:8" x14ac:dyDescent="0.3">
      <c r="A1410" t="str">
        <v>osito</v>
      </c>
      <c r="B1410" t="str">
        <v>Keeper of the Light</v>
      </c>
      <c r="C1410" t="str" cm="1">
        <f t="array" ref="C1410">_xlfn.XLOOKUP(1,([3]!players[name]=A1410)*([3]!players[hero_name]=B1410),[3]!players[lane_name])</f>
        <v>Mid</v>
      </c>
      <c r="D1410">
        <f>COUNTIFS([3]!players[name],A1410,[3]!players[hero_name],B1410)</f>
        <v>3</v>
      </c>
      <c r="E1410">
        <f>COUNTIFS([3]!players[name],A1410,[3]!players[hero_name],B1410, [3]!players[win], 1)</f>
        <v>3</v>
      </c>
      <c r="F1410" s="1">
        <f t="shared" si="21"/>
        <v>1</v>
      </c>
      <c r="G1410" s="2">
        <f>AVERAGEIFS([3]!players[gold_per_min], [3]!players[name],A1410,[3]!players[hero_name],B1410)</f>
        <v>669</v>
      </c>
      <c r="H1410" s="2">
        <f>AVERAGEIFS([3]!players[xp_per_min], [3]!players[name],A1410,[3]!players[hero_name],B1410)</f>
        <v>817.66666666666663</v>
      </c>
    </row>
    <row r="1411" spans="1:8" x14ac:dyDescent="0.3">
      <c r="A1411" t="str">
        <v>osito</v>
      </c>
      <c r="B1411" t="str">
        <v>Void Spirit</v>
      </c>
      <c r="C1411" t="str" cm="1">
        <f t="array" ref="C1411">_xlfn.XLOOKUP(1,([3]!players[name]=A1411)*([3]!players[hero_name]=B1411),[3]!players[lane_name])</f>
        <v>Mid</v>
      </c>
      <c r="D1411">
        <f>COUNTIFS([3]!players[name],A1411,[3]!players[hero_name],B1411)</f>
        <v>1</v>
      </c>
      <c r="E1411">
        <f>COUNTIFS([3]!players[name],A1411,[3]!players[hero_name],B1411, [3]!players[win], 1)</f>
        <v>0</v>
      </c>
      <c r="F1411" s="1">
        <f t="shared" ref="F1411:F1474" si="22">E1411/D1411</f>
        <v>0</v>
      </c>
      <c r="G1411" s="2">
        <f>AVERAGEIFS([3]!players[gold_per_min], [3]!players[name],A1411,[3]!players[hero_name],B1411)</f>
        <v>615</v>
      </c>
      <c r="H1411" s="2">
        <f>AVERAGEIFS([3]!players[xp_per_min], [3]!players[name],A1411,[3]!players[hero_name],B1411)</f>
        <v>764</v>
      </c>
    </row>
    <row r="1412" spans="1:8" x14ac:dyDescent="0.3">
      <c r="A1412" t="str">
        <v>osito</v>
      </c>
      <c r="B1412" t="str">
        <v>Queen of Pain</v>
      </c>
      <c r="C1412" t="str" cm="1">
        <f t="array" ref="C1412">_xlfn.XLOOKUP(1,([3]!players[name]=A1412)*([3]!players[hero_name]=B1412),[3]!players[lane_name])</f>
        <v>Mid</v>
      </c>
      <c r="D1412">
        <f>COUNTIFS([3]!players[name],A1412,[3]!players[hero_name],B1412)</f>
        <v>1</v>
      </c>
      <c r="E1412">
        <f>COUNTIFS([3]!players[name],A1412,[3]!players[hero_name],B1412, [3]!players[win], 1)</f>
        <v>1</v>
      </c>
      <c r="F1412" s="1">
        <f t="shared" si="22"/>
        <v>1</v>
      </c>
      <c r="G1412" s="2">
        <f>AVERAGEIFS([3]!players[gold_per_min], [3]!players[name],A1412,[3]!players[hero_name],B1412)</f>
        <v>767</v>
      </c>
      <c r="H1412" s="2">
        <f>AVERAGEIFS([3]!players[xp_per_min], [3]!players[name],A1412,[3]!players[hero_name],B1412)</f>
        <v>1085</v>
      </c>
    </row>
    <row r="1413" spans="1:8" x14ac:dyDescent="0.3">
      <c r="A1413" t="str">
        <v>osito</v>
      </c>
      <c r="B1413" t="str">
        <v>Bristleback</v>
      </c>
      <c r="C1413" t="str" cm="1">
        <f t="array" ref="C1413">_xlfn.XLOOKUP(1,([3]!players[name]=A1413)*([3]!players[hero_name]=B1413),[3]!players[lane_name])</f>
        <v>Mid</v>
      </c>
      <c r="D1413">
        <f>COUNTIFS([3]!players[name],A1413,[3]!players[hero_name],B1413)</f>
        <v>3</v>
      </c>
      <c r="E1413">
        <f>COUNTIFS([3]!players[name],A1413,[3]!players[hero_name],B1413, [3]!players[win], 1)</f>
        <v>1</v>
      </c>
      <c r="F1413" s="1">
        <f t="shared" si="22"/>
        <v>0.33333333333333331</v>
      </c>
      <c r="G1413" s="2">
        <f>AVERAGEIFS([3]!players[gold_per_min], [3]!players[name],A1413,[3]!players[hero_name],B1413)</f>
        <v>528.33333333333337</v>
      </c>
      <c r="H1413" s="2">
        <f>AVERAGEIFS([3]!players[xp_per_min], [3]!players[name],A1413,[3]!players[hero_name],B1413)</f>
        <v>581.66666666666663</v>
      </c>
    </row>
    <row r="1414" spans="1:8" x14ac:dyDescent="0.3">
      <c r="A1414" t="str">
        <v>osito</v>
      </c>
      <c r="B1414" t="str">
        <v>Nature's Prophet</v>
      </c>
      <c r="C1414" t="str" cm="1">
        <f t="array" ref="C1414">_xlfn.XLOOKUP(1,([3]!players[name]=A1414)*([3]!players[hero_name]=B1414),[3]!players[lane_name])</f>
        <v>Mid</v>
      </c>
      <c r="D1414">
        <f>COUNTIFS([3]!players[name],A1414,[3]!players[hero_name],B1414)</f>
        <v>1</v>
      </c>
      <c r="E1414">
        <f>COUNTIFS([3]!players[name],A1414,[3]!players[hero_name],B1414, [3]!players[win], 1)</f>
        <v>0</v>
      </c>
      <c r="F1414" s="1">
        <f t="shared" si="22"/>
        <v>0</v>
      </c>
      <c r="G1414" s="2">
        <f>AVERAGEIFS([3]!players[gold_per_min], [3]!players[name],A1414,[3]!players[hero_name],B1414)</f>
        <v>441</v>
      </c>
      <c r="H1414" s="2">
        <f>AVERAGEIFS([3]!players[xp_per_min], [3]!players[name],A1414,[3]!players[hero_name],B1414)</f>
        <v>368</v>
      </c>
    </row>
    <row r="1415" spans="1:8" x14ac:dyDescent="0.3">
      <c r="A1415" t="str">
        <v>osito</v>
      </c>
      <c r="B1415" t="str">
        <v>Puck</v>
      </c>
      <c r="C1415" t="str" cm="1">
        <f t="array" ref="C1415">_xlfn.XLOOKUP(1,([3]!players[name]=A1415)*([3]!players[hero_name]=B1415),[3]!players[lane_name])</f>
        <v>Mid</v>
      </c>
      <c r="D1415">
        <f>COUNTIFS([3]!players[name],A1415,[3]!players[hero_name],B1415)</f>
        <v>3</v>
      </c>
      <c r="E1415">
        <f>COUNTIFS([3]!players[name],A1415,[3]!players[hero_name],B1415, [3]!players[win], 1)</f>
        <v>2</v>
      </c>
      <c r="F1415" s="1">
        <f t="shared" si="22"/>
        <v>0.66666666666666663</v>
      </c>
      <c r="G1415" s="2">
        <f>AVERAGEIFS([3]!players[gold_per_min], [3]!players[name],A1415,[3]!players[hero_name],B1415)</f>
        <v>628.33333333333337</v>
      </c>
      <c r="H1415" s="2">
        <f>AVERAGEIFS([3]!players[xp_per_min], [3]!players[name],A1415,[3]!players[hero_name],B1415)</f>
        <v>802.66666666666663</v>
      </c>
    </row>
    <row r="1416" spans="1:8" x14ac:dyDescent="0.3">
      <c r="A1416" t="str">
        <v>osito</v>
      </c>
      <c r="B1416" t="str">
        <v>Beastmaster</v>
      </c>
      <c r="C1416" t="str" cm="1">
        <f t="array" ref="C1416">_xlfn.XLOOKUP(1,([3]!players[name]=A1416)*([3]!players[hero_name]=B1416),[3]!players[lane_name])</f>
        <v>Mid</v>
      </c>
      <c r="D1416">
        <f>COUNTIFS([3]!players[name],A1416,[3]!players[hero_name],B1416)</f>
        <v>1</v>
      </c>
      <c r="E1416">
        <f>COUNTIFS([3]!players[name],A1416,[3]!players[hero_name],B1416, [3]!players[win], 1)</f>
        <v>1</v>
      </c>
      <c r="F1416" s="1">
        <f t="shared" si="22"/>
        <v>1</v>
      </c>
      <c r="G1416" s="2">
        <f>AVERAGEIFS([3]!players[gold_per_min], [3]!players[name],A1416,[3]!players[hero_name],B1416)</f>
        <v>658</v>
      </c>
      <c r="H1416" s="2">
        <f>AVERAGEIFS([3]!players[xp_per_min], [3]!players[name],A1416,[3]!players[hero_name],B1416)</f>
        <v>849</v>
      </c>
    </row>
    <row r="1417" spans="1:8" x14ac:dyDescent="0.3">
      <c r="A1417" t="str">
        <v>pamplona</v>
      </c>
      <c r="B1417" t="str">
        <v>Enchantress</v>
      </c>
      <c r="C1417" t="str" cm="1">
        <f t="array" ref="C1417">_xlfn.XLOOKUP(1,([3]!players[name]=A1417)*([3]!players[hero_name]=B1417),[3]!players[lane_name])</f>
        <v>Roam</v>
      </c>
      <c r="D1417">
        <f>COUNTIFS([3]!players[name],A1417,[3]!players[hero_name],B1417)</f>
        <v>5</v>
      </c>
      <c r="E1417">
        <f>COUNTIFS([3]!players[name],A1417,[3]!players[hero_name],B1417, [3]!players[win], 1)</f>
        <v>3</v>
      </c>
      <c r="F1417" s="1">
        <f t="shared" si="22"/>
        <v>0.6</v>
      </c>
      <c r="G1417" s="2">
        <f>AVERAGEIFS([3]!players[gold_per_min], [3]!players[name],A1417,[3]!players[hero_name],B1417)</f>
        <v>340.6</v>
      </c>
      <c r="H1417" s="2">
        <f>AVERAGEIFS([3]!players[xp_per_min], [3]!players[name],A1417,[3]!players[hero_name],B1417)</f>
        <v>472.4</v>
      </c>
    </row>
    <row r="1418" spans="1:8" x14ac:dyDescent="0.3">
      <c r="A1418" t="str">
        <v>pamplona</v>
      </c>
      <c r="B1418" t="str">
        <v>Dark Willow</v>
      </c>
      <c r="C1418" t="str" cm="1">
        <f t="array" ref="C1418">_xlfn.XLOOKUP(1,([3]!players[name]=A1418)*([3]!players[hero_name]=B1418),[3]!players[lane_name])</f>
        <v>Soft Support</v>
      </c>
      <c r="D1418">
        <f>COUNTIFS([3]!players[name],A1418,[3]!players[hero_name],B1418)</f>
        <v>2</v>
      </c>
      <c r="E1418">
        <f>COUNTIFS([3]!players[name],A1418,[3]!players[hero_name],B1418, [3]!players[win], 1)</f>
        <v>0</v>
      </c>
      <c r="F1418" s="1">
        <f t="shared" si="22"/>
        <v>0</v>
      </c>
      <c r="G1418" s="2">
        <f>AVERAGEIFS([3]!players[gold_per_min], [3]!players[name],A1418,[3]!players[hero_name],B1418)</f>
        <v>274</v>
      </c>
      <c r="H1418" s="2">
        <f>AVERAGEIFS([3]!players[xp_per_min], [3]!players[name],A1418,[3]!players[hero_name],B1418)</f>
        <v>386.5</v>
      </c>
    </row>
    <row r="1419" spans="1:8" x14ac:dyDescent="0.3">
      <c r="A1419" t="str">
        <v>pamplona</v>
      </c>
      <c r="B1419" t="str">
        <v>Snapfire</v>
      </c>
      <c r="C1419" t="str" cm="1">
        <f t="array" ref="C1419">_xlfn.XLOOKUP(1,([3]!players[name]=A1419)*([3]!players[hero_name]=B1419),[3]!players[lane_name])</f>
        <v>Soft Support</v>
      </c>
      <c r="D1419">
        <f>COUNTIFS([3]!players[name],A1419,[3]!players[hero_name],B1419)</f>
        <v>3</v>
      </c>
      <c r="E1419">
        <f>COUNTIFS([3]!players[name],A1419,[3]!players[hero_name],B1419, [3]!players[win], 1)</f>
        <v>2</v>
      </c>
      <c r="F1419" s="1">
        <f t="shared" si="22"/>
        <v>0.66666666666666663</v>
      </c>
      <c r="G1419" s="2">
        <f>AVERAGEIFS([3]!players[gold_per_min], [3]!players[name],A1419,[3]!players[hero_name],B1419)</f>
        <v>361</v>
      </c>
      <c r="H1419" s="2">
        <f>AVERAGEIFS([3]!players[xp_per_min], [3]!players[name],A1419,[3]!players[hero_name],B1419)</f>
        <v>453.33333333333331</v>
      </c>
    </row>
    <row r="1420" spans="1:8" x14ac:dyDescent="0.3">
      <c r="A1420" t="str">
        <v>pamplona</v>
      </c>
      <c r="B1420" t="str">
        <v>Phoenix</v>
      </c>
      <c r="C1420" t="str" cm="1">
        <f t="array" ref="C1420">_xlfn.XLOOKUP(1,([3]!players[name]=A1420)*([3]!players[hero_name]=B1420),[3]!players[lane_name])</f>
        <v>Soft Support</v>
      </c>
      <c r="D1420">
        <f>COUNTIFS([3]!players[name],A1420,[3]!players[hero_name],B1420)</f>
        <v>1</v>
      </c>
      <c r="E1420">
        <f>COUNTIFS([3]!players[name],A1420,[3]!players[hero_name],B1420, [3]!players[win], 1)</f>
        <v>0</v>
      </c>
      <c r="F1420" s="1">
        <f t="shared" si="22"/>
        <v>0</v>
      </c>
      <c r="G1420" s="2">
        <f>AVERAGEIFS([3]!players[gold_per_min], [3]!players[name],A1420,[3]!players[hero_name],B1420)</f>
        <v>335</v>
      </c>
      <c r="H1420" s="2">
        <f>AVERAGEIFS([3]!players[xp_per_min], [3]!players[name],A1420,[3]!players[hero_name],B1420)</f>
        <v>481</v>
      </c>
    </row>
    <row r="1421" spans="1:8" x14ac:dyDescent="0.3">
      <c r="A1421" t="str">
        <v>pamplona</v>
      </c>
      <c r="B1421" t="str">
        <v>Hoodwink</v>
      </c>
      <c r="C1421" t="str" cm="1">
        <f t="array" ref="C1421">_xlfn.XLOOKUP(1,([3]!players[name]=A1421)*([3]!players[hero_name]=B1421),[3]!players[lane_name])</f>
        <v>Hard Support</v>
      </c>
      <c r="D1421">
        <f>COUNTIFS([3]!players[name],A1421,[3]!players[hero_name],B1421)</f>
        <v>1</v>
      </c>
      <c r="E1421">
        <f>COUNTIFS([3]!players[name],A1421,[3]!players[hero_name],B1421, [3]!players[win], 1)</f>
        <v>0</v>
      </c>
      <c r="F1421" s="1">
        <f t="shared" si="22"/>
        <v>0</v>
      </c>
      <c r="G1421" s="2">
        <f>AVERAGEIFS([3]!players[gold_per_min], [3]!players[name],A1421,[3]!players[hero_name],B1421)</f>
        <v>248</v>
      </c>
      <c r="H1421" s="2">
        <f>AVERAGEIFS([3]!players[xp_per_min], [3]!players[name],A1421,[3]!players[hero_name],B1421)</f>
        <v>275</v>
      </c>
    </row>
    <row r="1422" spans="1:8" x14ac:dyDescent="0.3">
      <c r="A1422" t="str">
        <v>Panda</v>
      </c>
      <c r="B1422" t="str">
        <v>Keeper of the Light</v>
      </c>
      <c r="C1422" t="str" cm="1">
        <f t="array" ref="C1422">_xlfn.XLOOKUP(1,([3]!players[name]=A1422)*([3]!players[hero_name]=B1422),[3]!players[lane_name])</f>
        <v>Mid</v>
      </c>
      <c r="D1422">
        <f>COUNTIFS([3]!players[name],A1422,[3]!players[hero_name],B1422)</f>
        <v>2</v>
      </c>
      <c r="E1422">
        <f>COUNTIFS([3]!players[name],A1422,[3]!players[hero_name],B1422, [3]!players[win], 1)</f>
        <v>0</v>
      </c>
      <c r="F1422" s="1">
        <f t="shared" si="22"/>
        <v>0</v>
      </c>
      <c r="G1422" s="2">
        <f>AVERAGEIFS([3]!players[gold_per_min], [3]!players[name],A1422,[3]!players[hero_name],B1422)</f>
        <v>582.5</v>
      </c>
      <c r="H1422" s="2">
        <f>AVERAGEIFS([3]!players[xp_per_min], [3]!players[name],A1422,[3]!players[hero_name],B1422)</f>
        <v>598</v>
      </c>
    </row>
    <row r="1423" spans="1:8" x14ac:dyDescent="0.3">
      <c r="A1423" t="str">
        <v>Panda</v>
      </c>
      <c r="B1423" t="str">
        <v>Beastmaster</v>
      </c>
      <c r="C1423" t="str" cm="1">
        <f t="array" ref="C1423">_xlfn.XLOOKUP(1,([3]!players[name]=A1423)*([3]!players[hero_name]=B1423),[3]!players[lane_name])</f>
        <v>Mid</v>
      </c>
      <c r="D1423">
        <f>COUNTIFS([3]!players[name],A1423,[3]!players[hero_name],B1423)</f>
        <v>3</v>
      </c>
      <c r="E1423">
        <f>COUNTIFS([3]!players[name],A1423,[3]!players[hero_name],B1423, [3]!players[win], 1)</f>
        <v>0</v>
      </c>
      <c r="F1423" s="1">
        <f t="shared" si="22"/>
        <v>0</v>
      </c>
      <c r="G1423" s="2">
        <f>AVERAGEIFS([3]!players[gold_per_min], [3]!players[name],A1423,[3]!players[hero_name],B1423)</f>
        <v>589.33333333333337</v>
      </c>
      <c r="H1423" s="2">
        <f>AVERAGEIFS([3]!players[xp_per_min], [3]!players[name],A1423,[3]!players[hero_name],B1423)</f>
        <v>743.66666666666663</v>
      </c>
    </row>
    <row r="1424" spans="1:8" x14ac:dyDescent="0.3">
      <c r="A1424" t="str">
        <v>Panda</v>
      </c>
      <c r="B1424" t="str">
        <v>Puck</v>
      </c>
      <c r="C1424" t="str" cm="1">
        <f t="array" ref="C1424">_xlfn.XLOOKUP(1,([3]!players[name]=A1424)*([3]!players[hero_name]=B1424),[3]!players[lane_name])</f>
        <v>Mid</v>
      </c>
      <c r="D1424">
        <f>COUNTIFS([3]!players[name],A1424,[3]!players[hero_name],B1424)</f>
        <v>5</v>
      </c>
      <c r="E1424">
        <f>COUNTIFS([3]!players[name],A1424,[3]!players[hero_name],B1424, [3]!players[win], 1)</f>
        <v>3</v>
      </c>
      <c r="F1424" s="1">
        <f t="shared" si="22"/>
        <v>0.6</v>
      </c>
      <c r="G1424" s="2">
        <f>AVERAGEIFS([3]!players[gold_per_min], [3]!players[name],A1424,[3]!players[hero_name],B1424)</f>
        <v>613.4</v>
      </c>
      <c r="H1424" s="2">
        <f>AVERAGEIFS([3]!players[xp_per_min], [3]!players[name],A1424,[3]!players[hero_name],B1424)</f>
        <v>774.4</v>
      </c>
    </row>
    <row r="1425" spans="1:8" x14ac:dyDescent="0.3">
      <c r="A1425" t="str">
        <v>Panda</v>
      </c>
      <c r="B1425" t="str">
        <v>Queen of Pain</v>
      </c>
      <c r="C1425" t="str" cm="1">
        <f t="array" ref="C1425">_xlfn.XLOOKUP(1,([3]!players[name]=A1425)*([3]!players[hero_name]=B1425),[3]!players[lane_name])</f>
        <v>Mid</v>
      </c>
      <c r="D1425">
        <f>COUNTIFS([3]!players[name],A1425,[3]!players[hero_name],B1425)</f>
        <v>5</v>
      </c>
      <c r="E1425">
        <f>COUNTIFS([3]!players[name],A1425,[3]!players[hero_name],B1425, [3]!players[win], 1)</f>
        <v>2</v>
      </c>
      <c r="F1425" s="1">
        <f t="shared" si="22"/>
        <v>0.4</v>
      </c>
      <c r="G1425" s="2">
        <f>AVERAGEIFS([3]!players[gold_per_min], [3]!players[name],A1425,[3]!players[hero_name],B1425)</f>
        <v>628.6</v>
      </c>
      <c r="H1425" s="2">
        <f>AVERAGEIFS([3]!players[xp_per_min], [3]!players[name],A1425,[3]!players[hero_name],B1425)</f>
        <v>786.2</v>
      </c>
    </row>
    <row r="1426" spans="1:8" x14ac:dyDescent="0.3">
      <c r="A1426" t="str">
        <v>Panda</v>
      </c>
      <c r="B1426" t="str">
        <v>Huskar</v>
      </c>
      <c r="C1426" t="str" cm="1">
        <f t="array" ref="C1426">_xlfn.XLOOKUP(1,([3]!players[name]=A1426)*([3]!players[hero_name]=B1426),[3]!players[lane_name])</f>
        <v>Mid</v>
      </c>
      <c r="D1426">
        <f>COUNTIFS([3]!players[name],A1426,[3]!players[hero_name],B1426)</f>
        <v>11</v>
      </c>
      <c r="E1426">
        <f>COUNTIFS([3]!players[name],A1426,[3]!players[hero_name],B1426, [3]!players[win], 1)</f>
        <v>7</v>
      </c>
      <c r="F1426" s="1">
        <f t="shared" si="22"/>
        <v>0.63636363636363635</v>
      </c>
      <c r="G1426" s="2">
        <f>AVERAGEIFS([3]!players[gold_per_min], [3]!players[name],A1426,[3]!players[hero_name],B1426)</f>
        <v>600.5454545454545</v>
      </c>
      <c r="H1426" s="2">
        <f>AVERAGEIFS([3]!players[xp_per_min], [3]!players[name],A1426,[3]!players[hero_name],B1426)</f>
        <v>744.09090909090912</v>
      </c>
    </row>
    <row r="1427" spans="1:8" x14ac:dyDescent="0.3">
      <c r="A1427" t="str">
        <v>Panda</v>
      </c>
      <c r="B1427" t="str">
        <v>Ember Spirit</v>
      </c>
      <c r="C1427" t="str" cm="1">
        <f t="array" ref="C1427">_xlfn.XLOOKUP(1,([3]!players[name]=A1427)*([3]!players[hero_name]=B1427),[3]!players[lane_name])</f>
        <v>Mid</v>
      </c>
      <c r="D1427">
        <f>COUNTIFS([3]!players[name],A1427,[3]!players[hero_name],B1427)</f>
        <v>3</v>
      </c>
      <c r="E1427">
        <f>COUNTIFS([3]!players[name],A1427,[3]!players[hero_name],B1427, [3]!players[win], 1)</f>
        <v>1</v>
      </c>
      <c r="F1427" s="1">
        <f t="shared" si="22"/>
        <v>0.33333333333333331</v>
      </c>
      <c r="G1427" s="2">
        <f>AVERAGEIFS([3]!players[gold_per_min], [3]!players[name],A1427,[3]!players[hero_name],B1427)</f>
        <v>564.33333333333337</v>
      </c>
      <c r="H1427" s="2">
        <f>AVERAGEIFS([3]!players[xp_per_min], [3]!players[name],A1427,[3]!players[hero_name],B1427)</f>
        <v>757</v>
      </c>
    </row>
    <row r="1428" spans="1:8" x14ac:dyDescent="0.3">
      <c r="A1428" t="str">
        <v>Panda</v>
      </c>
      <c r="B1428" t="str">
        <v>Meepo</v>
      </c>
      <c r="C1428" t="str" cm="1">
        <f t="array" ref="C1428">_xlfn.XLOOKUP(1,([3]!players[name]=A1428)*([3]!players[hero_name]=B1428),[3]!players[lane_name])</f>
        <v>Mid</v>
      </c>
      <c r="D1428">
        <f>COUNTIFS([3]!players[name],A1428,[3]!players[hero_name],B1428)</f>
        <v>1</v>
      </c>
      <c r="E1428">
        <f>COUNTIFS([3]!players[name],A1428,[3]!players[hero_name],B1428, [3]!players[win], 1)</f>
        <v>0</v>
      </c>
      <c r="F1428" s="1">
        <f t="shared" si="22"/>
        <v>0</v>
      </c>
      <c r="G1428" s="2">
        <f>AVERAGEIFS([3]!players[gold_per_min], [3]!players[name],A1428,[3]!players[hero_name],B1428)</f>
        <v>485</v>
      </c>
      <c r="H1428" s="2">
        <f>AVERAGEIFS([3]!players[xp_per_min], [3]!players[name],A1428,[3]!players[hero_name],B1428)</f>
        <v>629</v>
      </c>
    </row>
    <row r="1429" spans="1:8" x14ac:dyDescent="0.3">
      <c r="A1429" t="str">
        <v>Panda</v>
      </c>
      <c r="B1429" t="str">
        <v>Storm Spirit</v>
      </c>
      <c r="C1429" t="str" cm="1">
        <f t="array" ref="C1429">_xlfn.XLOOKUP(1,([3]!players[name]=A1429)*([3]!players[hero_name]=B1429),[3]!players[lane_name])</f>
        <v>Mid</v>
      </c>
      <c r="D1429">
        <f>COUNTIFS([3]!players[name],A1429,[3]!players[hero_name],B1429)</f>
        <v>3</v>
      </c>
      <c r="E1429">
        <f>COUNTIFS([3]!players[name],A1429,[3]!players[hero_name],B1429, [3]!players[win], 1)</f>
        <v>2</v>
      </c>
      <c r="F1429" s="1">
        <f t="shared" si="22"/>
        <v>0.66666666666666663</v>
      </c>
      <c r="G1429" s="2">
        <f>AVERAGEIFS([3]!players[gold_per_min], [3]!players[name],A1429,[3]!players[hero_name],B1429)</f>
        <v>592</v>
      </c>
      <c r="H1429" s="2">
        <f>AVERAGEIFS([3]!players[xp_per_min], [3]!players[name],A1429,[3]!players[hero_name],B1429)</f>
        <v>709</v>
      </c>
    </row>
    <row r="1430" spans="1:8" x14ac:dyDescent="0.3">
      <c r="A1430" t="str">
        <v>Panda</v>
      </c>
      <c r="B1430" t="str">
        <v>Sand King</v>
      </c>
      <c r="C1430" t="str" cm="1">
        <f t="array" ref="C1430">_xlfn.XLOOKUP(1,([3]!players[name]=A1430)*([3]!players[hero_name]=B1430),[3]!players[lane_name])</f>
        <v>Mid</v>
      </c>
      <c r="D1430">
        <f>COUNTIFS([3]!players[name],A1430,[3]!players[hero_name],B1430)</f>
        <v>7</v>
      </c>
      <c r="E1430">
        <f>COUNTIFS([3]!players[name],A1430,[3]!players[hero_name],B1430, [3]!players[win], 1)</f>
        <v>3</v>
      </c>
      <c r="F1430" s="1">
        <f t="shared" si="22"/>
        <v>0.42857142857142855</v>
      </c>
      <c r="G1430" s="2">
        <f>AVERAGEIFS([3]!players[gold_per_min], [3]!players[name],A1430,[3]!players[hero_name],B1430)</f>
        <v>536.71428571428567</v>
      </c>
      <c r="H1430" s="2">
        <f>AVERAGEIFS([3]!players[xp_per_min], [3]!players[name],A1430,[3]!players[hero_name],B1430)</f>
        <v>698.14285714285711</v>
      </c>
    </row>
    <row r="1431" spans="1:8" x14ac:dyDescent="0.3">
      <c r="A1431" t="str">
        <v>Panda</v>
      </c>
      <c r="B1431" t="str">
        <v>Invoker</v>
      </c>
      <c r="C1431" t="str" cm="1">
        <f t="array" ref="C1431">_xlfn.XLOOKUP(1,([3]!players[name]=A1431)*([3]!players[hero_name]=B1431),[3]!players[lane_name])</f>
        <v>Mid</v>
      </c>
      <c r="D1431">
        <f>COUNTIFS([3]!players[name],A1431,[3]!players[hero_name],B1431)</f>
        <v>2</v>
      </c>
      <c r="E1431">
        <f>COUNTIFS([3]!players[name],A1431,[3]!players[hero_name],B1431, [3]!players[win], 1)</f>
        <v>0</v>
      </c>
      <c r="F1431" s="1">
        <f t="shared" si="22"/>
        <v>0</v>
      </c>
      <c r="G1431" s="2">
        <f>AVERAGEIFS([3]!players[gold_per_min], [3]!players[name],A1431,[3]!players[hero_name],B1431)</f>
        <v>491.5</v>
      </c>
      <c r="H1431" s="2">
        <f>AVERAGEIFS([3]!players[xp_per_min], [3]!players[name],A1431,[3]!players[hero_name],B1431)</f>
        <v>506.5</v>
      </c>
    </row>
    <row r="1432" spans="1:8" x14ac:dyDescent="0.3">
      <c r="A1432" t="str">
        <v>Panda</v>
      </c>
      <c r="B1432" t="str">
        <v>Tiny</v>
      </c>
      <c r="C1432" t="str" cm="1">
        <f t="array" ref="C1432">_xlfn.XLOOKUP(1,([3]!players[name]=A1432)*([3]!players[hero_name]=B1432),[3]!players[lane_name])</f>
        <v>Mid</v>
      </c>
      <c r="D1432">
        <f>COUNTIFS([3]!players[name],A1432,[3]!players[hero_name],B1432)</f>
        <v>2</v>
      </c>
      <c r="E1432">
        <f>COUNTIFS([3]!players[name],A1432,[3]!players[hero_name],B1432, [3]!players[win], 1)</f>
        <v>0</v>
      </c>
      <c r="F1432" s="1">
        <f t="shared" si="22"/>
        <v>0</v>
      </c>
      <c r="G1432" s="2">
        <f>AVERAGEIFS([3]!players[gold_per_min], [3]!players[name],A1432,[3]!players[hero_name],B1432)</f>
        <v>347</v>
      </c>
      <c r="H1432" s="2">
        <f>AVERAGEIFS([3]!players[xp_per_min], [3]!players[name],A1432,[3]!players[hero_name],B1432)</f>
        <v>429</v>
      </c>
    </row>
    <row r="1433" spans="1:8" x14ac:dyDescent="0.3">
      <c r="A1433" t="str">
        <v>Panda</v>
      </c>
      <c r="B1433" t="str">
        <v>Slardar</v>
      </c>
      <c r="C1433" t="str" cm="1">
        <f t="array" ref="C1433">_xlfn.XLOOKUP(1,([3]!players[name]=A1433)*([3]!players[hero_name]=B1433),[3]!players[lane_name])</f>
        <v>Mid</v>
      </c>
      <c r="D1433">
        <f>COUNTIFS([3]!players[name],A1433,[3]!players[hero_name],B1433)</f>
        <v>1</v>
      </c>
      <c r="E1433">
        <f>COUNTIFS([3]!players[name],A1433,[3]!players[hero_name],B1433, [3]!players[win], 1)</f>
        <v>0</v>
      </c>
      <c r="F1433" s="1">
        <f t="shared" si="22"/>
        <v>0</v>
      </c>
      <c r="G1433" s="2">
        <f>AVERAGEIFS([3]!players[gold_per_min], [3]!players[name],A1433,[3]!players[hero_name],B1433)</f>
        <v>424</v>
      </c>
      <c r="H1433" s="2">
        <f>AVERAGEIFS([3]!players[xp_per_min], [3]!players[name],A1433,[3]!players[hero_name],B1433)</f>
        <v>539</v>
      </c>
    </row>
    <row r="1434" spans="1:8" x14ac:dyDescent="0.3">
      <c r="A1434" t="str">
        <v>Panda</v>
      </c>
      <c r="B1434" t="str">
        <v>Void Spirit</v>
      </c>
      <c r="C1434" t="str" cm="1">
        <f t="array" ref="C1434">_xlfn.XLOOKUP(1,([3]!players[name]=A1434)*([3]!players[hero_name]=B1434),[3]!players[lane_name])</f>
        <v>Mid</v>
      </c>
      <c r="D1434">
        <f>COUNTIFS([3]!players[name],A1434,[3]!players[hero_name],B1434)</f>
        <v>2</v>
      </c>
      <c r="E1434">
        <f>COUNTIFS([3]!players[name],A1434,[3]!players[hero_name],B1434, [3]!players[win], 1)</f>
        <v>0</v>
      </c>
      <c r="F1434" s="1">
        <f t="shared" si="22"/>
        <v>0</v>
      </c>
      <c r="G1434" s="2">
        <f>AVERAGEIFS([3]!players[gold_per_min], [3]!players[name],A1434,[3]!players[hero_name],B1434)</f>
        <v>477.5</v>
      </c>
      <c r="H1434" s="2">
        <f>AVERAGEIFS([3]!players[xp_per_min], [3]!players[name],A1434,[3]!players[hero_name],B1434)</f>
        <v>558.5</v>
      </c>
    </row>
    <row r="1435" spans="1:8" x14ac:dyDescent="0.3">
      <c r="A1435" t="str">
        <v>panto</v>
      </c>
      <c r="B1435" t="str">
        <v>Rubick</v>
      </c>
      <c r="C1435" t="str" cm="1">
        <f t="array" ref="C1435">_xlfn.XLOOKUP(1,([3]!players[name]=A1435)*([3]!players[hero_name]=B1435),[3]!players[lane_name])</f>
        <v>Hard Support</v>
      </c>
      <c r="D1435">
        <f>COUNTIFS([3]!players[name],A1435,[3]!players[hero_name],B1435)</f>
        <v>2</v>
      </c>
      <c r="E1435">
        <f>COUNTIFS([3]!players[name],A1435,[3]!players[hero_name],B1435, [3]!players[win], 1)</f>
        <v>1</v>
      </c>
      <c r="F1435" s="1">
        <f t="shared" si="22"/>
        <v>0.5</v>
      </c>
      <c r="G1435" s="2">
        <f>AVERAGEIFS([3]!players[gold_per_min], [3]!players[name],A1435,[3]!players[hero_name],B1435)</f>
        <v>405.5</v>
      </c>
      <c r="H1435" s="2">
        <f>AVERAGEIFS([3]!players[xp_per_min], [3]!players[name],A1435,[3]!players[hero_name],B1435)</f>
        <v>703</v>
      </c>
    </row>
    <row r="1436" spans="1:8" x14ac:dyDescent="0.3">
      <c r="A1436" t="str">
        <v>panto</v>
      </c>
      <c r="B1436" t="str">
        <v>Oracle</v>
      </c>
      <c r="C1436" t="str" cm="1">
        <f t="array" ref="C1436">_xlfn.XLOOKUP(1,([3]!players[name]=A1436)*([3]!players[hero_name]=B1436),[3]!players[lane_name])</f>
        <v>Hard Support</v>
      </c>
      <c r="D1436">
        <f>COUNTIFS([3]!players[name],A1436,[3]!players[hero_name],B1436)</f>
        <v>1</v>
      </c>
      <c r="E1436">
        <f>COUNTIFS([3]!players[name],A1436,[3]!players[hero_name],B1436, [3]!players[win], 1)</f>
        <v>0</v>
      </c>
      <c r="F1436" s="1">
        <f t="shared" si="22"/>
        <v>0</v>
      </c>
      <c r="G1436" s="2">
        <f>AVERAGEIFS([3]!players[gold_per_min], [3]!players[name],A1436,[3]!players[hero_name],B1436)</f>
        <v>264</v>
      </c>
      <c r="H1436" s="2">
        <f>AVERAGEIFS([3]!players[xp_per_min], [3]!players[name],A1436,[3]!players[hero_name],B1436)</f>
        <v>348</v>
      </c>
    </row>
    <row r="1437" spans="1:8" x14ac:dyDescent="0.3">
      <c r="A1437" t="str">
        <v>panto</v>
      </c>
      <c r="B1437" t="str">
        <v>Treant Protector</v>
      </c>
      <c r="C1437" t="str" cm="1">
        <f t="array" ref="C1437">_xlfn.XLOOKUP(1,([3]!players[name]=A1437)*([3]!players[hero_name]=B1437),[3]!players[lane_name])</f>
        <v>Hard Support</v>
      </c>
      <c r="D1437">
        <f>COUNTIFS([3]!players[name],A1437,[3]!players[hero_name],B1437)</f>
        <v>3</v>
      </c>
      <c r="E1437">
        <f>COUNTIFS([3]!players[name],A1437,[3]!players[hero_name],B1437, [3]!players[win], 1)</f>
        <v>1</v>
      </c>
      <c r="F1437" s="1">
        <f t="shared" si="22"/>
        <v>0.33333333333333331</v>
      </c>
      <c r="G1437" s="2">
        <f>AVERAGEIFS([3]!players[gold_per_min], [3]!players[name],A1437,[3]!players[hero_name],B1437)</f>
        <v>307</v>
      </c>
      <c r="H1437" s="2">
        <f>AVERAGEIFS([3]!players[xp_per_min], [3]!players[name],A1437,[3]!players[hero_name],B1437)</f>
        <v>379.33333333333331</v>
      </c>
    </row>
    <row r="1438" spans="1:8" x14ac:dyDescent="0.3">
      <c r="A1438" t="str">
        <v>panto</v>
      </c>
      <c r="B1438" t="str">
        <v>Tusk</v>
      </c>
      <c r="C1438" t="str" cm="1">
        <f t="array" ref="C1438">_xlfn.XLOOKUP(1,([3]!players[name]=A1438)*([3]!players[hero_name]=B1438),[3]!players[lane_name])</f>
        <v>Hard Support</v>
      </c>
      <c r="D1438">
        <f>COUNTIFS([3]!players[name],A1438,[3]!players[hero_name],B1438)</f>
        <v>3</v>
      </c>
      <c r="E1438">
        <f>COUNTIFS([3]!players[name],A1438,[3]!players[hero_name],B1438, [3]!players[win], 1)</f>
        <v>1</v>
      </c>
      <c r="F1438" s="1">
        <f t="shared" si="22"/>
        <v>0.33333333333333331</v>
      </c>
      <c r="G1438" s="2">
        <f>AVERAGEIFS([3]!players[gold_per_min], [3]!players[name],A1438,[3]!players[hero_name],B1438)</f>
        <v>289.33333333333331</v>
      </c>
      <c r="H1438" s="2">
        <f>AVERAGEIFS([3]!players[xp_per_min], [3]!players[name],A1438,[3]!players[hero_name],B1438)</f>
        <v>404.66666666666669</v>
      </c>
    </row>
    <row r="1439" spans="1:8" x14ac:dyDescent="0.3">
      <c r="A1439" t="str">
        <v>panto</v>
      </c>
      <c r="B1439" t="str">
        <v>Pugna</v>
      </c>
      <c r="C1439" t="str" cm="1">
        <f t="array" ref="C1439">_xlfn.XLOOKUP(1,([3]!players[name]=A1439)*([3]!players[hero_name]=B1439),[3]!players[lane_name])</f>
        <v>Soft Support</v>
      </c>
      <c r="D1439">
        <f>COUNTIFS([3]!players[name],A1439,[3]!players[hero_name],B1439)</f>
        <v>1</v>
      </c>
      <c r="E1439">
        <f>COUNTIFS([3]!players[name],A1439,[3]!players[hero_name],B1439, [3]!players[win], 1)</f>
        <v>0</v>
      </c>
      <c r="F1439" s="1">
        <f t="shared" si="22"/>
        <v>0</v>
      </c>
      <c r="G1439" s="2">
        <f>AVERAGEIFS([3]!players[gold_per_min], [3]!players[name],A1439,[3]!players[hero_name],B1439)</f>
        <v>275</v>
      </c>
      <c r="H1439" s="2">
        <f>AVERAGEIFS([3]!players[xp_per_min], [3]!players[name],A1439,[3]!players[hero_name],B1439)</f>
        <v>384</v>
      </c>
    </row>
    <row r="1440" spans="1:8" x14ac:dyDescent="0.3">
      <c r="A1440" t="str">
        <v>panto</v>
      </c>
      <c r="B1440" t="str">
        <v>Enchantress</v>
      </c>
      <c r="C1440" t="str" cm="1">
        <f t="array" ref="C1440">_xlfn.XLOOKUP(1,([3]!players[name]=A1440)*([3]!players[hero_name]=B1440),[3]!players[lane_name])</f>
        <v>Hard Support</v>
      </c>
      <c r="D1440">
        <f>COUNTIFS([3]!players[name],A1440,[3]!players[hero_name],B1440)</f>
        <v>1</v>
      </c>
      <c r="E1440">
        <f>COUNTIFS([3]!players[name],A1440,[3]!players[hero_name],B1440, [3]!players[win], 1)</f>
        <v>1</v>
      </c>
      <c r="F1440" s="1">
        <f t="shared" si="22"/>
        <v>1</v>
      </c>
      <c r="G1440" s="2">
        <f>AVERAGEIFS([3]!players[gold_per_min], [3]!players[name],A1440,[3]!players[hero_name],B1440)</f>
        <v>453</v>
      </c>
      <c r="H1440" s="2">
        <f>AVERAGEIFS([3]!players[xp_per_min], [3]!players[name],A1440,[3]!players[hero_name],B1440)</f>
        <v>690</v>
      </c>
    </row>
    <row r="1441" spans="1:8" x14ac:dyDescent="0.3">
      <c r="A1441" t="str">
        <v>panto</v>
      </c>
      <c r="B1441" t="str">
        <v>Hoodwink</v>
      </c>
      <c r="C1441" t="str" cm="1">
        <f t="array" ref="C1441">_xlfn.XLOOKUP(1,([3]!players[name]=A1441)*([3]!players[hero_name]=B1441),[3]!players[lane_name])</f>
        <v>Soft Support</v>
      </c>
      <c r="D1441">
        <f>COUNTIFS([3]!players[name],A1441,[3]!players[hero_name],B1441)</f>
        <v>1</v>
      </c>
      <c r="E1441">
        <f>COUNTIFS([3]!players[name],A1441,[3]!players[hero_name],B1441, [3]!players[win], 1)</f>
        <v>1</v>
      </c>
      <c r="F1441" s="1">
        <f t="shared" si="22"/>
        <v>1</v>
      </c>
      <c r="G1441" s="2">
        <f>AVERAGEIFS([3]!players[gold_per_min], [3]!players[name],A1441,[3]!players[hero_name],B1441)</f>
        <v>403</v>
      </c>
      <c r="H1441" s="2">
        <f>AVERAGEIFS([3]!players[xp_per_min], [3]!players[name],A1441,[3]!players[hero_name],B1441)</f>
        <v>498</v>
      </c>
    </row>
    <row r="1442" spans="1:8" x14ac:dyDescent="0.3">
      <c r="A1442" t="str">
        <v>panto</v>
      </c>
      <c r="B1442" t="str">
        <v>Phoenix</v>
      </c>
      <c r="C1442" t="str" cm="1">
        <f t="array" ref="C1442">_xlfn.XLOOKUP(1,([3]!players[name]=A1442)*([3]!players[hero_name]=B1442),[3]!players[lane_name])</f>
        <v>Soft Support</v>
      </c>
      <c r="D1442">
        <f>COUNTIFS([3]!players[name],A1442,[3]!players[hero_name],B1442)</f>
        <v>2</v>
      </c>
      <c r="E1442">
        <f>COUNTIFS([3]!players[name],A1442,[3]!players[hero_name],B1442, [3]!players[win], 1)</f>
        <v>0</v>
      </c>
      <c r="F1442" s="1">
        <f t="shared" si="22"/>
        <v>0</v>
      </c>
      <c r="G1442" s="2">
        <f>AVERAGEIFS([3]!players[gold_per_min], [3]!players[name],A1442,[3]!players[hero_name],B1442)</f>
        <v>335.5</v>
      </c>
      <c r="H1442" s="2">
        <f>AVERAGEIFS([3]!players[xp_per_min], [3]!players[name],A1442,[3]!players[hero_name],B1442)</f>
        <v>455</v>
      </c>
    </row>
    <row r="1443" spans="1:8" x14ac:dyDescent="0.3">
      <c r="A1443" t="str">
        <v>panto</v>
      </c>
      <c r="B1443" t="str">
        <v>Techies</v>
      </c>
      <c r="C1443" t="str" cm="1">
        <f t="array" ref="C1443">_xlfn.XLOOKUP(1,([3]!players[name]=A1443)*([3]!players[hero_name]=B1443),[3]!players[lane_name])</f>
        <v>Soft Support</v>
      </c>
      <c r="D1443">
        <f>COUNTIFS([3]!players[name],A1443,[3]!players[hero_name],B1443)</f>
        <v>1</v>
      </c>
      <c r="E1443">
        <f>COUNTIFS([3]!players[name],A1443,[3]!players[hero_name],B1443, [3]!players[win], 1)</f>
        <v>0</v>
      </c>
      <c r="F1443" s="1">
        <f t="shared" si="22"/>
        <v>0</v>
      </c>
      <c r="G1443" s="2">
        <f>AVERAGEIFS([3]!players[gold_per_min], [3]!players[name],A1443,[3]!players[hero_name],B1443)</f>
        <v>346</v>
      </c>
      <c r="H1443" s="2">
        <f>AVERAGEIFS([3]!players[xp_per_min], [3]!players[name],A1443,[3]!players[hero_name],B1443)</f>
        <v>474</v>
      </c>
    </row>
    <row r="1444" spans="1:8" x14ac:dyDescent="0.3">
      <c r="A1444" t="str">
        <v>panto</v>
      </c>
      <c r="B1444" t="str">
        <v>Silencer</v>
      </c>
      <c r="C1444" t="str" cm="1">
        <f t="array" ref="C1444">_xlfn.XLOOKUP(1,([3]!players[name]=A1444)*([3]!players[hero_name]=B1444),[3]!players[lane_name])</f>
        <v>Hard Support</v>
      </c>
      <c r="D1444">
        <f>COUNTIFS([3]!players[name],A1444,[3]!players[hero_name],B1444)</f>
        <v>7</v>
      </c>
      <c r="E1444">
        <f>COUNTIFS([3]!players[name],A1444,[3]!players[hero_name],B1444, [3]!players[win], 1)</f>
        <v>4</v>
      </c>
      <c r="F1444" s="1">
        <f t="shared" si="22"/>
        <v>0.5714285714285714</v>
      </c>
      <c r="G1444" s="2">
        <f>AVERAGEIFS([3]!players[gold_per_min], [3]!players[name],A1444,[3]!players[hero_name],B1444)</f>
        <v>304.57142857142856</v>
      </c>
      <c r="H1444" s="2">
        <f>AVERAGEIFS([3]!players[xp_per_min], [3]!players[name],A1444,[3]!players[hero_name],B1444)</f>
        <v>429.14285714285717</v>
      </c>
    </row>
    <row r="1445" spans="1:8" x14ac:dyDescent="0.3">
      <c r="A1445" t="str">
        <v>panto</v>
      </c>
      <c r="B1445" t="str">
        <v>Bane</v>
      </c>
      <c r="C1445" t="str" cm="1">
        <f t="array" ref="C1445">_xlfn.XLOOKUP(1,([3]!players[name]=A1445)*([3]!players[hero_name]=B1445),[3]!players[lane_name])</f>
        <v>Hard Support</v>
      </c>
      <c r="D1445">
        <f>COUNTIFS([3]!players[name],A1445,[3]!players[hero_name],B1445)</f>
        <v>1</v>
      </c>
      <c r="E1445">
        <f>COUNTIFS([3]!players[name],A1445,[3]!players[hero_name],B1445, [3]!players[win], 1)</f>
        <v>0</v>
      </c>
      <c r="F1445" s="1">
        <f t="shared" si="22"/>
        <v>0</v>
      </c>
      <c r="G1445" s="2">
        <f>AVERAGEIFS([3]!players[gold_per_min], [3]!players[name],A1445,[3]!players[hero_name],B1445)</f>
        <v>226</v>
      </c>
      <c r="H1445" s="2">
        <f>AVERAGEIFS([3]!players[xp_per_min], [3]!players[name],A1445,[3]!players[hero_name],B1445)</f>
        <v>300</v>
      </c>
    </row>
    <row r="1446" spans="1:8" x14ac:dyDescent="0.3">
      <c r="A1446" t="str">
        <v>payk</v>
      </c>
      <c r="B1446" t="str">
        <v>Tiny</v>
      </c>
      <c r="C1446" t="str" cm="1">
        <f t="array" ref="C1446">_xlfn.XLOOKUP(1,([3]!players[name]=A1446)*([3]!players[hero_name]=B1446),[3]!players[lane_name])</f>
        <v>Carry</v>
      </c>
      <c r="D1446">
        <f>COUNTIFS([3]!players[name],A1446,[3]!players[hero_name],B1446)</f>
        <v>10</v>
      </c>
      <c r="E1446">
        <f>COUNTIFS([3]!players[name],A1446,[3]!players[hero_name],B1446, [3]!players[win], 1)</f>
        <v>7</v>
      </c>
      <c r="F1446" s="1">
        <f t="shared" si="22"/>
        <v>0.7</v>
      </c>
      <c r="G1446" s="2">
        <f>AVERAGEIFS([3]!players[gold_per_min], [3]!players[name],A1446,[3]!players[hero_name],B1446)</f>
        <v>692.7</v>
      </c>
      <c r="H1446" s="2">
        <f>AVERAGEIFS([3]!players[xp_per_min], [3]!players[name],A1446,[3]!players[hero_name],B1446)</f>
        <v>868</v>
      </c>
    </row>
    <row r="1447" spans="1:8" x14ac:dyDescent="0.3">
      <c r="A1447" t="str">
        <v>payk</v>
      </c>
      <c r="B1447" t="str">
        <v>Luna</v>
      </c>
      <c r="C1447" t="str" cm="1">
        <f t="array" ref="C1447">_xlfn.XLOOKUP(1,([3]!players[name]=A1447)*([3]!players[hero_name]=B1447),[3]!players[lane_name])</f>
        <v>Carry</v>
      </c>
      <c r="D1447">
        <f>COUNTIFS([3]!players[name],A1447,[3]!players[hero_name],B1447)</f>
        <v>2</v>
      </c>
      <c r="E1447">
        <f>COUNTIFS([3]!players[name],A1447,[3]!players[hero_name],B1447, [3]!players[win], 1)</f>
        <v>0</v>
      </c>
      <c r="F1447" s="1">
        <f t="shared" si="22"/>
        <v>0</v>
      </c>
      <c r="G1447" s="2">
        <f>AVERAGEIFS([3]!players[gold_per_min], [3]!players[name],A1447,[3]!players[hero_name],B1447)</f>
        <v>610</v>
      </c>
      <c r="H1447" s="2">
        <f>AVERAGEIFS([3]!players[xp_per_min], [3]!players[name],A1447,[3]!players[hero_name],B1447)</f>
        <v>679.5</v>
      </c>
    </row>
    <row r="1448" spans="1:8" x14ac:dyDescent="0.3">
      <c r="A1448" t="str">
        <v>payk</v>
      </c>
      <c r="B1448" t="str">
        <v>Doom</v>
      </c>
      <c r="C1448" t="str" cm="1">
        <f t="array" ref="C1448">_xlfn.XLOOKUP(1,([3]!players[name]=A1448)*([3]!players[hero_name]=B1448),[3]!players[lane_name])</f>
        <v>Carry</v>
      </c>
      <c r="D1448">
        <f>COUNTIFS([3]!players[name],A1448,[3]!players[hero_name],B1448)</f>
        <v>3</v>
      </c>
      <c r="E1448">
        <f>COUNTIFS([3]!players[name],A1448,[3]!players[hero_name],B1448, [3]!players[win], 1)</f>
        <v>2</v>
      </c>
      <c r="F1448" s="1">
        <f t="shared" si="22"/>
        <v>0.66666666666666663</v>
      </c>
      <c r="G1448" s="2">
        <f>AVERAGEIFS([3]!players[gold_per_min], [3]!players[name],A1448,[3]!players[hero_name],B1448)</f>
        <v>710.66666666666663</v>
      </c>
      <c r="H1448" s="2">
        <f>AVERAGEIFS([3]!players[xp_per_min], [3]!players[name],A1448,[3]!players[hero_name],B1448)</f>
        <v>784.66666666666663</v>
      </c>
    </row>
    <row r="1449" spans="1:8" x14ac:dyDescent="0.3">
      <c r="A1449" t="str">
        <v>payk</v>
      </c>
      <c r="B1449" t="str">
        <v>Weaver</v>
      </c>
      <c r="C1449" t="str" cm="1">
        <f t="array" ref="C1449">_xlfn.XLOOKUP(1,([3]!players[name]=A1449)*([3]!players[hero_name]=B1449),[3]!players[lane_name])</f>
        <v>Carry</v>
      </c>
      <c r="D1449">
        <f>COUNTIFS([3]!players[name],A1449,[3]!players[hero_name],B1449)</f>
        <v>1</v>
      </c>
      <c r="E1449">
        <f>COUNTIFS([3]!players[name],A1449,[3]!players[hero_name],B1449, [3]!players[win], 1)</f>
        <v>1</v>
      </c>
      <c r="F1449" s="1">
        <f t="shared" si="22"/>
        <v>1</v>
      </c>
      <c r="G1449" s="2">
        <f>AVERAGEIFS([3]!players[gold_per_min], [3]!players[name],A1449,[3]!players[hero_name],B1449)</f>
        <v>700</v>
      </c>
      <c r="H1449" s="2">
        <f>AVERAGEIFS([3]!players[xp_per_min], [3]!players[name],A1449,[3]!players[hero_name],B1449)</f>
        <v>903</v>
      </c>
    </row>
    <row r="1450" spans="1:8" x14ac:dyDescent="0.3">
      <c r="A1450" t="str">
        <v>payk</v>
      </c>
      <c r="B1450" t="str">
        <v>Muerta</v>
      </c>
      <c r="C1450" t="str" cm="1">
        <f t="array" ref="C1450">_xlfn.XLOOKUP(1,([3]!players[name]=A1450)*([3]!players[hero_name]=B1450),[3]!players[lane_name])</f>
        <v>Carry</v>
      </c>
      <c r="D1450">
        <f>COUNTIFS([3]!players[name],A1450,[3]!players[hero_name],B1450)</f>
        <v>3</v>
      </c>
      <c r="E1450">
        <f>COUNTIFS([3]!players[name],A1450,[3]!players[hero_name],B1450, [3]!players[win], 1)</f>
        <v>1</v>
      </c>
      <c r="F1450" s="1">
        <f t="shared" si="22"/>
        <v>0.33333333333333331</v>
      </c>
      <c r="G1450" s="2">
        <f>AVERAGEIFS([3]!players[gold_per_min], [3]!players[name],A1450,[3]!players[hero_name],B1450)</f>
        <v>648.33333333333337</v>
      </c>
      <c r="H1450" s="2">
        <f>AVERAGEIFS([3]!players[xp_per_min], [3]!players[name],A1450,[3]!players[hero_name],B1450)</f>
        <v>842.33333333333337</v>
      </c>
    </row>
    <row r="1451" spans="1:8" x14ac:dyDescent="0.3">
      <c r="A1451" t="str">
        <v>payk</v>
      </c>
      <c r="B1451" t="str">
        <v>Slark</v>
      </c>
      <c r="C1451" t="str" cm="1">
        <f t="array" ref="C1451">_xlfn.XLOOKUP(1,([3]!players[name]=A1451)*([3]!players[hero_name]=B1451),[3]!players[lane_name])</f>
        <v>Carry</v>
      </c>
      <c r="D1451">
        <f>COUNTIFS([3]!players[name],A1451,[3]!players[hero_name],B1451)</f>
        <v>1</v>
      </c>
      <c r="E1451">
        <f>COUNTIFS([3]!players[name],A1451,[3]!players[hero_name],B1451, [3]!players[win], 1)</f>
        <v>0</v>
      </c>
      <c r="F1451" s="1">
        <f t="shared" si="22"/>
        <v>0</v>
      </c>
      <c r="G1451" s="2">
        <f>AVERAGEIFS([3]!players[gold_per_min], [3]!players[name],A1451,[3]!players[hero_name],B1451)</f>
        <v>388</v>
      </c>
      <c r="H1451" s="2">
        <f>AVERAGEIFS([3]!players[xp_per_min], [3]!players[name],A1451,[3]!players[hero_name],B1451)</f>
        <v>423</v>
      </c>
    </row>
    <row r="1452" spans="1:8" x14ac:dyDescent="0.3">
      <c r="A1452" t="str">
        <v>payk</v>
      </c>
      <c r="B1452" t="str">
        <v>Morphling</v>
      </c>
      <c r="C1452" t="str" cm="1">
        <f t="array" ref="C1452">_xlfn.XLOOKUP(1,([3]!players[name]=A1452)*([3]!players[hero_name]=B1452),[3]!players[lane_name])</f>
        <v>Carry</v>
      </c>
      <c r="D1452">
        <f>COUNTIFS([3]!players[name],A1452,[3]!players[hero_name],B1452)</f>
        <v>1</v>
      </c>
      <c r="E1452">
        <f>COUNTIFS([3]!players[name],A1452,[3]!players[hero_name],B1452, [3]!players[win], 1)</f>
        <v>1</v>
      </c>
      <c r="F1452" s="1">
        <f t="shared" si="22"/>
        <v>1</v>
      </c>
      <c r="G1452" s="2">
        <f>AVERAGEIFS([3]!players[gold_per_min], [3]!players[name],A1452,[3]!players[hero_name],B1452)</f>
        <v>761</v>
      </c>
      <c r="H1452" s="2">
        <f>AVERAGEIFS([3]!players[xp_per_min], [3]!players[name],A1452,[3]!players[hero_name],B1452)</f>
        <v>916</v>
      </c>
    </row>
    <row r="1453" spans="1:8" x14ac:dyDescent="0.3">
      <c r="A1453" t="str">
        <v>payk</v>
      </c>
      <c r="B1453" t="str">
        <v>Faceless Void</v>
      </c>
      <c r="C1453" t="str" cm="1">
        <f t="array" ref="C1453">_xlfn.XLOOKUP(1,([3]!players[name]=A1453)*([3]!players[hero_name]=B1453),[3]!players[lane_name])</f>
        <v>Carry</v>
      </c>
      <c r="D1453">
        <f>COUNTIFS([3]!players[name],A1453,[3]!players[hero_name],B1453)</f>
        <v>1</v>
      </c>
      <c r="E1453">
        <f>COUNTIFS([3]!players[name],A1453,[3]!players[hero_name],B1453, [3]!players[win], 1)</f>
        <v>1</v>
      </c>
      <c r="F1453" s="1">
        <f t="shared" si="22"/>
        <v>1</v>
      </c>
      <c r="G1453" s="2">
        <f>AVERAGEIFS([3]!players[gold_per_min], [3]!players[name],A1453,[3]!players[hero_name],B1453)</f>
        <v>689</v>
      </c>
      <c r="H1453" s="2">
        <f>AVERAGEIFS([3]!players[xp_per_min], [3]!players[name],A1453,[3]!players[hero_name],B1453)</f>
        <v>877</v>
      </c>
    </row>
    <row r="1454" spans="1:8" x14ac:dyDescent="0.3">
      <c r="A1454" t="str">
        <v>payk</v>
      </c>
      <c r="B1454" t="str">
        <v>Nature's Prophet</v>
      </c>
      <c r="C1454" t="str" cm="1">
        <f t="array" ref="C1454">_xlfn.XLOOKUP(1,([3]!players[name]=A1454)*([3]!players[hero_name]=B1454),[3]!players[lane_name])</f>
        <v>Carry</v>
      </c>
      <c r="D1454">
        <f>COUNTIFS([3]!players[name],A1454,[3]!players[hero_name],B1454)</f>
        <v>1</v>
      </c>
      <c r="E1454">
        <f>COUNTIFS([3]!players[name],A1454,[3]!players[hero_name],B1454, [3]!players[win], 1)</f>
        <v>1</v>
      </c>
      <c r="F1454" s="1">
        <f t="shared" si="22"/>
        <v>1</v>
      </c>
      <c r="G1454" s="2">
        <f>AVERAGEIFS([3]!players[gold_per_min], [3]!players[name],A1454,[3]!players[hero_name],B1454)</f>
        <v>845</v>
      </c>
      <c r="H1454" s="2">
        <f>AVERAGEIFS([3]!players[xp_per_min], [3]!players[name],A1454,[3]!players[hero_name],B1454)</f>
        <v>826</v>
      </c>
    </row>
    <row r="1455" spans="1:8" x14ac:dyDescent="0.3">
      <c r="A1455" t="str">
        <v>payk</v>
      </c>
      <c r="B1455" t="str">
        <v>Windranger</v>
      </c>
      <c r="C1455" t="str" cm="1">
        <f t="array" ref="C1455">_xlfn.XLOOKUP(1,([3]!players[name]=A1455)*([3]!players[hero_name]=B1455),[3]!players[lane_name])</f>
        <v>Carry</v>
      </c>
      <c r="D1455">
        <f>COUNTIFS([3]!players[name],A1455,[3]!players[hero_name],B1455)</f>
        <v>1</v>
      </c>
      <c r="E1455">
        <f>COUNTIFS([3]!players[name],A1455,[3]!players[hero_name],B1455, [3]!players[win], 1)</f>
        <v>0</v>
      </c>
      <c r="F1455" s="1">
        <f t="shared" si="22"/>
        <v>0</v>
      </c>
      <c r="G1455" s="2">
        <f>AVERAGEIFS([3]!players[gold_per_min], [3]!players[name],A1455,[3]!players[hero_name],B1455)</f>
        <v>668</v>
      </c>
      <c r="H1455" s="2">
        <f>AVERAGEIFS([3]!players[xp_per_min], [3]!players[name],A1455,[3]!players[hero_name],B1455)</f>
        <v>838</v>
      </c>
    </row>
    <row r="1456" spans="1:8" x14ac:dyDescent="0.3">
      <c r="A1456" t="str">
        <v>payk</v>
      </c>
      <c r="B1456" t="str">
        <v>Clinkz</v>
      </c>
      <c r="C1456" t="str" cm="1">
        <f t="array" ref="C1456">_xlfn.XLOOKUP(1,([3]!players[name]=A1456)*([3]!players[hero_name]=B1456),[3]!players[lane_name])</f>
        <v>Carry</v>
      </c>
      <c r="D1456">
        <f>COUNTIFS([3]!players[name],A1456,[3]!players[hero_name],B1456)</f>
        <v>2</v>
      </c>
      <c r="E1456">
        <f>COUNTIFS([3]!players[name],A1456,[3]!players[hero_name],B1456, [3]!players[win], 1)</f>
        <v>1</v>
      </c>
      <c r="F1456" s="1">
        <f t="shared" si="22"/>
        <v>0.5</v>
      </c>
      <c r="G1456" s="2">
        <f>AVERAGEIFS([3]!players[gold_per_min], [3]!players[name],A1456,[3]!players[hero_name],B1456)</f>
        <v>625</v>
      </c>
      <c r="H1456" s="2">
        <f>AVERAGEIFS([3]!players[xp_per_min], [3]!players[name],A1456,[3]!players[hero_name],B1456)</f>
        <v>741</v>
      </c>
    </row>
    <row r="1457" spans="1:8" x14ac:dyDescent="0.3">
      <c r="A1457" t="str">
        <v>payk</v>
      </c>
      <c r="B1457" t="str">
        <v>Alchemist</v>
      </c>
      <c r="C1457" t="str" cm="1">
        <f t="array" ref="C1457">_xlfn.XLOOKUP(1,([3]!players[name]=A1457)*([3]!players[hero_name]=B1457),[3]!players[lane_name])</f>
        <v>Carry</v>
      </c>
      <c r="D1457">
        <f>COUNTIFS([3]!players[name],A1457,[3]!players[hero_name],B1457)</f>
        <v>3</v>
      </c>
      <c r="E1457">
        <f>COUNTIFS([3]!players[name],A1457,[3]!players[hero_name],B1457, [3]!players[win], 1)</f>
        <v>2</v>
      </c>
      <c r="F1457" s="1">
        <f t="shared" si="22"/>
        <v>0.66666666666666663</v>
      </c>
      <c r="G1457" s="2">
        <f>AVERAGEIFS([3]!players[gold_per_min], [3]!players[name],A1457,[3]!players[hero_name],B1457)</f>
        <v>916.66666666666663</v>
      </c>
      <c r="H1457" s="2">
        <f>AVERAGEIFS([3]!players[xp_per_min], [3]!players[name],A1457,[3]!players[hero_name],B1457)</f>
        <v>925.66666666666663</v>
      </c>
    </row>
    <row r="1458" spans="1:8" x14ac:dyDescent="0.3">
      <c r="A1458" t="str">
        <v>payk</v>
      </c>
      <c r="B1458" t="str">
        <v>Beastmaster</v>
      </c>
      <c r="C1458" t="str" cm="1">
        <f t="array" ref="C1458">_xlfn.XLOOKUP(1,([3]!players[name]=A1458)*([3]!players[hero_name]=B1458),[3]!players[lane_name])</f>
        <v>Carry</v>
      </c>
      <c r="D1458">
        <f>COUNTIFS([3]!players[name],A1458,[3]!players[hero_name],B1458)</f>
        <v>1</v>
      </c>
      <c r="E1458">
        <f>COUNTIFS([3]!players[name],A1458,[3]!players[hero_name],B1458, [3]!players[win], 1)</f>
        <v>1</v>
      </c>
      <c r="F1458" s="1">
        <f t="shared" si="22"/>
        <v>1</v>
      </c>
      <c r="G1458" s="2">
        <f>AVERAGEIFS([3]!players[gold_per_min], [3]!players[name],A1458,[3]!players[hero_name],B1458)</f>
        <v>888</v>
      </c>
      <c r="H1458" s="2">
        <f>AVERAGEIFS([3]!players[xp_per_min], [3]!players[name],A1458,[3]!players[hero_name],B1458)</f>
        <v>1031</v>
      </c>
    </row>
    <row r="1459" spans="1:8" x14ac:dyDescent="0.3">
      <c r="A1459" t="str">
        <v>payk</v>
      </c>
      <c r="B1459" t="str">
        <v>Templar Assassin</v>
      </c>
      <c r="C1459" t="str" cm="1">
        <f t="array" ref="C1459">_xlfn.XLOOKUP(1,([3]!players[name]=A1459)*([3]!players[hero_name]=B1459),[3]!players[lane_name])</f>
        <v>Carry</v>
      </c>
      <c r="D1459">
        <f>COUNTIFS([3]!players[name],A1459,[3]!players[hero_name],B1459)</f>
        <v>1</v>
      </c>
      <c r="E1459">
        <f>COUNTIFS([3]!players[name],A1459,[3]!players[hero_name],B1459, [3]!players[win], 1)</f>
        <v>0</v>
      </c>
      <c r="F1459" s="1">
        <f t="shared" si="22"/>
        <v>0</v>
      </c>
      <c r="G1459" s="2">
        <f>AVERAGEIFS([3]!players[gold_per_min], [3]!players[name],A1459,[3]!players[hero_name],B1459)</f>
        <v>554</v>
      </c>
      <c r="H1459" s="2">
        <f>AVERAGEIFS([3]!players[xp_per_min], [3]!players[name],A1459,[3]!players[hero_name],B1459)</f>
        <v>634</v>
      </c>
    </row>
    <row r="1460" spans="1:8" x14ac:dyDescent="0.3">
      <c r="A1460" t="str">
        <v>payk</v>
      </c>
      <c r="B1460" t="str">
        <v>Lone Druid</v>
      </c>
      <c r="C1460" t="str" cm="1">
        <f t="array" ref="C1460">_xlfn.XLOOKUP(1,([3]!players[name]=A1460)*([3]!players[hero_name]=B1460),[3]!players[lane_name])</f>
        <v>Carry</v>
      </c>
      <c r="D1460">
        <f>COUNTIFS([3]!players[name],A1460,[3]!players[hero_name],B1460)</f>
        <v>3</v>
      </c>
      <c r="E1460">
        <f>COUNTIFS([3]!players[name],A1460,[3]!players[hero_name],B1460, [3]!players[win], 1)</f>
        <v>1</v>
      </c>
      <c r="F1460" s="1">
        <f t="shared" si="22"/>
        <v>0.33333333333333331</v>
      </c>
      <c r="G1460" s="2">
        <f>AVERAGEIFS([3]!players[gold_per_min], [3]!players[name],A1460,[3]!players[hero_name],B1460)</f>
        <v>637.66666666666663</v>
      </c>
      <c r="H1460" s="2">
        <f>AVERAGEIFS([3]!players[xp_per_min], [3]!players[name],A1460,[3]!players[hero_name],B1460)</f>
        <v>672</v>
      </c>
    </row>
    <row r="1461" spans="1:8" x14ac:dyDescent="0.3">
      <c r="A1461" t="str">
        <v>payk</v>
      </c>
      <c r="B1461" t="str">
        <v>Kez</v>
      </c>
      <c r="C1461" t="str" cm="1">
        <f t="array" ref="C1461">_xlfn.XLOOKUP(1,([3]!players[name]=A1461)*([3]!players[hero_name]=B1461),[3]!players[lane_name])</f>
        <v>Carry</v>
      </c>
      <c r="D1461">
        <f>COUNTIFS([3]!players[name],A1461,[3]!players[hero_name],B1461)</f>
        <v>1</v>
      </c>
      <c r="E1461">
        <f>COUNTIFS([3]!players[name],A1461,[3]!players[hero_name],B1461, [3]!players[win], 1)</f>
        <v>0</v>
      </c>
      <c r="F1461" s="1">
        <f t="shared" si="22"/>
        <v>0</v>
      </c>
      <c r="G1461" s="2">
        <f>AVERAGEIFS([3]!players[gold_per_min], [3]!players[name],A1461,[3]!players[hero_name],B1461)</f>
        <v>534</v>
      </c>
      <c r="H1461" s="2">
        <f>AVERAGEIFS([3]!players[xp_per_min], [3]!players[name],A1461,[3]!players[hero_name],B1461)</f>
        <v>584</v>
      </c>
    </row>
    <row r="1462" spans="1:8" x14ac:dyDescent="0.3">
      <c r="A1462" t="str">
        <v>payk</v>
      </c>
      <c r="B1462" t="str">
        <v>Terrorblade</v>
      </c>
      <c r="C1462" t="str" cm="1">
        <f t="array" ref="C1462">_xlfn.XLOOKUP(1,([3]!players[name]=A1462)*([3]!players[hero_name]=B1462),[3]!players[lane_name])</f>
        <v>Carry</v>
      </c>
      <c r="D1462">
        <f>COUNTIFS([3]!players[name],A1462,[3]!players[hero_name],B1462)</f>
        <v>1</v>
      </c>
      <c r="E1462">
        <f>COUNTIFS([3]!players[name],A1462,[3]!players[hero_name],B1462, [3]!players[win], 1)</f>
        <v>0</v>
      </c>
      <c r="F1462" s="1">
        <f t="shared" si="22"/>
        <v>0</v>
      </c>
      <c r="G1462" s="2">
        <f>AVERAGEIFS([3]!players[gold_per_min], [3]!players[name],A1462,[3]!players[hero_name],B1462)</f>
        <v>837</v>
      </c>
      <c r="H1462" s="2">
        <f>AVERAGEIFS([3]!players[xp_per_min], [3]!players[name],A1462,[3]!players[hero_name],B1462)</f>
        <v>923</v>
      </c>
    </row>
    <row r="1463" spans="1:8" x14ac:dyDescent="0.3">
      <c r="A1463" t="str">
        <v>payk</v>
      </c>
      <c r="B1463" t="str">
        <v>Ursa</v>
      </c>
      <c r="C1463" t="str" cm="1">
        <f t="array" ref="C1463">_xlfn.XLOOKUP(1,([3]!players[name]=A1463)*([3]!players[hero_name]=B1463),[3]!players[lane_name])</f>
        <v>Carry</v>
      </c>
      <c r="D1463">
        <f>COUNTIFS([3]!players[name],A1463,[3]!players[hero_name],B1463)</f>
        <v>1</v>
      </c>
      <c r="E1463">
        <f>COUNTIFS([3]!players[name],A1463,[3]!players[hero_name],B1463, [3]!players[win], 1)</f>
        <v>1</v>
      </c>
      <c r="F1463" s="1">
        <f t="shared" si="22"/>
        <v>1</v>
      </c>
      <c r="G1463" s="2">
        <f>AVERAGEIFS([3]!players[gold_per_min], [3]!players[name],A1463,[3]!players[hero_name],B1463)</f>
        <v>808</v>
      </c>
      <c r="H1463" s="2">
        <f>AVERAGEIFS([3]!players[xp_per_min], [3]!players[name],A1463,[3]!players[hero_name],B1463)</f>
        <v>1110</v>
      </c>
    </row>
    <row r="1464" spans="1:8" x14ac:dyDescent="0.3">
      <c r="A1464" t="str">
        <v>PiPi</v>
      </c>
      <c r="B1464" t="str">
        <v>Storm Spirit</v>
      </c>
      <c r="C1464" t="str" cm="1">
        <f t="array" ref="C1464">_xlfn.XLOOKUP(1,([3]!players[name]=A1464)*([3]!players[hero_name]=B1464),[3]!players[lane_name])</f>
        <v>Mid</v>
      </c>
      <c r="D1464">
        <f>COUNTIFS([3]!players[name],A1464,[3]!players[hero_name],B1464)</f>
        <v>1</v>
      </c>
      <c r="E1464">
        <f>COUNTIFS([3]!players[name],A1464,[3]!players[hero_name],B1464, [3]!players[win], 1)</f>
        <v>0</v>
      </c>
      <c r="F1464" s="1">
        <f t="shared" si="22"/>
        <v>0</v>
      </c>
      <c r="G1464" s="2">
        <f>AVERAGEIFS([3]!players[gold_per_min], [3]!players[name],A1464,[3]!players[hero_name],B1464)</f>
        <v>485</v>
      </c>
      <c r="H1464" s="2">
        <f>AVERAGEIFS([3]!players[xp_per_min], [3]!players[name],A1464,[3]!players[hero_name],B1464)</f>
        <v>564</v>
      </c>
    </row>
    <row r="1465" spans="1:8" x14ac:dyDescent="0.3">
      <c r="A1465" t="str">
        <v>PiPi</v>
      </c>
      <c r="B1465" t="str">
        <v>Leshrac</v>
      </c>
      <c r="C1465" t="str" cm="1">
        <f t="array" ref="C1465">_xlfn.XLOOKUP(1,([3]!players[name]=A1465)*([3]!players[hero_name]=B1465),[3]!players[lane_name])</f>
        <v>Mid</v>
      </c>
      <c r="D1465">
        <f>COUNTIFS([3]!players[name],A1465,[3]!players[hero_name],B1465)</f>
        <v>1</v>
      </c>
      <c r="E1465">
        <f>COUNTIFS([3]!players[name],A1465,[3]!players[hero_name],B1465, [3]!players[win], 1)</f>
        <v>0</v>
      </c>
      <c r="F1465" s="1">
        <f t="shared" si="22"/>
        <v>0</v>
      </c>
      <c r="G1465" s="2">
        <f>AVERAGEIFS([3]!players[gold_per_min], [3]!players[name],A1465,[3]!players[hero_name],B1465)</f>
        <v>575</v>
      </c>
      <c r="H1465" s="2">
        <f>AVERAGEIFS([3]!players[xp_per_min], [3]!players[name],A1465,[3]!players[hero_name],B1465)</f>
        <v>771</v>
      </c>
    </row>
    <row r="1466" spans="1:8" x14ac:dyDescent="0.3">
      <c r="A1466" t="str">
        <v>PiPi</v>
      </c>
      <c r="B1466" t="str">
        <v>Sand King</v>
      </c>
      <c r="C1466" t="str" cm="1">
        <f t="array" ref="C1466">_xlfn.XLOOKUP(1,([3]!players[name]=A1466)*([3]!players[hero_name]=B1466),[3]!players[lane_name])</f>
        <v>Mid</v>
      </c>
      <c r="D1466">
        <f>COUNTIFS([3]!players[name],A1466,[3]!players[hero_name],B1466)</f>
        <v>1</v>
      </c>
      <c r="E1466">
        <f>COUNTIFS([3]!players[name],A1466,[3]!players[hero_name],B1466, [3]!players[win], 1)</f>
        <v>1</v>
      </c>
      <c r="F1466" s="1">
        <f t="shared" si="22"/>
        <v>1</v>
      </c>
      <c r="G1466" s="2">
        <f>AVERAGEIFS([3]!players[gold_per_min], [3]!players[name],A1466,[3]!players[hero_name],B1466)</f>
        <v>575</v>
      </c>
      <c r="H1466" s="2">
        <f>AVERAGEIFS([3]!players[xp_per_min], [3]!players[name],A1466,[3]!players[hero_name],B1466)</f>
        <v>740</v>
      </c>
    </row>
    <row r="1467" spans="1:8" x14ac:dyDescent="0.3">
      <c r="A1467" t="str">
        <v>PiPi</v>
      </c>
      <c r="B1467" t="str">
        <v>Keeper of the Light</v>
      </c>
      <c r="C1467" t="str" cm="1">
        <f t="array" ref="C1467">_xlfn.XLOOKUP(1,([3]!players[name]=A1467)*([3]!players[hero_name]=B1467),[3]!players[lane_name])</f>
        <v>Mid</v>
      </c>
      <c r="D1467">
        <f>COUNTIFS([3]!players[name],A1467,[3]!players[hero_name],B1467)</f>
        <v>2</v>
      </c>
      <c r="E1467">
        <f>COUNTIFS([3]!players[name],A1467,[3]!players[hero_name],B1467, [3]!players[win], 1)</f>
        <v>0</v>
      </c>
      <c r="F1467" s="1">
        <f t="shared" si="22"/>
        <v>0</v>
      </c>
      <c r="G1467" s="2">
        <f>AVERAGEIFS([3]!players[gold_per_min], [3]!players[name],A1467,[3]!players[hero_name],B1467)</f>
        <v>503.5</v>
      </c>
      <c r="H1467" s="2">
        <f>AVERAGEIFS([3]!players[xp_per_min], [3]!players[name],A1467,[3]!players[hero_name],B1467)</f>
        <v>564.5</v>
      </c>
    </row>
    <row r="1468" spans="1:8" x14ac:dyDescent="0.3">
      <c r="A1468" t="str">
        <v>PiPi</v>
      </c>
      <c r="B1468" t="str">
        <v>Beastmaster</v>
      </c>
      <c r="C1468" t="str" cm="1">
        <f t="array" ref="C1468">_xlfn.XLOOKUP(1,([3]!players[name]=A1468)*([3]!players[hero_name]=B1468),[3]!players[lane_name])</f>
        <v>Mid</v>
      </c>
      <c r="D1468">
        <f>COUNTIFS([3]!players[name],A1468,[3]!players[hero_name],B1468)</f>
        <v>1</v>
      </c>
      <c r="E1468">
        <f>COUNTIFS([3]!players[name],A1468,[3]!players[hero_name],B1468, [3]!players[win], 1)</f>
        <v>0</v>
      </c>
      <c r="F1468" s="1">
        <f t="shared" si="22"/>
        <v>0</v>
      </c>
      <c r="G1468" s="2">
        <f>AVERAGEIFS([3]!players[gold_per_min], [3]!players[name],A1468,[3]!players[hero_name],B1468)</f>
        <v>488</v>
      </c>
      <c r="H1468" s="2">
        <f>AVERAGEIFS([3]!players[xp_per_min], [3]!players[name],A1468,[3]!players[hero_name],B1468)</f>
        <v>542</v>
      </c>
    </row>
    <row r="1469" spans="1:8" x14ac:dyDescent="0.3">
      <c r="A1469" t="str">
        <v>PiPi</v>
      </c>
      <c r="B1469" t="str">
        <v>Queen of Pain</v>
      </c>
      <c r="C1469" t="str" cm="1">
        <f t="array" ref="C1469">_xlfn.XLOOKUP(1,([3]!players[name]=A1469)*([3]!players[hero_name]=B1469),[3]!players[lane_name])</f>
        <v>Mid</v>
      </c>
      <c r="D1469">
        <f>COUNTIFS([3]!players[name],A1469,[3]!players[hero_name],B1469)</f>
        <v>2</v>
      </c>
      <c r="E1469">
        <f>COUNTIFS([3]!players[name],A1469,[3]!players[hero_name],B1469, [3]!players[win], 1)</f>
        <v>1</v>
      </c>
      <c r="F1469" s="1">
        <f t="shared" si="22"/>
        <v>0.5</v>
      </c>
      <c r="G1469" s="2">
        <f>AVERAGEIFS([3]!players[gold_per_min], [3]!players[name],A1469,[3]!players[hero_name],B1469)</f>
        <v>607.5</v>
      </c>
      <c r="H1469" s="2">
        <f>AVERAGEIFS([3]!players[xp_per_min], [3]!players[name],A1469,[3]!players[hero_name],B1469)</f>
        <v>801.5</v>
      </c>
    </row>
    <row r="1470" spans="1:8" x14ac:dyDescent="0.3">
      <c r="A1470" t="str">
        <v>PiPi</v>
      </c>
      <c r="B1470" t="str">
        <v>Kez</v>
      </c>
      <c r="C1470" t="str" cm="1">
        <f t="array" ref="C1470">_xlfn.XLOOKUP(1,([3]!players[name]=A1470)*([3]!players[hero_name]=B1470),[3]!players[lane_name])</f>
        <v>Mid</v>
      </c>
      <c r="D1470">
        <f>COUNTIFS([3]!players[name],A1470,[3]!players[hero_name],B1470)</f>
        <v>2</v>
      </c>
      <c r="E1470">
        <f>COUNTIFS([3]!players[name],A1470,[3]!players[hero_name],B1470, [3]!players[win], 1)</f>
        <v>2</v>
      </c>
      <c r="F1470" s="1">
        <f t="shared" si="22"/>
        <v>1</v>
      </c>
      <c r="G1470" s="2">
        <f>AVERAGEIFS([3]!players[gold_per_min], [3]!players[name],A1470,[3]!players[hero_name],B1470)</f>
        <v>685.5</v>
      </c>
      <c r="H1470" s="2">
        <f>AVERAGEIFS([3]!players[xp_per_min], [3]!players[name],A1470,[3]!players[hero_name],B1470)</f>
        <v>751</v>
      </c>
    </row>
    <row r="1471" spans="1:8" x14ac:dyDescent="0.3">
      <c r="A1471" t="str">
        <v>planet</v>
      </c>
      <c r="B1471" t="str">
        <v>Techies</v>
      </c>
      <c r="C1471" t="str" cm="1">
        <f t="array" ref="C1471">_xlfn.XLOOKUP(1,([3]!players[name]=A1471)*([3]!players[hero_name]=B1471),[3]!players[lane_name])</f>
        <v>Soft Support</v>
      </c>
      <c r="D1471">
        <f>COUNTIFS([3]!players[name],A1471,[3]!players[hero_name],B1471)</f>
        <v>3</v>
      </c>
      <c r="E1471">
        <f>COUNTIFS([3]!players[name],A1471,[3]!players[hero_name],B1471, [3]!players[win], 1)</f>
        <v>2</v>
      </c>
      <c r="F1471" s="1">
        <f t="shared" si="22"/>
        <v>0.66666666666666663</v>
      </c>
      <c r="G1471" s="2">
        <f>AVERAGEIFS([3]!players[gold_per_min], [3]!players[name],A1471,[3]!players[hero_name],B1471)</f>
        <v>361</v>
      </c>
      <c r="H1471" s="2">
        <f>AVERAGEIFS([3]!players[xp_per_min], [3]!players[name],A1471,[3]!players[hero_name],B1471)</f>
        <v>495.33333333333331</v>
      </c>
    </row>
    <row r="1472" spans="1:8" x14ac:dyDescent="0.3">
      <c r="A1472" t="str">
        <v>planet</v>
      </c>
      <c r="B1472" t="str">
        <v>Grimstroke</v>
      </c>
      <c r="C1472" t="str" cm="1">
        <f t="array" ref="C1472">_xlfn.XLOOKUP(1,([3]!players[name]=A1472)*([3]!players[hero_name]=B1472),[3]!players[lane_name])</f>
        <v>Roam</v>
      </c>
      <c r="D1472">
        <f>COUNTIFS([3]!players[name],A1472,[3]!players[hero_name],B1472)</f>
        <v>1</v>
      </c>
      <c r="E1472">
        <f>COUNTIFS([3]!players[name],A1472,[3]!players[hero_name],B1472, [3]!players[win], 1)</f>
        <v>1</v>
      </c>
      <c r="F1472" s="1">
        <f t="shared" si="22"/>
        <v>1</v>
      </c>
      <c r="G1472" s="2">
        <f>AVERAGEIFS([3]!players[gold_per_min], [3]!players[name],A1472,[3]!players[hero_name],B1472)</f>
        <v>416</v>
      </c>
      <c r="H1472" s="2">
        <f>AVERAGEIFS([3]!players[xp_per_min], [3]!players[name],A1472,[3]!players[hero_name],B1472)</f>
        <v>564</v>
      </c>
    </row>
    <row r="1473" spans="1:8" x14ac:dyDescent="0.3">
      <c r="A1473" t="str">
        <v>planet</v>
      </c>
      <c r="B1473" t="str">
        <v>Rubick</v>
      </c>
      <c r="C1473" t="str" cm="1">
        <f t="array" ref="C1473">_xlfn.XLOOKUP(1,([3]!players[name]=A1473)*([3]!players[hero_name]=B1473),[3]!players[lane_name])</f>
        <v>Soft Support</v>
      </c>
      <c r="D1473">
        <f>COUNTIFS([3]!players[name],A1473,[3]!players[hero_name],B1473)</f>
        <v>4</v>
      </c>
      <c r="E1473">
        <f>COUNTIFS([3]!players[name],A1473,[3]!players[hero_name],B1473, [3]!players[win], 1)</f>
        <v>2</v>
      </c>
      <c r="F1473" s="1">
        <f t="shared" si="22"/>
        <v>0.5</v>
      </c>
      <c r="G1473" s="2">
        <f>AVERAGEIFS([3]!players[gold_per_min], [3]!players[name],A1473,[3]!players[hero_name],B1473)</f>
        <v>352.5</v>
      </c>
      <c r="H1473" s="2">
        <f>AVERAGEIFS([3]!players[xp_per_min], [3]!players[name],A1473,[3]!players[hero_name],B1473)</f>
        <v>495.5</v>
      </c>
    </row>
    <row r="1474" spans="1:8" x14ac:dyDescent="0.3">
      <c r="A1474" t="str">
        <v>planet</v>
      </c>
      <c r="B1474" t="str">
        <v>Earth Spirit</v>
      </c>
      <c r="C1474" t="str" cm="1">
        <f t="array" ref="C1474">_xlfn.XLOOKUP(1,([3]!players[name]=A1474)*([3]!players[hero_name]=B1474),[3]!players[lane_name])</f>
        <v>Roam</v>
      </c>
      <c r="D1474">
        <f>COUNTIFS([3]!players[name],A1474,[3]!players[hero_name],B1474)</f>
        <v>1</v>
      </c>
      <c r="E1474">
        <f>COUNTIFS([3]!players[name],A1474,[3]!players[hero_name],B1474, [3]!players[win], 1)</f>
        <v>1</v>
      </c>
      <c r="F1474" s="1">
        <f t="shared" si="22"/>
        <v>1</v>
      </c>
      <c r="G1474" s="2">
        <f>AVERAGEIFS([3]!players[gold_per_min], [3]!players[name],A1474,[3]!players[hero_name],B1474)</f>
        <v>390</v>
      </c>
      <c r="H1474" s="2">
        <f>AVERAGEIFS([3]!players[xp_per_min], [3]!players[name],A1474,[3]!players[hero_name],B1474)</f>
        <v>733</v>
      </c>
    </row>
    <row r="1475" spans="1:8" x14ac:dyDescent="0.3">
      <c r="A1475" t="str">
        <v>planet</v>
      </c>
      <c r="B1475" t="str">
        <v>Keeper of the Light</v>
      </c>
      <c r="C1475" t="str" cm="1">
        <f t="array" ref="C1475">_xlfn.XLOOKUP(1,([3]!players[name]=A1475)*([3]!players[hero_name]=B1475),[3]!players[lane_name])</f>
        <v>Soft Support</v>
      </c>
      <c r="D1475">
        <f>COUNTIFS([3]!players[name],A1475,[3]!players[hero_name],B1475)</f>
        <v>2</v>
      </c>
      <c r="E1475">
        <f>COUNTIFS([3]!players[name],A1475,[3]!players[hero_name],B1475, [3]!players[win], 1)</f>
        <v>2</v>
      </c>
      <c r="F1475" s="1">
        <f t="shared" ref="F1475:F1538" si="23">E1475/D1475</f>
        <v>1</v>
      </c>
      <c r="G1475" s="2">
        <f>AVERAGEIFS([3]!players[gold_per_min], [3]!players[name],A1475,[3]!players[hero_name],B1475)</f>
        <v>371.5</v>
      </c>
      <c r="H1475" s="2">
        <f>AVERAGEIFS([3]!players[xp_per_min], [3]!players[name],A1475,[3]!players[hero_name],B1475)</f>
        <v>438.5</v>
      </c>
    </row>
    <row r="1476" spans="1:8" x14ac:dyDescent="0.3">
      <c r="A1476" t="str">
        <v>planet</v>
      </c>
      <c r="B1476" t="str">
        <v>Hoodwink</v>
      </c>
      <c r="C1476" t="str" cm="1">
        <f t="array" ref="C1476">_xlfn.XLOOKUP(1,([3]!players[name]=A1476)*([3]!players[hero_name]=B1476),[3]!players[lane_name])</f>
        <v>Roam</v>
      </c>
      <c r="D1476">
        <f>COUNTIFS([3]!players[name],A1476,[3]!players[hero_name],B1476)</f>
        <v>1</v>
      </c>
      <c r="E1476">
        <f>COUNTIFS([3]!players[name],A1476,[3]!players[hero_name],B1476, [3]!players[win], 1)</f>
        <v>0</v>
      </c>
      <c r="F1476" s="1">
        <f t="shared" si="23"/>
        <v>0</v>
      </c>
      <c r="G1476" s="2">
        <f>AVERAGEIFS([3]!players[gold_per_min], [3]!players[name],A1476,[3]!players[hero_name],B1476)</f>
        <v>295</v>
      </c>
      <c r="H1476" s="2">
        <f>AVERAGEIFS([3]!players[xp_per_min], [3]!players[name],A1476,[3]!players[hero_name],B1476)</f>
        <v>406</v>
      </c>
    </row>
    <row r="1477" spans="1:8" x14ac:dyDescent="0.3">
      <c r="A1477" t="str">
        <v>planet</v>
      </c>
      <c r="B1477" t="str">
        <v>Batrider</v>
      </c>
      <c r="C1477" t="str" cm="1">
        <f t="array" ref="C1477">_xlfn.XLOOKUP(1,([3]!players[name]=A1477)*([3]!players[hero_name]=B1477),[3]!players[lane_name])</f>
        <v>Soft Support</v>
      </c>
      <c r="D1477">
        <f>COUNTIFS([3]!players[name],A1477,[3]!players[hero_name],B1477)</f>
        <v>1</v>
      </c>
      <c r="E1477">
        <f>COUNTIFS([3]!players[name],A1477,[3]!players[hero_name],B1477, [3]!players[win], 1)</f>
        <v>1</v>
      </c>
      <c r="F1477" s="1">
        <f t="shared" si="23"/>
        <v>1</v>
      </c>
      <c r="G1477" s="2">
        <f>AVERAGEIFS([3]!players[gold_per_min], [3]!players[name],A1477,[3]!players[hero_name],B1477)</f>
        <v>445</v>
      </c>
      <c r="H1477" s="2">
        <f>AVERAGEIFS([3]!players[xp_per_min], [3]!players[name],A1477,[3]!players[hero_name],B1477)</f>
        <v>640</v>
      </c>
    </row>
    <row r="1478" spans="1:8" x14ac:dyDescent="0.3">
      <c r="A1478" t="str">
        <v>planet</v>
      </c>
      <c r="B1478" t="str">
        <v>Muerta</v>
      </c>
      <c r="C1478" t="str" cm="1">
        <f t="array" ref="C1478">_xlfn.XLOOKUP(1,([3]!players[name]=A1478)*([3]!players[hero_name]=B1478),[3]!players[lane_name])</f>
        <v>Soft Support</v>
      </c>
      <c r="D1478">
        <f>COUNTIFS([3]!players[name],A1478,[3]!players[hero_name],B1478)</f>
        <v>1</v>
      </c>
      <c r="E1478">
        <f>COUNTIFS([3]!players[name],A1478,[3]!players[hero_name],B1478, [3]!players[win], 1)</f>
        <v>0</v>
      </c>
      <c r="F1478" s="1">
        <f t="shared" si="23"/>
        <v>0</v>
      </c>
      <c r="G1478" s="2">
        <f>AVERAGEIFS([3]!players[gold_per_min], [3]!players[name],A1478,[3]!players[hero_name],B1478)</f>
        <v>344</v>
      </c>
      <c r="H1478" s="2">
        <f>AVERAGEIFS([3]!players[xp_per_min], [3]!players[name],A1478,[3]!players[hero_name],B1478)</f>
        <v>417</v>
      </c>
    </row>
    <row r="1479" spans="1:8" x14ac:dyDescent="0.3">
      <c r="A1479" t="str">
        <v>planet</v>
      </c>
      <c r="B1479" t="str">
        <v>Largo</v>
      </c>
      <c r="C1479" t="str" cm="1">
        <f t="array" ref="C1479">_xlfn.XLOOKUP(1,([3]!players[name]=A1479)*([3]!players[hero_name]=B1479),[3]!players[lane_name])</f>
        <v>Soft Support</v>
      </c>
      <c r="D1479">
        <f>COUNTIFS([3]!players[name],A1479,[3]!players[hero_name],B1479)</f>
        <v>1</v>
      </c>
      <c r="E1479">
        <f>COUNTIFS([3]!players[name],A1479,[3]!players[hero_name],B1479, [3]!players[win], 1)</f>
        <v>1</v>
      </c>
      <c r="F1479" s="1">
        <f t="shared" si="23"/>
        <v>1</v>
      </c>
      <c r="G1479" s="2">
        <f>AVERAGEIFS([3]!players[gold_per_min], [3]!players[name],A1479,[3]!players[hero_name],B1479)</f>
        <v>384</v>
      </c>
      <c r="H1479" s="2">
        <f>AVERAGEIFS([3]!players[xp_per_min], [3]!players[name],A1479,[3]!players[hero_name],B1479)</f>
        <v>541</v>
      </c>
    </row>
    <row r="1480" spans="1:8" x14ac:dyDescent="0.3">
      <c r="A1480" t="str">
        <v>pma</v>
      </c>
      <c r="B1480" t="str">
        <v>Underlord</v>
      </c>
      <c r="C1480" t="str" cm="1">
        <f t="array" ref="C1480">_xlfn.XLOOKUP(1,([3]!players[name]=A1480)*([3]!players[hero_name]=B1480),[3]!players[lane_name])</f>
        <v>Off Lane</v>
      </c>
      <c r="D1480">
        <f>COUNTIFS([3]!players[name],A1480,[3]!players[hero_name],B1480)</f>
        <v>4</v>
      </c>
      <c r="E1480">
        <f>COUNTIFS([3]!players[name],A1480,[3]!players[hero_name],B1480, [3]!players[win], 1)</f>
        <v>3</v>
      </c>
      <c r="F1480" s="1">
        <f t="shared" si="23"/>
        <v>0.75</v>
      </c>
      <c r="G1480" s="2">
        <f>AVERAGEIFS([3]!players[gold_per_min], [3]!players[name],A1480,[3]!players[hero_name],B1480)</f>
        <v>594.5</v>
      </c>
      <c r="H1480" s="2">
        <f>AVERAGEIFS([3]!players[xp_per_min], [3]!players[name],A1480,[3]!players[hero_name],B1480)</f>
        <v>721.25</v>
      </c>
    </row>
    <row r="1481" spans="1:8" x14ac:dyDescent="0.3">
      <c r="A1481" t="str">
        <v>pma</v>
      </c>
      <c r="B1481" t="str">
        <v>Sand King</v>
      </c>
      <c r="C1481" t="str" cm="1">
        <f t="array" ref="C1481">_xlfn.XLOOKUP(1,([3]!players[name]=A1481)*([3]!players[hero_name]=B1481),[3]!players[lane_name])</f>
        <v>Off Lane</v>
      </c>
      <c r="D1481">
        <f>COUNTIFS([3]!players[name],A1481,[3]!players[hero_name],B1481)</f>
        <v>2</v>
      </c>
      <c r="E1481">
        <f>COUNTIFS([3]!players[name],A1481,[3]!players[hero_name],B1481, [3]!players[win], 1)</f>
        <v>1</v>
      </c>
      <c r="F1481" s="1">
        <f t="shared" si="23"/>
        <v>0.5</v>
      </c>
      <c r="G1481" s="2">
        <f>AVERAGEIFS([3]!players[gold_per_min], [3]!players[name],A1481,[3]!players[hero_name],B1481)</f>
        <v>553</v>
      </c>
      <c r="H1481" s="2">
        <f>AVERAGEIFS([3]!players[xp_per_min], [3]!players[name],A1481,[3]!players[hero_name],B1481)</f>
        <v>785.5</v>
      </c>
    </row>
    <row r="1482" spans="1:8" x14ac:dyDescent="0.3">
      <c r="A1482" t="str">
        <v>pma</v>
      </c>
      <c r="B1482" t="str">
        <v>Dawnbreaker</v>
      </c>
      <c r="C1482" t="str" cm="1">
        <f t="array" ref="C1482">_xlfn.XLOOKUP(1,([3]!players[name]=A1482)*([3]!players[hero_name]=B1482),[3]!players[lane_name])</f>
        <v>Off Lane</v>
      </c>
      <c r="D1482">
        <f>COUNTIFS([3]!players[name],A1482,[3]!players[hero_name],B1482)</f>
        <v>2</v>
      </c>
      <c r="E1482">
        <f>COUNTIFS([3]!players[name],A1482,[3]!players[hero_name],B1482, [3]!players[win], 1)</f>
        <v>1</v>
      </c>
      <c r="F1482" s="1">
        <f t="shared" si="23"/>
        <v>0.5</v>
      </c>
      <c r="G1482" s="2">
        <f>AVERAGEIFS([3]!players[gold_per_min], [3]!players[name],A1482,[3]!players[hero_name],B1482)</f>
        <v>610.5</v>
      </c>
      <c r="H1482" s="2">
        <f>AVERAGEIFS([3]!players[xp_per_min], [3]!players[name],A1482,[3]!players[hero_name],B1482)</f>
        <v>755</v>
      </c>
    </row>
    <row r="1483" spans="1:8" x14ac:dyDescent="0.3">
      <c r="A1483" t="str">
        <v>pma</v>
      </c>
      <c r="B1483" t="str">
        <v>Elder Titan</v>
      </c>
      <c r="C1483" t="str" cm="1">
        <f t="array" ref="C1483">_xlfn.XLOOKUP(1,([3]!players[name]=A1483)*([3]!players[hero_name]=B1483),[3]!players[lane_name])</f>
        <v>Off Lane</v>
      </c>
      <c r="D1483">
        <f>COUNTIFS([3]!players[name],A1483,[3]!players[hero_name],B1483)</f>
        <v>1</v>
      </c>
      <c r="E1483">
        <f>COUNTIFS([3]!players[name],A1483,[3]!players[hero_name],B1483, [3]!players[win], 1)</f>
        <v>0</v>
      </c>
      <c r="F1483" s="1">
        <f t="shared" si="23"/>
        <v>0</v>
      </c>
      <c r="G1483" s="2">
        <f>AVERAGEIFS([3]!players[gold_per_min], [3]!players[name],A1483,[3]!players[hero_name],B1483)</f>
        <v>354</v>
      </c>
      <c r="H1483" s="2">
        <f>AVERAGEIFS([3]!players[xp_per_min], [3]!players[name],A1483,[3]!players[hero_name],B1483)</f>
        <v>354</v>
      </c>
    </row>
    <row r="1484" spans="1:8" x14ac:dyDescent="0.3">
      <c r="A1484" t="str">
        <v>pma</v>
      </c>
      <c r="B1484" t="str">
        <v>Slardar</v>
      </c>
      <c r="C1484" t="str" cm="1">
        <f t="array" ref="C1484">_xlfn.XLOOKUP(1,([3]!players[name]=A1484)*([3]!players[hero_name]=B1484),[3]!players[lane_name])</f>
        <v>Off Lane</v>
      </c>
      <c r="D1484">
        <f>COUNTIFS([3]!players[name],A1484,[3]!players[hero_name],B1484)</f>
        <v>3</v>
      </c>
      <c r="E1484">
        <f>COUNTIFS([3]!players[name],A1484,[3]!players[hero_name],B1484, [3]!players[win], 1)</f>
        <v>3</v>
      </c>
      <c r="F1484" s="1">
        <f t="shared" si="23"/>
        <v>1</v>
      </c>
      <c r="G1484" s="2">
        <f>AVERAGEIFS([3]!players[gold_per_min], [3]!players[name],A1484,[3]!players[hero_name],B1484)</f>
        <v>575</v>
      </c>
      <c r="H1484" s="2">
        <f>AVERAGEIFS([3]!players[xp_per_min], [3]!players[name],A1484,[3]!players[hero_name],B1484)</f>
        <v>865</v>
      </c>
    </row>
    <row r="1485" spans="1:8" x14ac:dyDescent="0.3">
      <c r="A1485" t="str">
        <v>pma</v>
      </c>
      <c r="B1485" t="str">
        <v>Primal Beast</v>
      </c>
      <c r="C1485" t="str" cm="1">
        <f t="array" ref="C1485">_xlfn.XLOOKUP(1,([3]!players[name]=A1485)*([3]!players[hero_name]=B1485),[3]!players[lane_name])</f>
        <v>Off Lane</v>
      </c>
      <c r="D1485">
        <f>COUNTIFS([3]!players[name],A1485,[3]!players[hero_name],B1485)</f>
        <v>1</v>
      </c>
      <c r="E1485">
        <f>COUNTIFS([3]!players[name],A1485,[3]!players[hero_name],B1485, [3]!players[win], 1)</f>
        <v>1</v>
      </c>
      <c r="F1485" s="1">
        <f t="shared" si="23"/>
        <v>1</v>
      </c>
      <c r="G1485" s="2">
        <f>AVERAGEIFS([3]!players[gold_per_min], [3]!players[name],A1485,[3]!players[hero_name],B1485)</f>
        <v>637</v>
      </c>
      <c r="H1485" s="2">
        <f>AVERAGEIFS([3]!players[xp_per_min], [3]!players[name],A1485,[3]!players[hero_name],B1485)</f>
        <v>920</v>
      </c>
    </row>
    <row r="1486" spans="1:8" x14ac:dyDescent="0.3">
      <c r="A1486" t="str">
        <v>pma</v>
      </c>
      <c r="B1486" t="str">
        <v>Batrider</v>
      </c>
      <c r="C1486" t="str" cm="1">
        <f t="array" ref="C1486">_xlfn.XLOOKUP(1,([3]!players[name]=A1486)*([3]!players[hero_name]=B1486),[3]!players[lane_name])</f>
        <v>Off Lane</v>
      </c>
      <c r="D1486">
        <f>COUNTIFS([3]!players[name],A1486,[3]!players[hero_name],B1486)</f>
        <v>1</v>
      </c>
      <c r="E1486">
        <f>COUNTIFS([3]!players[name],A1486,[3]!players[hero_name],B1486, [3]!players[win], 1)</f>
        <v>1</v>
      </c>
      <c r="F1486" s="1">
        <f t="shared" si="23"/>
        <v>1</v>
      </c>
      <c r="G1486" s="2">
        <f>AVERAGEIFS([3]!players[gold_per_min], [3]!players[name],A1486,[3]!players[hero_name],B1486)</f>
        <v>627</v>
      </c>
      <c r="H1486" s="2">
        <f>AVERAGEIFS([3]!players[xp_per_min], [3]!players[name],A1486,[3]!players[hero_name],B1486)</f>
        <v>879</v>
      </c>
    </row>
    <row r="1487" spans="1:8" x14ac:dyDescent="0.3">
      <c r="A1487" t="str">
        <v>pma</v>
      </c>
      <c r="B1487" t="str">
        <v>Lycan</v>
      </c>
      <c r="C1487" t="str" cm="1">
        <f t="array" ref="C1487">_xlfn.XLOOKUP(1,([3]!players[name]=A1487)*([3]!players[hero_name]=B1487),[3]!players[lane_name])</f>
        <v>Off Lane</v>
      </c>
      <c r="D1487">
        <f>COUNTIFS([3]!players[name],A1487,[3]!players[hero_name],B1487)</f>
        <v>3</v>
      </c>
      <c r="E1487">
        <f>COUNTIFS([3]!players[name],A1487,[3]!players[hero_name],B1487, [3]!players[win], 1)</f>
        <v>0</v>
      </c>
      <c r="F1487" s="1">
        <f t="shared" si="23"/>
        <v>0</v>
      </c>
      <c r="G1487" s="2">
        <f>AVERAGEIFS([3]!players[gold_per_min], [3]!players[name],A1487,[3]!players[hero_name],B1487)</f>
        <v>577</v>
      </c>
      <c r="H1487" s="2">
        <f>AVERAGEIFS([3]!players[xp_per_min], [3]!players[name],A1487,[3]!players[hero_name],B1487)</f>
        <v>571.66666666666663</v>
      </c>
    </row>
    <row r="1488" spans="1:8" x14ac:dyDescent="0.3">
      <c r="A1488" t="str">
        <v>pma</v>
      </c>
      <c r="B1488" t="str">
        <v>Mars</v>
      </c>
      <c r="C1488" t="str" cm="1">
        <f t="array" ref="C1488">_xlfn.XLOOKUP(1,([3]!players[name]=A1488)*([3]!players[hero_name]=B1488),[3]!players[lane_name])</f>
        <v>Off Lane</v>
      </c>
      <c r="D1488">
        <f>COUNTIFS([3]!players[name],A1488,[3]!players[hero_name],B1488)</f>
        <v>1</v>
      </c>
      <c r="E1488">
        <f>COUNTIFS([3]!players[name],A1488,[3]!players[hero_name],B1488, [3]!players[win], 1)</f>
        <v>0</v>
      </c>
      <c r="F1488" s="1">
        <f t="shared" si="23"/>
        <v>0</v>
      </c>
      <c r="G1488" s="2">
        <f>AVERAGEIFS([3]!players[gold_per_min], [3]!players[name],A1488,[3]!players[hero_name],B1488)</f>
        <v>473</v>
      </c>
      <c r="H1488" s="2">
        <f>AVERAGEIFS([3]!players[xp_per_min], [3]!players[name],A1488,[3]!players[hero_name],B1488)</f>
        <v>602</v>
      </c>
    </row>
    <row r="1489" spans="1:8" x14ac:dyDescent="0.3">
      <c r="A1489" t="str">
        <v>pma</v>
      </c>
      <c r="B1489" t="str">
        <v>Bristleback</v>
      </c>
      <c r="C1489" t="str" cm="1">
        <f t="array" ref="C1489">_xlfn.XLOOKUP(1,([3]!players[name]=A1489)*([3]!players[hero_name]=B1489),[3]!players[lane_name])</f>
        <v>Off Lane</v>
      </c>
      <c r="D1489">
        <f>COUNTIFS([3]!players[name],A1489,[3]!players[hero_name],B1489)</f>
        <v>1</v>
      </c>
      <c r="E1489">
        <f>COUNTIFS([3]!players[name],A1489,[3]!players[hero_name],B1489, [3]!players[win], 1)</f>
        <v>0</v>
      </c>
      <c r="F1489" s="1">
        <f t="shared" si="23"/>
        <v>0</v>
      </c>
      <c r="G1489" s="2">
        <f>AVERAGEIFS([3]!players[gold_per_min], [3]!players[name],A1489,[3]!players[hero_name],B1489)</f>
        <v>575</v>
      </c>
      <c r="H1489" s="2">
        <f>AVERAGEIFS([3]!players[xp_per_min], [3]!players[name],A1489,[3]!players[hero_name],B1489)</f>
        <v>665</v>
      </c>
    </row>
    <row r="1490" spans="1:8" x14ac:dyDescent="0.3">
      <c r="A1490" t="str">
        <v>pma</v>
      </c>
      <c r="B1490" t="str">
        <v>Centaur Warrunner</v>
      </c>
      <c r="C1490" t="str" cm="1">
        <f t="array" ref="C1490">_xlfn.XLOOKUP(1,([3]!players[name]=A1490)*([3]!players[hero_name]=B1490),[3]!players[lane_name])</f>
        <v>Off Lane</v>
      </c>
      <c r="D1490">
        <f>COUNTIFS([3]!players[name],A1490,[3]!players[hero_name],B1490)</f>
        <v>1</v>
      </c>
      <c r="E1490">
        <f>COUNTIFS([3]!players[name],A1490,[3]!players[hero_name],B1490, [3]!players[win], 1)</f>
        <v>0</v>
      </c>
      <c r="F1490" s="1">
        <f t="shared" si="23"/>
        <v>0</v>
      </c>
      <c r="G1490" s="2">
        <f>AVERAGEIFS([3]!players[gold_per_min], [3]!players[name],A1490,[3]!players[hero_name],B1490)</f>
        <v>489</v>
      </c>
      <c r="H1490" s="2">
        <f>AVERAGEIFS([3]!players[xp_per_min], [3]!players[name],A1490,[3]!players[hero_name],B1490)</f>
        <v>678</v>
      </c>
    </row>
    <row r="1491" spans="1:8" x14ac:dyDescent="0.3">
      <c r="A1491" t="str">
        <v>pma</v>
      </c>
      <c r="B1491" t="str">
        <v>Tidehunter</v>
      </c>
      <c r="C1491" t="str" cm="1">
        <f t="array" ref="C1491">_xlfn.XLOOKUP(1,([3]!players[name]=A1491)*([3]!players[hero_name]=B1491),[3]!players[lane_name])</f>
        <v>Off Lane</v>
      </c>
      <c r="D1491">
        <f>COUNTIFS([3]!players[name],A1491,[3]!players[hero_name],B1491)</f>
        <v>1</v>
      </c>
      <c r="E1491">
        <f>COUNTIFS([3]!players[name],A1491,[3]!players[hero_name],B1491, [3]!players[win], 1)</f>
        <v>0</v>
      </c>
      <c r="F1491" s="1">
        <f t="shared" si="23"/>
        <v>0</v>
      </c>
      <c r="G1491" s="2">
        <f>AVERAGEIFS([3]!players[gold_per_min], [3]!players[name],A1491,[3]!players[hero_name],B1491)</f>
        <v>378</v>
      </c>
      <c r="H1491" s="2">
        <f>AVERAGEIFS([3]!players[xp_per_min], [3]!players[name],A1491,[3]!players[hero_name],B1491)</f>
        <v>420</v>
      </c>
    </row>
    <row r="1492" spans="1:8" x14ac:dyDescent="0.3">
      <c r="A1492" t="str">
        <v>ponlo</v>
      </c>
      <c r="B1492" t="str">
        <v>Clockwerk</v>
      </c>
      <c r="C1492" t="str" cm="1">
        <f t="array" ref="C1492">_xlfn.XLOOKUP(1,([3]!players[name]=A1492)*([3]!players[hero_name]=B1492),[3]!players[lane_name])</f>
        <v>Hard Support</v>
      </c>
      <c r="D1492">
        <f>COUNTIFS([3]!players[name],A1492,[3]!players[hero_name],B1492)</f>
        <v>1</v>
      </c>
      <c r="E1492">
        <f>COUNTIFS([3]!players[name],A1492,[3]!players[hero_name],B1492, [3]!players[win], 1)</f>
        <v>1</v>
      </c>
      <c r="F1492" s="1">
        <f t="shared" si="23"/>
        <v>1</v>
      </c>
      <c r="G1492" s="2">
        <f>AVERAGEIFS([3]!players[gold_per_min], [3]!players[name],A1492,[3]!players[hero_name],B1492)</f>
        <v>300</v>
      </c>
      <c r="H1492" s="2">
        <f>AVERAGEIFS([3]!players[xp_per_min], [3]!players[name],A1492,[3]!players[hero_name],B1492)</f>
        <v>371</v>
      </c>
    </row>
    <row r="1493" spans="1:8" x14ac:dyDescent="0.3">
      <c r="A1493" t="str">
        <v>ponlo</v>
      </c>
      <c r="B1493" t="str">
        <v>Treant Protector</v>
      </c>
      <c r="C1493" t="str" cm="1">
        <f t="array" ref="C1493">_xlfn.XLOOKUP(1,([3]!players[name]=A1493)*([3]!players[hero_name]=B1493),[3]!players[lane_name])</f>
        <v>Hard Support</v>
      </c>
      <c r="D1493">
        <f>COUNTIFS([3]!players[name],A1493,[3]!players[hero_name],B1493)</f>
        <v>1</v>
      </c>
      <c r="E1493">
        <f>COUNTIFS([3]!players[name],A1493,[3]!players[hero_name],B1493, [3]!players[win], 1)</f>
        <v>0</v>
      </c>
      <c r="F1493" s="1">
        <f t="shared" si="23"/>
        <v>0</v>
      </c>
      <c r="G1493" s="2">
        <f>AVERAGEIFS([3]!players[gold_per_min], [3]!players[name],A1493,[3]!players[hero_name],B1493)</f>
        <v>287</v>
      </c>
      <c r="H1493" s="2">
        <f>AVERAGEIFS([3]!players[xp_per_min], [3]!players[name],A1493,[3]!players[hero_name],B1493)</f>
        <v>540</v>
      </c>
    </row>
    <row r="1494" spans="1:8" x14ac:dyDescent="0.3">
      <c r="A1494" t="str">
        <v>ponlo</v>
      </c>
      <c r="B1494" t="str">
        <v>Venomancer</v>
      </c>
      <c r="C1494" t="str" cm="1">
        <f t="array" ref="C1494">_xlfn.XLOOKUP(1,([3]!players[name]=A1494)*([3]!players[hero_name]=B1494),[3]!players[lane_name])</f>
        <v>Hard Support</v>
      </c>
      <c r="D1494">
        <f>COUNTIFS([3]!players[name],A1494,[3]!players[hero_name],B1494)</f>
        <v>1</v>
      </c>
      <c r="E1494">
        <f>COUNTIFS([3]!players[name],A1494,[3]!players[hero_name],B1494, [3]!players[win], 1)</f>
        <v>0</v>
      </c>
      <c r="F1494" s="1">
        <f t="shared" si="23"/>
        <v>0</v>
      </c>
      <c r="G1494" s="2">
        <f>AVERAGEIFS([3]!players[gold_per_min], [3]!players[name],A1494,[3]!players[hero_name],B1494)</f>
        <v>325</v>
      </c>
      <c r="H1494" s="2">
        <f>AVERAGEIFS([3]!players[xp_per_min], [3]!players[name],A1494,[3]!players[hero_name],B1494)</f>
        <v>373</v>
      </c>
    </row>
    <row r="1495" spans="1:8" x14ac:dyDescent="0.3">
      <c r="A1495" t="str">
        <v>ponlo</v>
      </c>
      <c r="B1495" t="str">
        <v>Techies</v>
      </c>
      <c r="C1495" t="str" cm="1">
        <f t="array" ref="C1495">_xlfn.XLOOKUP(1,([3]!players[name]=A1495)*([3]!players[hero_name]=B1495),[3]!players[lane_name])</f>
        <v>Soft Support</v>
      </c>
      <c r="D1495">
        <f>COUNTIFS([3]!players[name],A1495,[3]!players[hero_name],B1495)</f>
        <v>3</v>
      </c>
      <c r="E1495">
        <f>COUNTIFS([3]!players[name],A1495,[3]!players[hero_name],B1495, [3]!players[win], 1)</f>
        <v>3</v>
      </c>
      <c r="F1495" s="1">
        <f t="shared" si="23"/>
        <v>1</v>
      </c>
      <c r="G1495" s="2">
        <f>AVERAGEIFS([3]!players[gold_per_min], [3]!players[name],A1495,[3]!players[hero_name],B1495)</f>
        <v>391</v>
      </c>
      <c r="H1495" s="2">
        <f>AVERAGEIFS([3]!players[xp_per_min], [3]!players[name],A1495,[3]!players[hero_name],B1495)</f>
        <v>528.66666666666663</v>
      </c>
    </row>
    <row r="1496" spans="1:8" x14ac:dyDescent="0.3">
      <c r="A1496" t="str">
        <v>ponlo</v>
      </c>
      <c r="B1496" t="str">
        <v>Grimstroke</v>
      </c>
      <c r="C1496" t="str" cm="1">
        <f t="array" ref="C1496">_xlfn.XLOOKUP(1,([3]!players[name]=A1496)*([3]!players[hero_name]=B1496),[3]!players[lane_name])</f>
        <v>Hard Support</v>
      </c>
      <c r="D1496">
        <f>COUNTIFS([3]!players[name],A1496,[3]!players[hero_name],B1496)</f>
        <v>1</v>
      </c>
      <c r="E1496">
        <f>COUNTIFS([3]!players[name],A1496,[3]!players[hero_name],B1496, [3]!players[win], 1)</f>
        <v>1</v>
      </c>
      <c r="F1496" s="1">
        <f t="shared" si="23"/>
        <v>1</v>
      </c>
      <c r="G1496" s="2">
        <f>AVERAGEIFS([3]!players[gold_per_min], [3]!players[name],A1496,[3]!players[hero_name],B1496)</f>
        <v>318</v>
      </c>
      <c r="H1496" s="2">
        <f>AVERAGEIFS([3]!players[xp_per_min], [3]!players[name],A1496,[3]!players[hero_name],B1496)</f>
        <v>466</v>
      </c>
    </row>
    <row r="1497" spans="1:8" x14ac:dyDescent="0.3">
      <c r="A1497" t="str">
        <v>ponlo</v>
      </c>
      <c r="B1497" t="str">
        <v>Hoodwink</v>
      </c>
      <c r="C1497" t="str" cm="1">
        <f t="array" ref="C1497">_xlfn.XLOOKUP(1,([3]!players[name]=A1497)*([3]!players[hero_name]=B1497),[3]!players[lane_name])</f>
        <v>Roam</v>
      </c>
      <c r="D1497">
        <f>COUNTIFS([3]!players[name],A1497,[3]!players[hero_name],B1497)</f>
        <v>2</v>
      </c>
      <c r="E1497">
        <f>COUNTIFS([3]!players[name],A1497,[3]!players[hero_name],B1497, [3]!players[win], 1)</f>
        <v>1</v>
      </c>
      <c r="F1497" s="1">
        <f t="shared" si="23"/>
        <v>0.5</v>
      </c>
      <c r="G1497" s="2">
        <f>AVERAGEIFS([3]!players[gold_per_min], [3]!players[name],A1497,[3]!players[hero_name],B1497)</f>
        <v>347.5</v>
      </c>
      <c r="H1497" s="2">
        <f>AVERAGEIFS([3]!players[xp_per_min], [3]!players[name],A1497,[3]!players[hero_name],B1497)</f>
        <v>546</v>
      </c>
    </row>
    <row r="1498" spans="1:8" x14ac:dyDescent="0.3">
      <c r="A1498" t="str">
        <v>ponlo</v>
      </c>
      <c r="B1498" t="str">
        <v>Rubick</v>
      </c>
      <c r="C1498" t="str" cm="1">
        <f t="array" ref="C1498">_xlfn.XLOOKUP(1,([3]!players[name]=A1498)*([3]!players[hero_name]=B1498),[3]!players[lane_name])</f>
        <v>Roam</v>
      </c>
      <c r="D1498">
        <f>COUNTIFS([3]!players[name],A1498,[3]!players[hero_name],B1498)</f>
        <v>1</v>
      </c>
      <c r="E1498">
        <f>COUNTIFS([3]!players[name],A1498,[3]!players[hero_name],B1498, [3]!players[win], 1)</f>
        <v>0</v>
      </c>
      <c r="F1498" s="1">
        <f t="shared" si="23"/>
        <v>0</v>
      </c>
      <c r="G1498" s="2">
        <f>AVERAGEIFS([3]!players[gold_per_min], [3]!players[name],A1498,[3]!players[hero_name],B1498)</f>
        <v>293</v>
      </c>
      <c r="H1498" s="2">
        <f>AVERAGEIFS([3]!players[xp_per_min], [3]!players[name],A1498,[3]!players[hero_name],B1498)</f>
        <v>410</v>
      </c>
    </row>
    <row r="1499" spans="1:8" x14ac:dyDescent="0.3">
      <c r="A1499" t="str">
        <v>ponlo</v>
      </c>
      <c r="B1499" t="str">
        <v>Spirit Breaker</v>
      </c>
      <c r="C1499" t="str" cm="1">
        <f t="array" ref="C1499">_xlfn.XLOOKUP(1,([3]!players[name]=A1499)*([3]!players[hero_name]=B1499),[3]!players[lane_name])</f>
        <v>Hard Support</v>
      </c>
      <c r="D1499">
        <f>COUNTIFS([3]!players[name],A1499,[3]!players[hero_name],B1499)</f>
        <v>1</v>
      </c>
      <c r="E1499">
        <f>COUNTIFS([3]!players[name],A1499,[3]!players[hero_name],B1499, [3]!players[win], 1)</f>
        <v>1</v>
      </c>
      <c r="F1499" s="1">
        <f t="shared" si="23"/>
        <v>1</v>
      </c>
      <c r="G1499" s="2">
        <f>AVERAGEIFS([3]!players[gold_per_min], [3]!players[name],A1499,[3]!players[hero_name],B1499)</f>
        <v>332</v>
      </c>
      <c r="H1499" s="2">
        <f>AVERAGEIFS([3]!players[xp_per_min], [3]!players[name],A1499,[3]!players[hero_name],B1499)</f>
        <v>624</v>
      </c>
    </row>
    <row r="1500" spans="1:8" x14ac:dyDescent="0.3">
      <c r="A1500" t="str">
        <v>ponlo</v>
      </c>
      <c r="B1500" t="str">
        <v>Lion</v>
      </c>
      <c r="C1500" t="str" cm="1">
        <f t="array" ref="C1500">_xlfn.XLOOKUP(1,([3]!players[name]=A1500)*([3]!players[hero_name]=B1500),[3]!players[lane_name])</f>
        <v>Hard Support</v>
      </c>
      <c r="D1500">
        <f>COUNTIFS([3]!players[name],A1500,[3]!players[hero_name],B1500)</f>
        <v>1</v>
      </c>
      <c r="E1500">
        <f>COUNTIFS([3]!players[name],A1500,[3]!players[hero_name],B1500, [3]!players[win], 1)</f>
        <v>0</v>
      </c>
      <c r="F1500" s="1">
        <f t="shared" si="23"/>
        <v>0</v>
      </c>
      <c r="G1500" s="2">
        <f>AVERAGEIFS([3]!players[gold_per_min], [3]!players[name],A1500,[3]!players[hero_name],B1500)</f>
        <v>238</v>
      </c>
      <c r="H1500" s="2">
        <f>AVERAGEIFS([3]!players[xp_per_min], [3]!players[name],A1500,[3]!players[hero_name],B1500)</f>
        <v>306</v>
      </c>
    </row>
    <row r="1501" spans="1:8" x14ac:dyDescent="0.3">
      <c r="A1501" t="str">
        <v>Prada</v>
      </c>
      <c r="B1501" t="str">
        <v>Disruptor</v>
      </c>
      <c r="C1501" t="str" cm="1">
        <f t="array" ref="C1501">_xlfn.XLOOKUP(1,([3]!players[name]=A1501)*([3]!players[hero_name]=B1501),[3]!players[lane_name])</f>
        <v>Hard Support</v>
      </c>
      <c r="D1501">
        <f>COUNTIFS([3]!players[name],A1501,[3]!players[hero_name],B1501)</f>
        <v>9</v>
      </c>
      <c r="E1501">
        <f>COUNTIFS([3]!players[name],A1501,[3]!players[hero_name],B1501, [3]!players[win], 1)</f>
        <v>4</v>
      </c>
      <c r="F1501" s="1">
        <f t="shared" si="23"/>
        <v>0.44444444444444442</v>
      </c>
      <c r="G1501" s="2">
        <f>AVERAGEIFS([3]!players[gold_per_min], [3]!players[name],A1501,[3]!players[hero_name],B1501)</f>
        <v>315.44444444444446</v>
      </c>
      <c r="H1501" s="2">
        <f>AVERAGEIFS([3]!players[xp_per_min], [3]!players[name],A1501,[3]!players[hero_name],B1501)</f>
        <v>459.88888888888891</v>
      </c>
    </row>
    <row r="1502" spans="1:8" x14ac:dyDescent="0.3">
      <c r="A1502" t="str">
        <v>Prada</v>
      </c>
      <c r="B1502" t="str">
        <v>Jakiro</v>
      </c>
      <c r="C1502" t="str" cm="1">
        <f t="array" ref="C1502">_xlfn.XLOOKUP(1,([3]!players[name]=A1502)*([3]!players[hero_name]=B1502),[3]!players[lane_name])</f>
        <v>Soft Support</v>
      </c>
      <c r="D1502">
        <f>COUNTIFS([3]!players[name],A1502,[3]!players[hero_name],B1502)</f>
        <v>4</v>
      </c>
      <c r="E1502">
        <f>COUNTIFS([3]!players[name],A1502,[3]!players[hero_name],B1502, [3]!players[win], 1)</f>
        <v>1</v>
      </c>
      <c r="F1502" s="1">
        <f t="shared" si="23"/>
        <v>0.25</v>
      </c>
      <c r="G1502" s="2">
        <f>AVERAGEIFS([3]!players[gold_per_min], [3]!players[name],A1502,[3]!players[hero_name],B1502)</f>
        <v>248.25</v>
      </c>
      <c r="H1502" s="2">
        <f>AVERAGEIFS([3]!players[xp_per_min], [3]!players[name],A1502,[3]!players[hero_name],B1502)</f>
        <v>322.25</v>
      </c>
    </row>
    <row r="1503" spans="1:8" x14ac:dyDescent="0.3">
      <c r="A1503" t="str">
        <v>Prada</v>
      </c>
      <c r="B1503" t="str">
        <v>Bane</v>
      </c>
      <c r="C1503" t="str" cm="1">
        <f t="array" ref="C1503">_xlfn.XLOOKUP(1,([3]!players[name]=A1503)*([3]!players[hero_name]=B1503),[3]!players[lane_name])</f>
        <v>Hard Support</v>
      </c>
      <c r="D1503">
        <f>COUNTIFS([3]!players[name],A1503,[3]!players[hero_name],B1503)</f>
        <v>1</v>
      </c>
      <c r="E1503">
        <f>COUNTIFS([3]!players[name],A1503,[3]!players[hero_name],B1503, [3]!players[win], 1)</f>
        <v>0</v>
      </c>
      <c r="F1503" s="1">
        <f t="shared" si="23"/>
        <v>0</v>
      </c>
      <c r="G1503" s="2">
        <f>AVERAGEIFS([3]!players[gold_per_min], [3]!players[name],A1503,[3]!players[hero_name],B1503)</f>
        <v>205</v>
      </c>
      <c r="H1503" s="2">
        <f>AVERAGEIFS([3]!players[xp_per_min], [3]!players[name],A1503,[3]!players[hero_name],B1503)</f>
        <v>254</v>
      </c>
    </row>
    <row r="1504" spans="1:8" x14ac:dyDescent="0.3">
      <c r="A1504" t="str">
        <v>Prada</v>
      </c>
      <c r="B1504" t="str">
        <v>Batrider</v>
      </c>
      <c r="C1504" t="str" cm="1">
        <f t="array" ref="C1504">_xlfn.XLOOKUP(1,([3]!players[name]=A1504)*([3]!players[hero_name]=B1504),[3]!players[lane_name])</f>
        <v>Soft Support</v>
      </c>
      <c r="D1504">
        <f>COUNTIFS([3]!players[name],A1504,[3]!players[hero_name],B1504)</f>
        <v>2</v>
      </c>
      <c r="E1504">
        <f>COUNTIFS([3]!players[name],A1504,[3]!players[hero_name],B1504, [3]!players[win], 1)</f>
        <v>1</v>
      </c>
      <c r="F1504" s="1">
        <f t="shared" si="23"/>
        <v>0.5</v>
      </c>
      <c r="G1504" s="2">
        <f>AVERAGEIFS([3]!players[gold_per_min], [3]!players[name],A1504,[3]!players[hero_name],B1504)</f>
        <v>389.5</v>
      </c>
      <c r="H1504" s="2">
        <f>AVERAGEIFS([3]!players[xp_per_min], [3]!players[name],A1504,[3]!players[hero_name],B1504)</f>
        <v>526</v>
      </c>
    </row>
    <row r="1505" spans="1:8" x14ac:dyDescent="0.3">
      <c r="A1505" t="str">
        <v>Prada</v>
      </c>
      <c r="B1505" t="str">
        <v>Enchantress</v>
      </c>
      <c r="C1505" t="str" cm="1">
        <f t="array" ref="C1505">_xlfn.XLOOKUP(1,([3]!players[name]=A1505)*([3]!players[hero_name]=B1505),[3]!players[lane_name])</f>
        <v>Hard Support</v>
      </c>
      <c r="D1505">
        <f>COUNTIFS([3]!players[name],A1505,[3]!players[hero_name],B1505)</f>
        <v>1</v>
      </c>
      <c r="E1505">
        <f>COUNTIFS([3]!players[name],A1505,[3]!players[hero_name],B1505, [3]!players[win], 1)</f>
        <v>0</v>
      </c>
      <c r="F1505" s="1">
        <f t="shared" si="23"/>
        <v>0</v>
      </c>
      <c r="G1505" s="2">
        <f>AVERAGEIFS([3]!players[gold_per_min], [3]!players[name],A1505,[3]!players[hero_name],B1505)</f>
        <v>233</v>
      </c>
      <c r="H1505" s="2">
        <f>AVERAGEIFS([3]!players[xp_per_min], [3]!players[name],A1505,[3]!players[hero_name],B1505)</f>
        <v>238</v>
      </c>
    </row>
    <row r="1506" spans="1:8" x14ac:dyDescent="0.3">
      <c r="A1506" t="str">
        <v>Prada</v>
      </c>
      <c r="B1506" t="str">
        <v>Venomancer</v>
      </c>
      <c r="C1506" t="str" cm="1">
        <f t="array" ref="C1506">_xlfn.XLOOKUP(1,([3]!players[name]=A1506)*([3]!players[hero_name]=B1506),[3]!players[lane_name])</f>
        <v>Roam</v>
      </c>
      <c r="D1506">
        <f>COUNTIFS([3]!players[name],A1506,[3]!players[hero_name],B1506)</f>
        <v>1</v>
      </c>
      <c r="E1506">
        <f>COUNTIFS([3]!players[name],A1506,[3]!players[hero_name],B1506, [3]!players[win], 1)</f>
        <v>0</v>
      </c>
      <c r="F1506" s="1">
        <f t="shared" si="23"/>
        <v>0</v>
      </c>
      <c r="G1506" s="2">
        <f>AVERAGEIFS([3]!players[gold_per_min], [3]!players[name],A1506,[3]!players[hero_name],B1506)</f>
        <v>230</v>
      </c>
      <c r="H1506" s="2">
        <f>AVERAGEIFS([3]!players[xp_per_min], [3]!players[name],A1506,[3]!players[hero_name],B1506)</f>
        <v>238</v>
      </c>
    </row>
    <row r="1507" spans="1:8" x14ac:dyDescent="0.3">
      <c r="A1507" t="str">
        <v>Prada</v>
      </c>
      <c r="B1507" t="str">
        <v>Lich</v>
      </c>
      <c r="C1507" t="str" cm="1">
        <f t="array" ref="C1507">_xlfn.XLOOKUP(1,([3]!players[name]=A1507)*([3]!players[hero_name]=B1507),[3]!players[lane_name])</f>
        <v>Hard Support</v>
      </c>
      <c r="D1507">
        <f>COUNTIFS([3]!players[name],A1507,[3]!players[hero_name],B1507)</f>
        <v>1</v>
      </c>
      <c r="E1507">
        <f>COUNTIFS([3]!players[name],A1507,[3]!players[hero_name],B1507, [3]!players[win], 1)</f>
        <v>0</v>
      </c>
      <c r="F1507" s="1">
        <f t="shared" si="23"/>
        <v>0</v>
      </c>
      <c r="G1507" s="2">
        <f>AVERAGEIFS([3]!players[gold_per_min], [3]!players[name],A1507,[3]!players[hero_name],B1507)</f>
        <v>196</v>
      </c>
      <c r="H1507" s="2">
        <f>AVERAGEIFS([3]!players[xp_per_min], [3]!players[name],A1507,[3]!players[hero_name],B1507)</f>
        <v>311</v>
      </c>
    </row>
    <row r="1508" spans="1:8" x14ac:dyDescent="0.3">
      <c r="A1508" t="str">
        <v>Prada</v>
      </c>
      <c r="B1508" t="str">
        <v>Treant Protector</v>
      </c>
      <c r="C1508" t="str" cm="1">
        <f t="array" ref="C1508">_xlfn.XLOOKUP(1,([3]!players[name]=A1508)*([3]!players[hero_name]=B1508),[3]!players[lane_name])</f>
        <v>Hard Support</v>
      </c>
      <c r="D1508">
        <f>COUNTIFS([3]!players[name],A1508,[3]!players[hero_name],B1508)</f>
        <v>1</v>
      </c>
      <c r="E1508">
        <f>COUNTIFS([3]!players[name],A1508,[3]!players[hero_name],B1508, [3]!players[win], 1)</f>
        <v>0</v>
      </c>
      <c r="F1508" s="1">
        <f t="shared" si="23"/>
        <v>0</v>
      </c>
      <c r="G1508" s="2">
        <f>AVERAGEIFS([3]!players[gold_per_min], [3]!players[name],A1508,[3]!players[hero_name],B1508)</f>
        <v>330</v>
      </c>
      <c r="H1508" s="2">
        <f>AVERAGEIFS([3]!players[xp_per_min], [3]!players[name],A1508,[3]!players[hero_name],B1508)</f>
        <v>490</v>
      </c>
    </row>
    <row r="1509" spans="1:8" x14ac:dyDescent="0.3">
      <c r="A1509" t="str">
        <v>Prada</v>
      </c>
      <c r="B1509" t="str">
        <v>Rubick</v>
      </c>
      <c r="C1509" t="str" cm="1">
        <f t="array" ref="C1509">_xlfn.XLOOKUP(1,([3]!players[name]=A1509)*([3]!players[hero_name]=B1509),[3]!players[lane_name])</f>
        <v>Soft Support</v>
      </c>
      <c r="D1509">
        <f>COUNTIFS([3]!players[name],A1509,[3]!players[hero_name],B1509)</f>
        <v>1</v>
      </c>
      <c r="E1509">
        <f>COUNTIFS([3]!players[name],A1509,[3]!players[hero_name],B1509, [3]!players[win], 1)</f>
        <v>0</v>
      </c>
      <c r="F1509" s="1">
        <f t="shared" si="23"/>
        <v>0</v>
      </c>
      <c r="G1509" s="2">
        <f>AVERAGEIFS([3]!players[gold_per_min], [3]!players[name],A1509,[3]!players[hero_name],B1509)</f>
        <v>307</v>
      </c>
      <c r="H1509" s="2">
        <f>AVERAGEIFS([3]!players[xp_per_min], [3]!players[name],A1509,[3]!players[hero_name],B1509)</f>
        <v>387</v>
      </c>
    </row>
    <row r="1510" spans="1:8" x14ac:dyDescent="0.3">
      <c r="A1510" t="str">
        <v>Prada</v>
      </c>
      <c r="B1510" t="str">
        <v>Phoenix</v>
      </c>
      <c r="C1510" t="str" cm="1">
        <f t="array" ref="C1510">_xlfn.XLOOKUP(1,([3]!players[name]=A1510)*([3]!players[hero_name]=B1510),[3]!players[lane_name])</f>
        <v>Soft Support</v>
      </c>
      <c r="D1510">
        <f>COUNTIFS([3]!players[name],A1510,[3]!players[hero_name],B1510)</f>
        <v>2</v>
      </c>
      <c r="E1510">
        <f>COUNTIFS([3]!players[name],A1510,[3]!players[hero_name],B1510, [3]!players[win], 1)</f>
        <v>0</v>
      </c>
      <c r="F1510" s="1">
        <f t="shared" si="23"/>
        <v>0</v>
      </c>
      <c r="G1510" s="2">
        <f>AVERAGEIFS([3]!players[gold_per_min], [3]!players[name],A1510,[3]!players[hero_name],B1510)</f>
        <v>308.5</v>
      </c>
      <c r="H1510" s="2">
        <f>AVERAGEIFS([3]!players[xp_per_min], [3]!players[name],A1510,[3]!players[hero_name],B1510)</f>
        <v>361</v>
      </c>
    </row>
    <row r="1511" spans="1:8" x14ac:dyDescent="0.3">
      <c r="A1511" t="str">
        <v>Prada</v>
      </c>
      <c r="B1511" t="str">
        <v>Crystal Maiden</v>
      </c>
      <c r="C1511" t="str" cm="1">
        <f t="array" ref="C1511">_xlfn.XLOOKUP(1,([3]!players[name]=A1511)*([3]!players[hero_name]=B1511),[3]!players[lane_name])</f>
        <v>Hard Support</v>
      </c>
      <c r="D1511">
        <f>COUNTIFS([3]!players[name],A1511,[3]!players[hero_name],B1511)</f>
        <v>1</v>
      </c>
      <c r="E1511">
        <f>COUNTIFS([3]!players[name],A1511,[3]!players[hero_name],B1511, [3]!players[win], 1)</f>
        <v>0</v>
      </c>
      <c r="F1511" s="1">
        <f t="shared" si="23"/>
        <v>0</v>
      </c>
      <c r="G1511" s="2">
        <f>AVERAGEIFS([3]!players[gold_per_min], [3]!players[name],A1511,[3]!players[hero_name],B1511)</f>
        <v>274</v>
      </c>
      <c r="H1511" s="2">
        <f>AVERAGEIFS([3]!players[xp_per_min], [3]!players[name],A1511,[3]!players[hero_name],B1511)</f>
        <v>350</v>
      </c>
    </row>
    <row r="1512" spans="1:8" x14ac:dyDescent="0.3">
      <c r="A1512" t="str">
        <v>prblms</v>
      </c>
      <c r="B1512" t="str">
        <v>Jakiro</v>
      </c>
      <c r="C1512" t="str" cm="1">
        <f t="array" ref="C1512">_xlfn.XLOOKUP(1,([3]!players[name]=A1512)*([3]!players[hero_name]=B1512),[3]!players[lane_name])</f>
        <v>Roam</v>
      </c>
      <c r="D1512">
        <f>COUNTIFS([3]!players[name],A1512,[3]!players[hero_name],B1512)</f>
        <v>3</v>
      </c>
      <c r="E1512">
        <f>COUNTIFS([3]!players[name],A1512,[3]!players[hero_name],B1512, [3]!players[win], 1)</f>
        <v>1</v>
      </c>
      <c r="F1512" s="1">
        <f t="shared" si="23"/>
        <v>0.33333333333333331</v>
      </c>
      <c r="G1512" s="2">
        <f>AVERAGEIFS([3]!players[gold_per_min], [3]!players[name],A1512,[3]!players[hero_name],B1512)</f>
        <v>321.66666666666669</v>
      </c>
      <c r="H1512" s="2">
        <f>AVERAGEIFS([3]!players[xp_per_min], [3]!players[name],A1512,[3]!players[hero_name],B1512)</f>
        <v>446.66666666666669</v>
      </c>
    </row>
    <row r="1513" spans="1:8" x14ac:dyDescent="0.3">
      <c r="A1513" t="str">
        <v>prblms</v>
      </c>
      <c r="B1513" t="str">
        <v>Ringmaster</v>
      </c>
      <c r="C1513" t="str" cm="1">
        <f t="array" ref="C1513">_xlfn.XLOOKUP(1,([3]!players[name]=A1513)*([3]!players[hero_name]=B1513),[3]!players[lane_name])</f>
        <v>Soft Support</v>
      </c>
      <c r="D1513">
        <f>COUNTIFS([3]!players[name],A1513,[3]!players[hero_name],B1513)</f>
        <v>1</v>
      </c>
      <c r="E1513">
        <f>COUNTIFS([3]!players[name],A1513,[3]!players[hero_name],B1513, [3]!players[win], 1)</f>
        <v>0</v>
      </c>
      <c r="F1513" s="1">
        <f t="shared" si="23"/>
        <v>0</v>
      </c>
      <c r="G1513" s="2">
        <f>AVERAGEIFS([3]!players[gold_per_min], [3]!players[name],A1513,[3]!players[hero_name],B1513)</f>
        <v>242</v>
      </c>
      <c r="H1513" s="2">
        <f>AVERAGEIFS([3]!players[xp_per_min], [3]!players[name],A1513,[3]!players[hero_name],B1513)</f>
        <v>296</v>
      </c>
    </row>
    <row r="1514" spans="1:8" x14ac:dyDescent="0.3">
      <c r="A1514" t="str">
        <v>prblms</v>
      </c>
      <c r="B1514" t="str">
        <v>Rubick</v>
      </c>
      <c r="C1514" t="str" cm="1">
        <f t="array" ref="C1514">_xlfn.XLOOKUP(1,([3]!players[name]=A1514)*([3]!players[hero_name]=B1514),[3]!players[lane_name])</f>
        <v>Soft Support</v>
      </c>
      <c r="D1514">
        <f>COUNTIFS([3]!players[name],A1514,[3]!players[hero_name],B1514)</f>
        <v>4</v>
      </c>
      <c r="E1514">
        <f>COUNTIFS([3]!players[name],A1514,[3]!players[hero_name],B1514, [3]!players[win], 1)</f>
        <v>3</v>
      </c>
      <c r="F1514" s="1">
        <f t="shared" si="23"/>
        <v>0.75</v>
      </c>
      <c r="G1514" s="2">
        <f>AVERAGEIFS([3]!players[gold_per_min], [3]!players[name],A1514,[3]!players[hero_name],B1514)</f>
        <v>349</v>
      </c>
      <c r="H1514" s="2">
        <f>AVERAGEIFS([3]!players[xp_per_min], [3]!players[name],A1514,[3]!players[hero_name],B1514)</f>
        <v>565.5</v>
      </c>
    </row>
    <row r="1515" spans="1:8" x14ac:dyDescent="0.3">
      <c r="A1515" t="str">
        <v>prblms</v>
      </c>
      <c r="B1515" t="str">
        <v>Mirana</v>
      </c>
      <c r="C1515" t="str" cm="1">
        <f t="array" ref="C1515">_xlfn.XLOOKUP(1,([3]!players[name]=A1515)*([3]!players[hero_name]=B1515),[3]!players[lane_name])</f>
        <v>Hard Support</v>
      </c>
      <c r="D1515">
        <f>COUNTIFS([3]!players[name],A1515,[3]!players[hero_name],B1515)</f>
        <v>3</v>
      </c>
      <c r="E1515">
        <f>COUNTIFS([3]!players[name],A1515,[3]!players[hero_name],B1515, [3]!players[win], 1)</f>
        <v>3</v>
      </c>
      <c r="F1515" s="1">
        <f t="shared" si="23"/>
        <v>1</v>
      </c>
      <c r="G1515" s="2">
        <f>AVERAGEIFS([3]!players[gold_per_min], [3]!players[name],A1515,[3]!players[hero_name],B1515)</f>
        <v>391</v>
      </c>
      <c r="H1515" s="2">
        <f>AVERAGEIFS([3]!players[xp_per_min], [3]!players[name],A1515,[3]!players[hero_name],B1515)</f>
        <v>563.66666666666663</v>
      </c>
    </row>
    <row r="1516" spans="1:8" x14ac:dyDescent="0.3">
      <c r="A1516" t="str">
        <v>prblms</v>
      </c>
      <c r="B1516" t="str">
        <v>Disruptor</v>
      </c>
      <c r="C1516" t="str" cm="1">
        <f t="array" ref="C1516">_xlfn.XLOOKUP(1,([3]!players[name]=A1516)*([3]!players[hero_name]=B1516),[3]!players[lane_name])</f>
        <v>Roam</v>
      </c>
      <c r="D1516">
        <f>COUNTIFS([3]!players[name],A1516,[3]!players[hero_name],B1516)</f>
        <v>5</v>
      </c>
      <c r="E1516">
        <f>COUNTIFS([3]!players[name],A1516,[3]!players[hero_name],B1516, [3]!players[win], 1)</f>
        <v>4</v>
      </c>
      <c r="F1516" s="1">
        <f t="shared" si="23"/>
        <v>0.8</v>
      </c>
      <c r="G1516" s="2">
        <f>AVERAGEIFS([3]!players[gold_per_min], [3]!players[name],A1516,[3]!players[hero_name],B1516)</f>
        <v>297.60000000000002</v>
      </c>
      <c r="H1516" s="2">
        <f>AVERAGEIFS([3]!players[xp_per_min], [3]!players[name],A1516,[3]!players[hero_name],B1516)</f>
        <v>516.6</v>
      </c>
    </row>
    <row r="1517" spans="1:8" x14ac:dyDescent="0.3">
      <c r="A1517" t="str">
        <v>prblms</v>
      </c>
      <c r="B1517" t="str">
        <v>Hoodwink</v>
      </c>
      <c r="C1517" t="str" cm="1">
        <f t="array" ref="C1517">_xlfn.XLOOKUP(1,([3]!players[name]=A1517)*([3]!players[hero_name]=B1517),[3]!players[lane_name])</f>
        <v>Soft Support</v>
      </c>
      <c r="D1517">
        <f>COUNTIFS([3]!players[name],A1517,[3]!players[hero_name],B1517)</f>
        <v>1</v>
      </c>
      <c r="E1517">
        <f>COUNTIFS([3]!players[name],A1517,[3]!players[hero_name],B1517, [3]!players[win], 1)</f>
        <v>0</v>
      </c>
      <c r="F1517" s="1">
        <f t="shared" si="23"/>
        <v>0</v>
      </c>
      <c r="G1517" s="2">
        <f>AVERAGEIFS([3]!players[gold_per_min], [3]!players[name],A1517,[3]!players[hero_name],B1517)</f>
        <v>263</v>
      </c>
      <c r="H1517" s="2">
        <f>AVERAGEIFS([3]!players[xp_per_min], [3]!players[name],A1517,[3]!players[hero_name],B1517)</f>
        <v>296</v>
      </c>
    </row>
    <row r="1518" spans="1:8" x14ac:dyDescent="0.3">
      <c r="A1518" t="str">
        <v>prblms</v>
      </c>
      <c r="B1518" t="str">
        <v>Clockwerk</v>
      </c>
      <c r="C1518" t="str" cm="1">
        <f t="array" ref="C1518">_xlfn.XLOOKUP(1,([3]!players[name]=A1518)*([3]!players[hero_name]=B1518),[3]!players[lane_name])</f>
        <v>Soft Support</v>
      </c>
      <c r="D1518">
        <f>COUNTIFS([3]!players[name],A1518,[3]!players[hero_name],B1518)</f>
        <v>3</v>
      </c>
      <c r="E1518">
        <f>COUNTIFS([3]!players[name],A1518,[3]!players[hero_name],B1518, [3]!players[win], 1)</f>
        <v>1</v>
      </c>
      <c r="F1518" s="1">
        <f t="shared" si="23"/>
        <v>0.33333333333333331</v>
      </c>
      <c r="G1518" s="2">
        <f>AVERAGEIFS([3]!players[gold_per_min], [3]!players[name],A1518,[3]!players[hero_name],B1518)</f>
        <v>308.66666666666669</v>
      </c>
      <c r="H1518" s="2">
        <f>AVERAGEIFS([3]!players[xp_per_min], [3]!players[name],A1518,[3]!players[hero_name],B1518)</f>
        <v>474</v>
      </c>
    </row>
    <row r="1519" spans="1:8" x14ac:dyDescent="0.3">
      <c r="A1519" t="str">
        <v>prblms</v>
      </c>
      <c r="B1519" t="str">
        <v>Grimstroke</v>
      </c>
      <c r="C1519" t="str" cm="1">
        <f t="array" ref="C1519">_xlfn.XLOOKUP(1,([3]!players[name]=A1519)*([3]!players[hero_name]=B1519),[3]!players[lane_name])</f>
        <v>Hard Support</v>
      </c>
      <c r="D1519">
        <f>COUNTIFS([3]!players[name],A1519,[3]!players[hero_name],B1519)</f>
        <v>4</v>
      </c>
      <c r="E1519">
        <f>COUNTIFS([3]!players[name],A1519,[3]!players[hero_name],B1519, [3]!players[win], 1)</f>
        <v>1</v>
      </c>
      <c r="F1519" s="1">
        <f t="shared" si="23"/>
        <v>0.25</v>
      </c>
      <c r="G1519" s="2">
        <f>AVERAGEIFS([3]!players[gold_per_min], [3]!players[name],A1519,[3]!players[hero_name],B1519)</f>
        <v>280.75</v>
      </c>
      <c r="H1519" s="2">
        <f>AVERAGEIFS([3]!players[xp_per_min], [3]!players[name],A1519,[3]!players[hero_name],B1519)</f>
        <v>381.75</v>
      </c>
    </row>
    <row r="1520" spans="1:8" x14ac:dyDescent="0.3">
      <c r="A1520" t="str">
        <v>prblms</v>
      </c>
      <c r="B1520" t="str">
        <v>Venomancer</v>
      </c>
      <c r="C1520" t="str" cm="1">
        <f t="array" ref="C1520">_xlfn.XLOOKUP(1,([3]!players[name]=A1520)*([3]!players[hero_name]=B1520),[3]!players[lane_name])</f>
        <v>Soft Support</v>
      </c>
      <c r="D1520">
        <f>COUNTIFS([3]!players[name],A1520,[3]!players[hero_name],B1520)</f>
        <v>2</v>
      </c>
      <c r="E1520">
        <f>COUNTIFS([3]!players[name],A1520,[3]!players[hero_name],B1520, [3]!players[win], 1)</f>
        <v>1</v>
      </c>
      <c r="F1520" s="1">
        <f t="shared" si="23"/>
        <v>0.5</v>
      </c>
      <c r="G1520" s="2">
        <f>AVERAGEIFS([3]!players[gold_per_min], [3]!players[name],A1520,[3]!players[hero_name],B1520)</f>
        <v>382</v>
      </c>
      <c r="H1520" s="2">
        <f>AVERAGEIFS([3]!players[xp_per_min], [3]!players[name],A1520,[3]!players[hero_name],B1520)</f>
        <v>460.5</v>
      </c>
    </row>
    <row r="1521" spans="1:8" x14ac:dyDescent="0.3">
      <c r="A1521" t="str">
        <v>prblms</v>
      </c>
      <c r="B1521" t="str">
        <v>Silencer</v>
      </c>
      <c r="C1521" t="str" cm="1">
        <f t="array" ref="C1521">_xlfn.XLOOKUP(1,([3]!players[name]=A1521)*([3]!players[hero_name]=B1521),[3]!players[lane_name])</f>
        <v>Soft Support</v>
      </c>
      <c r="D1521">
        <f>COUNTIFS([3]!players[name],A1521,[3]!players[hero_name],B1521)</f>
        <v>2</v>
      </c>
      <c r="E1521">
        <f>COUNTIFS([3]!players[name],A1521,[3]!players[hero_name],B1521, [3]!players[win], 1)</f>
        <v>0</v>
      </c>
      <c r="F1521" s="1">
        <f t="shared" si="23"/>
        <v>0</v>
      </c>
      <c r="G1521" s="2">
        <f>AVERAGEIFS([3]!players[gold_per_min], [3]!players[name],A1521,[3]!players[hero_name],B1521)</f>
        <v>245.5</v>
      </c>
      <c r="H1521" s="2">
        <f>AVERAGEIFS([3]!players[xp_per_min], [3]!players[name],A1521,[3]!players[hero_name],B1521)</f>
        <v>322</v>
      </c>
    </row>
    <row r="1522" spans="1:8" x14ac:dyDescent="0.3">
      <c r="A1522" t="str">
        <v>prblms</v>
      </c>
      <c r="B1522" t="str">
        <v>Tusk</v>
      </c>
      <c r="C1522" t="str" cm="1">
        <f t="array" ref="C1522">_xlfn.XLOOKUP(1,([3]!players[name]=A1522)*([3]!players[hero_name]=B1522),[3]!players[lane_name])</f>
        <v>Hard Support</v>
      </c>
      <c r="D1522">
        <f>COUNTIFS([3]!players[name],A1522,[3]!players[hero_name],B1522)</f>
        <v>3</v>
      </c>
      <c r="E1522">
        <f>COUNTIFS([3]!players[name],A1522,[3]!players[hero_name],B1522, [3]!players[win], 1)</f>
        <v>2</v>
      </c>
      <c r="F1522" s="1">
        <f t="shared" si="23"/>
        <v>0.66666666666666663</v>
      </c>
      <c r="G1522" s="2">
        <f>AVERAGEIFS([3]!players[gold_per_min], [3]!players[name],A1522,[3]!players[hero_name],B1522)</f>
        <v>294.66666666666669</v>
      </c>
      <c r="H1522" s="2">
        <f>AVERAGEIFS([3]!players[xp_per_min], [3]!players[name],A1522,[3]!players[hero_name],B1522)</f>
        <v>470</v>
      </c>
    </row>
    <row r="1523" spans="1:8" x14ac:dyDescent="0.3">
      <c r="A1523" t="str">
        <v>prblms</v>
      </c>
      <c r="B1523" t="str">
        <v>Phoenix</v>
      </c>
      <c r="C1523" t="str" cm="1">
        <f t="array" ref="C1523">_xlfn.XLOOKUP(1,([3]!players[name]=A1523)*([3]!players[hero_name]=B1523),[3]!players[lane_name])</f>
        <v>Soft Support</v>
      </c>
      <c r="D1523">
        <f>COUNTIFS([3]!players[name],A1523,[3]!players[hero_name],B1523)</f>
        <v>5</v>
      </c>
      <c r="E1523">
        <f>COUNTIFS([3]!players[name],A1523,[3]!players[hero_name],B1523, [3]!players[win], 1)</f>
        <v>2</v>
      </c>
      <c r="F1523" s="1">
        <f t="shared" si="23"/>
        <v>0.4</v>
      </c>
      <c r="G1523" s="2">
        <f>AVERAGEIFS([3]!players[gold_per_min], [3]!players[name],A1523,[3]!players[hero_name],B1523)</f>
        <v>352.8</v>
      </c>
      <c r="H1523" s="2">
        <f>AVERAGEIFS([3]!players[xp_per_min], [3]!players[name],A1523,[3]!players[hero_name],B1523)</f>
        <v>464.2</v>
      </c>
    </row>
    <row r="1524" spans="1:8" x14ac:dyDescent="0.3">
      <c r="A1524" t="str">
        <v>prblms</v>
      </c>
      <c r="B1524" t="str">
        <v>Lich</v>
      </c>
      <c r="C1524" t="str" cm="1">
        <f t="array" ref="C1524">_xlfn.XLOOKUP(1,([3]!players[name]=A1524)*([3]!players[hero_name]=B1524),[3]!players[lane_name])</f>
        <v>Roam</v>
      </c>
      <c r="D1524">
        <f>COUNTIFS([3]!players[name],A1524,[3]!players[hero_name],B1524)</f>
        <v>1</v>
      </c>
      <c r="E1524">
        <f>COUNTIFS([3]!players[name],A1524,[3]!players[hero_name],B1524, [3]!players[win], 1)</f>
        <v>0</v>
      </c>
      <c r="F1524" s="1">
        <f t="shared" si="23"/>
        <v>0</v>
      </c>
      <c r="G1524" s="2">
        <f>AVERAGEIFS([3]!players[gold_per_min], [3]!players[name],A1524,[3]!players[hero_name],B1524)</f>
        <v>259</v>
      </c>
      <c r="H1524" s="2">
        <f>AVERAGEIFS([3]!players[xp_per_min], [3]!players[name],A1524,[3]!players[hero_name],B1524)</f>
        <v>377</v>
      </c>
    </row>
    <row r="1525" spans="1:8" x14ac:dyDescent="0.3">
      <c r="A1525" t="str">
        <v>prblms</v>
      </c>
      <c r="B1525" t="str">
        <v>Io</v>
      </c>
      <c r="C1525" t="str" cm="1">
        <f t="array" ref="C1525">_xlfn.XLOOKUP(1,([3]!players[name]=A1525)*([3]!players[hero_name]=B1525),[3]!players[lane_name])</f>
        <v>Soft Support</v>
      </c>
      <c r="D1525">
        <f>COUNTIFS([3]!players[name],A1525,[3]!players[hero_name],B1525)</f>
        <v>2</v>
      </c>
      <c r="E1525">
        <f>COUNTIFS([3]!players[name],A1525,[3]!players[hero_name],B1525, [3]!players[win], 1)</f>
        <v>1</v>
      </c>
      <c r="F1525" s="1">
        <f t="shared" si="23"/>
        <v>0.5</v>
      </c>
      <c r="G1525" s="2">
        <f>AVERAGEIFS([3]!players[gold_per_min], [3]!players[name],A1525,[3]!players[hero_name],B1525)</f>
        <v>309</v>
      </c>
      <c r="H1525" s="2">
        <f>AVERAGEIFS([3]!players[xp_per_min], [3]!players[name],A1525,[3]!players[hero_name],B1525)</f>
        <v>506.5</v>
      </c>
    </row>
    <row r="1526" spans="1:8" x14ac:dyDescent="0.3">
      <c r="A1526" t="str">
        <v>prblms</v>
      </c>
      <c r="B1526" t="str">
        <v>Enchantress</v>
      </c>
      <c r="C1526" t="str" cm="1">
        <f t="array" ref="C1526">_xlfn.XLOOKUP(1,([3]!players[name]=A1526)*([3]!players[hero_name]=B1526),[3]!players[lane_name])</f>
        <v>Soft Support</v>
      </c>
      <c r="D1526">
        <f>COUNTIFS([3]!players[name],A1526,[3]!players[hero_name],B1526)</f>
        <v>2</v>
      </c>
      <c r="E1526">
        <f>COUNTIFS([3]!players[name],A1526,[3]!players[hero_name],B1526, [3]!players[win], 1)</f>
        <v>0</v>
      </c>
      <c r="F1526" s="1">
        <f t="shared" si="23"/>
        <v>0</v>
      </c>
      <c r="G1526" s="2">
        <f>AVERAGEIFS([3]!players[gold_per_min], [3]!players[name],A1526,[3]!players[hero_name],B1526)</f>
        <v>252</v>
      </c>
      <c r="H1526" s="2">
        <f>AVERAGEIFS([3]!players[xp_per_min], [3]!players[name],A1526,[3]!players[hero_name],B1526)</f>
        <v>361.5</v>
      </c>
    </row>
    <row r="1527" spans="1:8" x14ac:dyDescent="0.3">
      <c r="A1527" t="str">
        <v>prblms</v>
      </c>
      <c r="B1527" t="str">
        <v>Winter Wyvern</v>
      </c>
      <c r="C1527" t="str" cm="1">
        <f t="array" ref="C1527">_xlfn.XLOOKUP(1,([3]!players[name]=A1527)*([3]!players[hero_name]=B1527),[3]!players[lane_name])</f>
        <v>Soft Support</v>
      </c>
      <c r="D1527">
        <f>COUNTIFS([3]!players[name],A1527,[3]!players[hero_name],B1527)</f>
        <v>4</v>
      </c>
      <c r="E1527">
        <f>COUNTIFS([3]!players[name],A1527,[3]!players[hero_name],B1527, [3]!players[win], 1)</f>
        <v>2</v>
      </c>
      <c r="F1527" s="1">
        <f t="shared" si="23"/>
        <v>0.5</v>
      </c>
      <c r="G1527" s="2">
        <f>AVERAGEIFS([3]!players[gold_per_min], [3]!players[name],A1527,[3]!players[hero_name],B1527)</f>
        <v>316.25</v>
      </c>
      <c r="H1527" s="2">
        <f>AVERAGEIFS([3]!players[xp_per_min], [3]!players[name],A1527,[3]!players[hero_name],B1527)</f>
        <v>473.75</v>
      </c>
    </row>
    <row r="1528" spans="1:8" x14ac:dyDescent="0.3">
      <c r="A1528" t="str">
        <v>Q</v>
      </c>
      <c r="B1528" t="str">
        <v>Hoodwink</v>
      </c>
      <c r="C1528" t="str" cm="1">
        <f t="array" ref="C1528">_xlfn.XLOOKUP(1,([3]!players[name]=A1528)*([3]!players[hero_name]=B1528),[3]!players[lane_name])</f>
        <v>Soft Support</v>
      </c>
      <c r="D1528">
        <f>COUNTIFS([3]!players[name],A1528,[3]!players[hero_name],B1528)</f>
        <v>1</v>
      </c>
      <c r="E1528">
        <f>COUNTIFS([3]!players[name],A1528,[3]!players[hero_name],B1528, [3]!players[win], 1)</f>
        <v>1</v>
      </c>
      <c r="F1528" s="1">
        <f t="shared" si="23"/>
        <v>1</v>
      </c>
      <c r="G1528" s="2">
        <f>AVERAGEIFS([3]!players[gold_per_min], [3]!players[name],A1528,[3]!players[hero_name],B1528)</f>
        <v>371</v>
      </c>
      <c r="H1528" s="2">
        <f>AVERAGEIFS([3]!players[xp_per_min], [3]!players[name],A1528,[3]!players[hero_name],B1528)</f>
        <v>606</v>
      </c>
    </row>
    <row r="1529" spans="1:8" x14ac:dyDescent="0.3">
      <c r="A1529" t="str">
        <v>Q</v>
      </c>
      <c r="B1529" t="str">
        <v>Rubick</v>
      </c>
      <c r="C1529" t="str" cm="1">
        <f t="array" ref="C1529">_xlfn.XLOOKUP(1,([3]!players[name]=A1529)*([3]!players[hero_name]=B1529),[3]!players[lane_name])</f>
        <v>Roam</v>
      </c>
      <c r="D1529">
        <f>COUNTIFS([3]!players[name],A1529,[3]!players[hero_name],B1529)</f>
        <v>4</v>
      </c>
      <c r="E1529">
        <f>COUNTIFS([3]!players[name],A1529,[3]!players[hero_name],B1529, [3]!players[win], 1)</f>
        <v>2</v>
      </c>
      <c r="F1529" s="1">
        <f t="shared" si="23"/>
        <v>0.5</v>
      </c>
      <c r="G1529" s="2">
        <f>AVERAGEIFS([3]!players[gold_per_min], [3]!players[name],A1529,[3]!players[hero_name],B1529)</f>
        <v>364.75</v>
      </c>
      <c r="H1529" s="2">
        <f>AVERAGEIFS([3]!players[xp_per_min], [3]!players[name],A1529,[3]!players[hero_name],B1529)</f>
        <v>570.5</v>
      </c>
    </row>
    <row r="1530" spans="1:8" x14ac:dyDescent="0.3">
      <c r="A1530" t="str">
        <v>Q</v>
      </c>
      <c r="B1530" t="str">
        <v>Nyx Assassin</v>
      </c>
      <c r="C1530" t="str" cm="1">
        <f t="array" ref="C1530">_xlfn.XLOOKUP(1,([3]!players[name]=A1530)*([3]!players[hero_name]=B1530),[3]!players[lane_name])</f>
        <v>Soft Support</v>
      </c>
      <c r="D1530">
        <f>COUNTIFS([3]!players[name],A1530,[3]!players[hero_name],B1530)</f>
        <v>1</v>
      </c>
      <c r="E1530">
        <f>COUNTIFS([3]!players[name],A1530,[3]!players[hero_name],B1530, [3]!players[win], 1)</f>
        <v>0</v>
      </c>
      <c r="F1530" s="1">
        <f t="shared" si="23"/>
        <v>0</v>
      </c>
      <c r="G1530" s="2">
        <f>AVERAGEIFS([3]!players[gold_per_min], [3]!players[name],A1530,[3]!players[hero_name],B1530)</f>
        <v>279</v>
      </c>
      <c r="H1530" s="2">
        <f>AVERAGEIFS([3]!players[xp_per_min], [3]!players[name],A1530,[3]!players[hero_name],B1530)</f>
        <v>373</v>
      </c>
    </row>
    <row r="1531" spans="1:8" x14ac:dyDescent="0.3">
      <c r="A1531" t="str">
        <v>Q</v>
      </c>
      <c r="B1531" t="str">
        <v>Batrider</v>
      </c>
      <c r="C1531" t="str" cm="1">
        <f t="array" ref="C1531">_xlfn.XLOOKUP(1,([3]!players[name]=A1531)*([3]!players[hero_name]=B1531),[3]!players[lane_name])</f>
        <v>Soft Support</v>
      </c>
      <c r="D1531">
        <f>COUNTIFS([3]!players[name],A1531,[3]!players[hero_name],B1531)</f>
        <v>1</v>
      </c>
      <c r="E1531">
        <f>COUNTIFS([3]!players[name],A1531,[3]!players[hero_name],B1531, [3]!players[win], 1)</f>
        <v>1</v>
      </c>
      <c r="F1531" s="1">
        <f t="shared" si="23"/>
        <v>1</v>
      </c>
      <c r="G1531" s="2">
        <f>AVERAGEIFS([3]!players[gold_per_min], [3]!players[name],A1531,[3]!players[hero_name],B1531)</f>
        <v>479</v>
      </c>
      <c r="H1531" s="2">
        <f>AVERAGEIFS([3]!players[xp_per_min], [3]!players[name],A1531,[3]!players[hero_name],B1531)</f>
        <v>609</v>
      </c>
    </row>
    <row r="1532" spans="1:8" x14ac:dyDescent="0.3">
      <c r="A1532" t="str">
        <v>Q</v>
      </c>
      <c r="B1532" t="str">
        <v>Shadow Demon</v>
      </c>
      <c r="C1532" t="str" cm="1">
        <f t="array" ref="C1532">_xlfn.XLOOKUP(1,([3]!players[name]=A1532)*([3]!players[hero_name]=B1532),[3]!players[lane_name])</f>
        <v>Hard Support</v>
      </c>
      <c r="D1532">
        <f>COUNTIFS([3]!players[name],A1532,[3]!players[hero_name],B1532)</f>
        <v>2</v>
      </c>
      <c r="E1532">
        <f>COUNTIFS([3]!players[name],A1532,[3]!players[hero_name],B1532, [3]!players[win], 1)</f>
        <v>1</v>
      </c>
      <c r="F1532" s="1">
        <f t="shared" si="23"/>
        <v>0.5</v>
      </c>
      <c r="G1532" s="2">
        <f>AVERAGEIFS([3]!players[gold_per_min], [3]!players[name],A1532,[3]!players[hero_name],B1532)</f>
        <v>330</v>
      </c>
      <c r="H1532" s="2">
        <f>AVERAGEIFS([3]!players[xp_per_min], [3]!players[name],A1532,[3]!players[hero_name],B1532)</f>
        <v>482</v>
      </c>
    </row>
    <row r="1533" spans="1:8" x14ac:dyDescent="0.3">
      <c r="A1533" t="str">
        <v>Q</v>
      </c>
      <c r="B1533" t="str">
        <v>Windranger</v>
      </c>
      <c r="C1533" t="str" cm="1">
        <f t="array" ref="C1533">_xlfn.XLOOKUP(1,([3]!players[name]=A1533)*([3]!players[hero_name]=B1533),[3]!players[lane_name])</f>
        <v>Roam</v>
      </c>
      <c r="D1533">
        <f>COUNTIFS([3]!players[name],A1533,[3]!players[hero_name],B1533)</f>
        <v>4</v>
      </c>
      <c r="E1533">
        <f>COUNTIFS([3]!players[name],A1533,[3]!players[hero_name],B1533, [3]!players[win], 1)</f>
        <v>3</v>
      </c>
      <c r="F1533" s="1">
        <f t="shared" si="23"/>
        <v>0.75</v>
      </c>
      <c r="G1533" s="2">
        <f>AVERAGEIFS([3]!players[gold_per_min], [3]!players[name],A1533,[3]!players[hero_name],B1533)</f>
        <v>336.75</v>
      </c>
      <c r="H1533" s="2">
        <f>AVERAGEIFS([3]!players[xp_per_min], [3]!players[name],A1533,[3]!players[hero_name],B1533)</f>
        <v>442.25</v>
      </c>
    </row>
    <row r="1534" spans="1:8" x14ac:dyDescent="0.3">
      <c r="A1534" t="str">
        <v>Q</v>
      </c>
      <c r="B1534" t="str">
        <v>Tusk</v>
      </c>
      <c r="C1534" t="str" cm="1">
        <f t="array" ref="C1534">_xlfn.XLOOKUP(1,([3]!players[name]=A1534)*([3]!players[hero_name]=B1534),[3]!players[lane_name])</f>
        <v>Hard Support</v>
      </c>
      <c r="D1534">
        <f>COUNTIFS([3]!players[name],A1534,[3]!players[hero_name],B1534)</f>
        <v>2</v>
      </c>
      <c r="E1534">
        <f>COUNTIFS([3]!players[name],A1534,[3]!players[hero_name],B1534, [3]!players[win], 1)</f>
        <v>2</v>
      </c>
      <c r="F1534" s="1">
        <f t="shared" si="23"/>
        <v>1</v>
      </c>
      <c r="G1534" s="2">
        <f>AVERAGEIFS([3]!players[gold_per_min], [3]!players[name],A1534,[3]!players[hero_name],B1534)</f>
        <v>418.5</v>
      </c>
      <c r="H1534" s="2">
        <f>AVERAGEIFS([3]!players[xp_per_min], [3]!players[name],A1534,[3]!players[hero_name],B1534)</f>
        <v>744</v>
      </c>
    </row>
    <row r="1535" spans="1:8" x14ac:dyDescent="0.3">
      <c r="A1535" t="str">
        <v>Q</v>
      </c>
      <c r="B1535" t="str">
        <v>Skywrath Mage</v>
      </c>
      <c r="C1535" t="str" cm="1">
        <f t="array" ref="C1535">_xlfn.XLOOKUP(1,([3]!players[name]=A1535)*([3]!players[hero_name]=B1535),[3]!players[lane_name])</f>
        <v>Soft Support</v>
      </c>
      <c r="D1535">
        <f>COUNTIFS([3]!players[name],A1535,[3]!players[hero_name],B1535)</f>
        <v>3</v>
      </c>
      <c r="E1535">
        <f>COUNTIFS([3]!players[name],A1535,[3]!players[hero_name],B1535, [3]!players[win], 1)</f>
        <v>2</v>
      </c>
      <c r="F1535" s="1">
        <f t="shared" si="23"/>
        <v>0.66666666666666663</v>
      </c>
      <c r="G1535" s="2">
        <f>AVERAGEIFS([3]!players[gold_per_min], [3]!players[name],A1535,[3]!players[hero_name],B1535)</f>
        <v>399.33333333333331</v>
      </c>
      <c r="H1535" s="2">
        <f>AVERAGEIFS([3]!players[xp_per_min], [3]!players[name],A1535,[3]!players[hero_name],B1535)</f>
        <v>551.33333333333337</v>
      </c>
    </row>
    <row r="1536" spans="1:8" x14ac:dyDescent="0.3">
      <c r="A1536" t="str">
        <v>Q7</v>
      </c>
      <c r="B1536" t="str">
        <v>Queen of Pain</v>
      </c>
      <c r="C1536" t="str" cm="1">
        <f t="array" ref="C1536">_xlfn.XLOOKUP(1,([3]!players[name]=A1536)*([3]!players[hero_name]=B1536),[3]!players[lane_name])</f>
        <v>Mid</v>
      </c>
      <c r="D1536">
        <f>COUNTIFS([3]!players[name],A1536,[3]!players[hero_name],B1536)</f>
        <v>1</v>
      </c>
      <c r="E1536">
        <f>COUNTIFS([3]!players[name],A1536,[3]!players[hero_name],B1536, [3]!players[win], 1)</f>
        <v>0</v>
      </c>
      <c r="F1536" s="1">
        <f t="shared" si="23"/>
        <v>0</v>
      </c>
      <c r="G1536" s="2">
        <f>AVERAGEIFS([3]!players[gold_per_min], [3]!players[name],A1536,[3]!players[hero_name],B1536)</f>
        <v>449</v>
      </c>
      <c r="H1536" s="2">
        <f>AVERAGEIFS([3]!players[xp_per_min], [3]!players[name],A1536,[3]!players[hero_name],B1536)</f>
        <v>468</v>
      </c>
    </row>
    <row r="1537" spans="1:8" x14ac:dyDescent="0.3">
      <c r="A1537" t="str">
        <v>Q7</v>
      </c>
      <c r="B1537" t="str">
        <v>Sand King</v>
      </c>
      <c r="C1537" t="str" cm="1">
        <f t="array" ref="C1537">_xlfn.XLOOKUP(1,([3]!players[name]=A1537)*([3]!players[hero_name]=B1537),[3]!players[lane_name])</f>
        <v>Mid</v>
      </c>
      <c r="D1537">
        <f>COUNTIFS([3]!players[name],A1537,[3]!players[hero_name],B1537)</f>
        <v>1</v>
      </c>
      <c r="E1537">
        <f>COUNTIFS([3]!players[name],A1537,[3]!players[hero_name],B1537, [3]!players[win], 1)</f>
        <v>0</v>
      </c>
      <c r="F1537" s="1">
        <f t="shared" si="23"/>
        <v>0</v>
      </c>
      <c r="G1537" s="2">
        <f>AVERAGEIFS([3]!players[gold_per_min], [3]!players[name],A1537,[3]!players[hero_name],B1537)</f>
        <v>398</v>
      </c>
      <c r="H1537" s="2">
        <f>AVERAGEIFS([3]!players[xp_per_min], [3]!players[name],A1537,[3]!players[hero_name],B1537)</f>
        <v>483</v>
      </c>
    </row>
    <row r="1538" spans="1:8" x14ac:dyDescent="0.3">
      <c r="A1538" t="str">
        <v>Q7</v>
      </c>
      <c r="B1538" t="str">
        <v>Ember Spirit</v>
      </c>
      <c r="C1538" t="str" cm="1">
        <f t="array" ref="C1538">_xlfn.XLOOKUP(1,([3]!players[name]=A1538)*([3]!players[hero_name]=B1538),[3]!players[lane_name])</f>
        <v>Mid</v>
      </c>
      <c r="D1538">
        <f>COUNTIFS([3]!players[name],A1538,[3]!players[hero_name],B1538)</f>
        <v>4</v>
      </c>
      <c r="E1538">
        <f>COUNTIFS([3]!players[name],A1538,[3]!players[hero_name],B1538, [3]!players[win], 1)</f>
        <v>2</v>
      </c>
      <c r="F1538" s="1">
        <f t="shared" si="23"/>
        <v>0.5</v>
      </c>
      <c r="G1538" s="2">
        <f>AVERAGEIFS([3]!players[gold_per_min], [3]!players[name],A1538,[3]!players[hero_name],B1538)</f>
        <v>492.5</v>
      </c>
      <c r="H1538" s="2">
        <f>AVERAGEIFS([3]!players[xp_per_min], [3]!players[name],A1538,[3]!players[hero_name],B1538)</f>
        <v>591</v>
      </c>
    </row>
    <row r="1539" spans="1:8" x14ac:dyDescent="0.3">
      <c r="A1539" t="str">
        <v>Q7</v>
      </c>
      <c r="B1539" t="str">
        <v>Puck</v>
      </c>
      <c r="C1539" t="str" cm="1">
        <f t="array" ref="C1539">_xlfn.XLOOKUP(1,([3]!players[name]=A1539)*([3]!players[hero_name]=B1539),[3]!players[lane_name])</f>
        <v>Mid</v>
      </c>
      <c r="D1539">
        <f>COUNTIFS([3]!players[name],A1539,[3]!players[hero_name],B1539)</f>
        <v>2</v>
      </c>
      <c r="E1539">
        <f>COUNTIFS([3]!players[name],A1539,[3]!players[hero_name],B1539, [3]!players[win], 1)</f>
        <v>1</v>
      </c>
      <c r="F1539" s="1">
        <f t="shared" ref="F1539:F1602" si="24">E1539/D1539</f>
        <v>0.5</v>
      </c>
      <c r="G1539" s="2">
        <f>AVERAGEIFS([3]!players[gold_per_min], [3]!players[name],A1539,[3]!players[hero_name],B1539)</f>
        <v>549.5</v>
      </c>
      <c r="H1539" s="2">
        <f>AVERAGEIFS([3]!players[xp_per_min], [3]!players[name],A1539,[3]!players[hero_name],B1539)</f>
        <v>670.5</v>
      </c>
    </row>
    <row r="1540" spans="1:8" x14ac:dyDescent="0.3">
      <c r="A1540" t="str">
        <v>Q7</v>
      </c>
      <c r="B1540" t="str">
        <v>Slardar</v>
      </c>
      <c r="C1540" t="str" cm="1">
        <f t="array" ref="C1540">_xlfn.XLOOKUP(1,([3]!players[name]=A1540)*([3]!players[hero_name]=B1540),[3]!players[lane_name])</f>
        <v>Mid</v>
      </c>
      <c r="D1540">
        <f>COUNTIFS([3]!players[name],A1540,[3]!players[hero_name],B1540)</f>
        <v>1</v>
      </c>
      <c r="E1540">
        <f>COUNTIFS([3]!players[name],A1540,[3]!players[hero_name],B1540, [3]!players[win], 1)</f>
        <v>1</v>
      </c>
      <c r="F1540" s="1">
        <f t="shared" si="24"/>
        <v>1</v>
      </c>
      <c r="G1540" s="2">
        <f>AVERAGEIFS([3]!players[gold_per_min], [3]!players[name],A1540,[3]!players[hero_name],B1540)</f>
        <v>544</v>
      </c>
      <c r="H1540" s="2">
        <f>AVERAGEIFS([3]!players[xp_per_min], [3]!players[name],A1540,[3]!players[hero_name],B1540)</f>
        <v>591</v>
      </c>
    </row>
    <row r="1541" spans="1:8" x14ac:dyDescent="0.3">
      <c r="A1541" t="str">
        <v>Q7</v>
      </c>
      <c r="B1541" t="str">
        <v>Beastmaster</v>
      </c>
      <c r="C1541" t="str" cm="1">
        <f t="array" ref="C1541">_xlfn.XLOOKUP(1,([3]!players[name]=A1541)*([3]!players[hero_name]=B1541),[3]!players[lane_name])</f>
        <v>Mid</v>
      </c>
      <c r="D1541">
        <f>COUNTIFS([3]!players[name],A1541,[3]!players[hero_name],B1541)</f>
        <v>1</v>
      </c>
      <c r="E1541">
        <f>COUNTIFS([3]!players[name],A1541,[3]!players[hero_name],B1541, [3]!players[win], 1)</f>
        <v>0</v>
      </c>
      <c r="F1541" s="1">
        <f t="shared" si="24"/>
        <v>0</v>
      </c>
      <c r="G1541" s="2">
        <f>AVERAGEIFS([3]!players[gold_per_min], [3]!players[name],A1541,[3]!players[hero_name],B1541)</f>
        <v>550</v>
      </c>
      <c r="H1541" s="2">
        <f>AVERAGEIFS([3]!players[xp_per_min], [3]!players[name],A1541,[3]!players[hero_name],B1541)</f>
        <v>667</v>
      </c>
    </row>
    <row r="1542" spans="1:8" x14ac:dyDescent="0.3">
      <c r="A1542" t="str">
        <v>queezy</v>
      </c>
      <c r="B1542" t="str">
        <v>Hoodwink</v>
      </c>
      <c r="C1542" t="str" cm="1">
        <f t="array" ref="C1542">_xlfn.XLOOKUP(1,([3]!players[name]=A1542)*([3]!players[hero_name]=B1542),[3]!players[lane_name])</f>
        <v>Soft Support</v>
      </c>
      <c r="D1542">
        <f>COUNTIFS([3]!players[name],A1542,[3]!players[hero_name],B1542)</f>
        <v>2</v>
      </c>
      <c r="E1542">
        <f>COUNTIFS([3]!players[name],A1542,[3]!players[hero_name],B1542, [3]!players[win], 1)</f>
        <v>1</v>
      </c>
      <c r="F1542" s="1">
        <f t="shared" si="24"/>
        <v>0.5</v>
      </c>
      <c r="G1542" s="2">
        <f>AVERAGEIFS([3]!players[gold_per_min], [3]!players[name],A1542,[3]!players[hero_name],B1542)</f>
        <v>307</v>
      </c>
      <c r="H1542" s="2">
        <f>AVERAGEIFS([3]!players[xp_per_min], [3]!players[name],A1542,[3]!players[hero_name],B1542)</f>
        <v>499</v>
      </c>
    </row>
    <row r="1543" spans="1:8" x14ac:dyDescent="0.3">
      <c r="A1543" t="str">
        <v>queezy</v>
      </c>
      <c r="B1543" t="str">
        <v>Rubick</v>
      </c>
      <c r="C1543" t="str" cm="1">
        <f t="array" ref="C1543">_xlfn.XLOOKUP(1,([3]!players[name]=A1543)*([3]!players[hero_name]=B1543),[3]!players[lane_name])</f>
        <v>Soft Support</v>
      </c>
      <c r="D1543">
        <f>COUNTIFS([3]!players[name],A1543,[3]!players[hero_name],B1543)</f>
        <v>1</v>
      </c>
      <c r="E1543">
        <f>COUNTIFS([3]!players[name],A1543,[3]!players[hero_name],B1543, [3]!players[win], 1)</f>
        <v>0</v>
      </c>
      <c r="F1543" s="1">
        <f t="shared" si="24"/>
        <v>0</v>
      </c>
      <c r="G1543" s="2">
        <f>AVERAGEIFS([3]!players[gold_per_min], [3]!players[name],A1543,[3]!players[hero_name],B1543)</f>
        <v>300</v>
      </c>
      <c r="H1543" s="2">
        <f>AVERAGEIFS([3]!players[xp_per_min], [3]!players[name],A1543,[3]!players[hero_name],B1543)</f>
        <v>458</v>
      </c>
    </row>
    <row r="1544" spans="1:8" x14ac:dyDescent="0.3">
      <c r="A1544" t="str">
        <v>qute</v>
      </c>
      <c r="B1544" t="str">
        <v>Hoodwink</v>
      </c>
      <c r="C1544" t="str" cm="1">
        <f t="array" ref="C1544">_xlfn.XLOOKUP(1,([3]!players[name]=A1544)*([3]!players[hero_name]=B1544),[3]!players[lane_name])</f>
        <v>Roam</v>
      </c>
      <c r="D1544">
        <f>COUNTIFS([3]!players[name],A1544,[3]!players[hero_name],B1544)</f>
        <v>5</v>
      </c>
      <c r="E1544">
        <f>COUNTIFS([3]!players[name],A1544,[3]!players[hero_name],B1544, [3]!players[win], 1)</f>
        <v>0</v>
      </c>
      <c r="F1544" s="1">
        <f t="shared" si="24"/>
        <v>0</v>
      </c>
      <c r="G1544" s="2">
        <f>AVERAGEIFS([3]!players[gold_per_min], [3]!players[name],A1544,[3]!players[hero_name],B1544)</f>
        <v>329.2</v>
      </c>
      <c r="H1544" s="2">
        <f>AVERAGEIFS([3]!players[xp_per_min], [3]!players[name],A1544,[3]!players[hero_name],B1544)</f>
        <v>439</v>
      </c>
    </row>
    <row r="1545" spans="1:8" x14ac:dyDescent="0.3">
      <c r="A1545" t="str">
        <v>qute</v>
      </c>
      <c r="B1545" t="str">
        <v>Rubick</v>
      </c>
      <c r="C1545" t="str" cm="1">
        <f t="array" ref="C1545">_xlfn.XLOOKUP(1,([3]!players[name]=A1545)*([3]!players[hero_name]=B1545),[3]!players[lane_name])</f>
        <v>Hard Support</v>
      </c>
      <c r="D1545">
        <f>COUNTIFS([3]!players[name],A1545,[3]!players[hero_name],B1545)</f>
        <v>5</v>
      </c>
      <c r="E1545">
        <f>COUNTIFS([3]!players[name],A1545,[3]!players[hero_name],B1545, [3]!players[win], 1)</f>
        <v>3</v>
      </c>
      <c r="F1545" s="1">
        <f t="shared" si="24"/>
        <v>0.6</v>
      </c>
      <c r="G1545" s="2">
        <f>AVERAGEIFS([3]!players[gold_per_min], [3]!players[name],A1545,[3]!players[hero_name],B1545)</f>
        <v>378.4</v>
      </c>
      <c r="H1545" s="2">
        <f>AVERAGEIFS([3]!players[xp_per_min], [3]!players[name],A1545,[3]!players[hero_name],B1545)</f>
        <v>544.4</v>
      </c>
    </row>
    <row r="1546" spans="1:8" x14ac:dyDescent="0.3">
      <c r="A1546" t="str">
        <v>qute</v>
      </c>
      <c r="B1546" t="str">
        <v>Shadow Demon</v>
      </c>
      <c r="C1546" t="str" cm="1">
        <f t="array" ref="C1546">_xlfn.XLOOKUP(1,([3]!players[name]=A1546)*([3]!players[hero_name]=B1546),[3]!players[lane_name])</f>
        <v>Soft Support</v>
      </c>
      <c r="D1546">
        <f>COUNTIFS([3]!players[name],A1546,[3]!players[hero_name],B1546)</f>
        <v>1</v>
      </c>
      <c r="E1546">
        <f>COUNTIFS([3]!players[name],A1546,[3]!players[hero_name],B1546, [3]!players[win], 1)</f>
        <v>0</v>
      </c>
      <c r="F1546" s="1">
        <f t="shared" si="24"/>
        <v>0</v>
      </c>
      <c r="G1546" s="2">
        <f>AVERAGEIFS([3]!players[gold_per_min], [3]!players[name],A1546,[3]!players[hero_name],B1546)</f>
        <v>238</v>
      </c>
      <c r="H1546" s="2">
        <f>AVERAGEIFS([3]!players[xp_per_min], [3]!players[name],A1546,[3]!players[hero_name],B1546)</f>
        <v>286</v>
      </c>
    </row>
    <row r="1547" spans="1:8" x14ac:dyDescent="0.3">
      <c r="A1547" t="str">
        <v>qute</v>
      </c>
      <c r="B1547" t="str">
        <v>Tiny</v>
      </c>
      <c r="C1547" t="str" cm="1">
        <f t="array" ref="C1547">_xlfn.XLOOKUP(1,([3]!players[name]=A1547)*([3]!players[hero_name]=B1547),[3]!players[lane_name])</f>
        <v>Hard Support</v>
      </c>
      <c r="D1547">
        <f>COUNTIFS([3]!players[name],A1547,[3]!players[hero_name],B1547)</f>
        <v>1</v>
      </c>
      <c r="E1547">
        <f>COUNTIFS([3]!players[name],A1547,[3]!players[hero_name],B1547, [3]!players[win], 1)</f>
        <v>0</v>
      </c>
      <c r="F1547" s="1">
        <f t="shared" si="24"/>
        <v>0</v>
      </c>
      <c r="G1547" s="2">
        <f>AVERAGEIFS([3]!players[gold_per_min], [3]!players[name],A1547,[3]!players[hero_name],B1547)</f>
        <v>209</v>
      </c>
      <c r="H1547" s="2">
        <f>AVERAGEIFS([3]!players[xp_per_min], [3]!players[name],A1547,[3]!players[hero_name],B1547)</f>
        <v>231</v>
      </c>
    </row>
    <row r="1548" spans="1:8" x14ac:dyDescent="0.3">
      <c r="A1548" t="str">
        <v>qute</v>
      </c>
      <c r="B1548" t="str">
        <v>Nyx Assassin</v>
      </c>
      <c r="C1548" t="str" cm="1">
        <f t="array" ref="C1548">_xlfn.XLOOKUP(1,([3]!players[name]=A1548)*([3]!players[hero_name]=B1548),[3]!players[lane_name])</f>
        <v>Roam</v>
      </c>
      <c r="D1548">
        <f>COUNTIFS([3]!players[name],A1548,[3]!players[hero_name],B1548)</f>
        <v>1</v>
      </c>
      <c r="E1548">
        <f>COUNTIFS([3]!players[name],A1548,[3]!players[hero_name],B1548, [3]!players[win], 1)</f>
        <v>1</v>
      </c>
      <c r="F1548" s="1">
        <f t="shared" si="24"/>
        <v>1</v>
      </c>
      <c r="G1548" s="2">
        <f>AVERAGEIFS([3]!players[gold_per_min], [3]!players[name],A1548,[3]!players[hero_name],B1548)</f>
        <v>371</v>
      </c>
      <c r="H1548" s="2">
        <f>AVERAGEIFS([3]!players[xp_per_min], [3]!players[name],A1548,[3]!players[hero_name],B1548)</f>
        <v>480</v>
      </c>
    </row>
    <row r="1549" spans="1:8" x14ac:dyDescent="0.3">
      <c r="A1549" t="str">
        <v>raregods</v>
      </c>
      <c r="B1549" t="str">
        <v>Marci</v>
      </c>
      <c r="C1549" t="str" cm="1">
        <f t="array" ref="C1549">_xlfn.XLOOKUP(1,([3]!players[name]=A1549)*([3]!players[hero_name]=B1549),[3]!players[lane_name])</f>
        <v>Soft Support</v>
      </c>
      <c r="D1549">
        <f>COUNTIFS([3]!players[name],A1549,[3]!players[hero_name],B1549)</f>
        <v>3</v>
      </c>
      <c r="E1549">
        <f>COUNTIFS([3]!players[name],A1549,[3]!players[hero_name],B1549, [3]!players[win], 1)</f>
        <v>0</v>
      </c>
      <c r="F1549" s="1">
        <f t="shared" si="24"/>
        <v>0</v>
      </c>
      <c r="G1549" s="2">
        <f>AVERAGEIFS([3]!players[gold_per_min], [3]!players[name],A1549,[3]!players[hero_name],B1549)</f>
        <v>234.66666666666666</v>
      </c>
      <c r="H1549" s="2">
        <f>AVERAGEIFS([3]!players[xp_per_min], [3]!players[name],A1549,[3]!players[hero_name],B1549)</f>
        <v>351</v>
      </c>
    </row>
    <row r="1550" spans="1:8" x14ac:dyDescent="0.3">
      <c r="A1550" t="str">
        <v>raregods</v>
      </c>
      <c r="B1550" t="str">
        <v>Rubick</v>
      </c>
      <c r="C1550" t="str" cm="1">
        <f t="array" ref="C1550">_xlfn.XLOOKUP(1,([3]!players[name]=A1550)*([3]!players[hero_name]=B1550),[3]!players[lane_name])</f>
        <v>Hard Support</v>
      </c>
      <c r="D1550">
        <f>COUNTIFS([3]!players[name],A1550,[3]!players[hero_name],B1550)</f>
        <v>11</v>
      </c>
      <c r="E1550">
        <f>COUNTIFS([3]!players[name],A1550,[3]!players[hero_name],B1550, [3]!players[win], 1)</f>
        <v>4</v>
      </c>
      <c r="F1550" s="1">
        <f t="shared" si="24"/>
        <v>0.36363636363636365</v>
      </c>
      <c r="G1550" s="2">
        <f>AVERAGEIFS([3]!players[gold_per_min], [3]!players[name],A1550,[3]!players[hero_name],B1550)</f>
        <v>343.18181818181819</v>
      </c>
      <c r="H1550" s="2">
        <f>AVERAGEIFS([3]!players[xp_per_min], [3]!players[name],A1550,[3]!players[hero_name],B1550)</f>
        <v>441.45454545454544</v>
      </c>
    </row>
    <row r="1551" spans="1:8" x14ac:dyDescent="0.3">
      <c r="A1551" t="str">
        <v>raregods</v>
      </c>
      <c r="B1551" t="str">
        <v>Bounty Hunter</v>
      </c>
      <c r="C1551" t="str" cm="1">
        <f t="array" ref="C1551">_xlfn.XLOOKUP(1,([3]!players[name]=A1551)*([3]!players[hero_name]=B1551),[3]!players[lane_name])</f>
        <v>Soft Support</v>
      </c>
      <c r="D1551">
        <f>COUNTIFS([3]!players[name],A1551,[3]!players[hero_name],B1551)</f>
        <v>1</v>
      </c>
      <c r="E1551">
        <f>COUNTIFS([3]!players[name],A1551,[3]!players[hero_name],B1551, [3]!players[win], 1)</f>
        <v>0</v>
      </c>
      <c r="F1551" s="1">
        <f t="shared" si="24"/>
        <v>0</v>
      </c>
      <c r="G1551" s="2">
        <f>AVERAGEIFS([3]!players[gold_per_min], [3]!players[name],A1551,[3]!players[hero_name],B1551)</f>
        <v>448</v>
      </c>
      <c r="H1551" s="2">
        <f>AVERAGEIFS([3]!players[xp_per_min], [3]!players[name],A1551,[3]!players[hero_name],B1551)</f>
        <v>715</v>
      </c>
    </row>
    <row r="1552" spans="1:8" x14ac:dyDescent="0.3">
      <c r="A1552" t="str">
        <v>raregods</v>
      </c>
      <c r="B1552" t="str">
        <v>Spirit Breaker</v>
      </c>
      <c r="C1552" t="str" cm="1">
        <f t="array" ref="C1552">_xlfn.XLOOKUP(1,([3]!players[name]=A1552)*([3]!players[hero_name]=B1552),[3]!players[lane_name])</f>
        <v>Roam</v>
      </c>
      <c r="D1552">
        <f>COUNTIFS([3]!players[name],A1552,[3]!players[hero_name],B1552)</f>
        <v>2</v>
      </c>
      <c r="E1552">
        <f>COUNTIFS([3]!players[name],A1552,[3]!players[hero_name],B1552, [3]!players[win], 1)</f>
        <v>0</v>
      </c>
      <c r="F1552" s="1">
        <f t="shared" si="24"/>
        <v>0</v>
      </c>
      <c r="G1552" s="2">
        <f>AVERAGEIFS([3]!players[gold_per_min], [3]!players[name],A1552,[3]!players[hero_name],B1552)</f>
        <v>293</v>
      </c>
      <c r="H1552" s="2">
        <f>AVERAGEIFS([3]!players[xp_per_min], [3]!players[name],A1552,[3]!players[hero_name],B1552)</f>
        <v>303</v>
      </c>
    </row>
    <row r="1553" spans="1:8" x14ac:dyDescent="0.3">
      <c r="A1553" t="str">
        <v>raregods</v>
      </c>
      <c r="B1553" t="str">
        <v>Ringmaster</v>
      </c>
      <c r="C1553" t="str" cm="1">
        <f t="array" ref="C1553">_xlfn.XLOOKUP(1,([3]!players[name]=A1553)*([3]!players[hero_name]=B1553),[3]!players[lane_name])</f>
        <v>Soft Support</v>
      </c>
      <c r="D1553">
        <f>COUNTIFS([3]!players[name],A1553,[3]!players[hero_name],B1553)</f>
        <v>7</v>
      </c>
      <c r="E1553">
        <f>COUNTIFS([3]!players[name],A1553,[3]!players[hero_name],B1553, [3]!players[win], 1)</f>
        <v>4</v>
      </c>
      <c r="F1553" s="1">
        <f t="shared" si="24"/>
        <v>0.5714285714285714</v>
      </c>
      <c r="G1553" s="2">
        <f>AVERAGEIFS([3]!players[gold_per_min], [3]!players[name],A1553,[3]!players[hero_name],B1553)</f>
        <v>342.28571428571428</v>
      </c>
      <c r="H1553" s="2">
        <f>AVERAGEIFS([3]!players[xp_per_min], [3]!players[name],A1553,[3]!players[hero_name],B1553)</f>
        <v>474.85714285714283</v>
      </c>
    </row>
    <row r="1554" spans="1:8" x14ac:dyDescent="0.3">
      <c r="A1554" t="str">
        <v>raregods</v>
      </c>
      <c r="B1554" t="str">
        <v>Techies</v>
      </c>
      <c r="C1554" t="str" cm="1">
        <f t="array" ref="C1554">_xlfn.XLOOKUP(1,([3]!players[name]=A1554)*([3]!players[hero_name]=B1554),[3]!players[lane_name])</f>
        <v>Roam</v>
      </c>
      <c r="D1554">
        <f>COUNTIFS([3]!players[name],A1554,[3]!players[hero_name],B1554)</f>
        <v>2</v>
      </c>
      <c r="E1554">
        <f>COUNTIFS([3]!players[name],A1554,[3]!players[hero_name],B1554, [3]!players[win], 1)</f>
        <v>0</v>
      </c>
      <c r="F1554" s="1">
        <f t="shared" si="24"/>
        <v>0</v>
      </c>
      <c r="G1554" s="2">
        <f>AVERAGEIFS([3]!players[gold_per_min], [3]!players[name],A1554,[3]!players[hero_name],B1554)</f>
        <v>249.5</v>
      </c>
      <c r="H1554" s="2">
        <f>AVERAGEIFS([3]!players[xp_per_min], [3]!players[name],A1554,[3]!players[hero_name],B1554)</f>
        <v>282</v>
      </c>
    </row>
    <row r="1555" spans="1:8" x14ac:dyDescent="0.3">
      <c r="A1555" t="str">
        <v>raregods</v>
      </c>
      <c r="B1555" t="str">
        <v>Tusk</v>
      </c>
      <c r="C1555" t="str" cm="1">
        <f t="array" ref="C1555">_xlfn.XLOOKUP(1,([3]!players[name]=A1555)*([3]!players[hero_name]=B1555),[3]!players[lane_name])</f>
        <v>Roam</v>
      </c>
      <c r="D1555">
        <f>COUNTIFS([3]!players[name],A1555,[3]!players[hero_name],B1555)</f>
        <v>1</v>
      </c>
      <c r="E1555">
        <f>COUNTIFS([3]!players[name],A1555,[3]!players[hero_name],B1555, [3]!players[win], 1)</f>
        <v>0</v>
      </c>
      <c r="F1555" s="1">
        <f t="shared" si="24"/>
        <v>0</v>
      </c>
      <c r="G1555" s="2">
        <f>AVERAGEIFS([3]!players[gold_per_min], [3]!players[name],A1555,[3]!players[hero_name],B1555)</f>
        <v>245</v>
      </c>
      <c r="H1555" s="2">
        <f>AVERAGEIFS([3]!players[xp_per_min], [3]!players[name],A1555,[3]!players[hero_name],B1555)</f>
        <v>266</v>
      </c>
    </row>
    <row r="1556" spans="1:8" x14ac:dyDescent="0.3">
      <c r="A1556" t="str">
        <v>raven</v>
      </c>
      <c r="B1556" t="str">
        <v>Underlord</v>
      </c>
      <c r="C1556" t="str" cm="1">
        <f t="array" ref="C1556">_xlfn.XLOOKUP(1,([3]!players[name]=A1556)*([3]!players[hero_name]=B1556),[3]!players[lane_name])</f>
        <v>Off Lane</v>
      </c>
      <c r="D1556">
        <f>COUNTIFS([3]!players[name],A1556,[3]!players[hero_name],B1556)</f>
        <v>2</v>
      </c>
      <c r="E1556">
        <f>COUNTIFS([3]!players[name],A1556,[3]!players[hero_name],B1556, [3]!players[win], 1)</f>
        <v>1</v>
      </c>
      <c r="F1556" s="1">
        <f t="shared" si="24"/>
        <v>0.5</v>
      </c>
      <c r="G1556" s="2">
        <f>AVERAGEIFS([3]!players[gold_per_min], [3]!players[name],A1556,[3]!players[hero_name],B1556)</f>
        <v>566</v>
      </c>
      <c r="H1556" s="2">
        <f>AVERAGEIFS([3]!players[xp_per_min], [3]!players[name],A1556,[3]!players[hero_name],B1556)</f>
        <v>707</v>
      </c>
    </row>
    <row r="1557" spans="1:8" x14ac:dyDescent="0.3">
      <c r="A1557" t="str">
        <v>raven</v>
      </c>
      <c r="B1557" t="str">
        <v>Brewmaster</v>
      </c>
      <c r="C1557" t="str" cm="1">
        <f t="array" ref="C1557">_xlfn.XLOOKUP(1,([3]!players[name]=A1557)*([3]!players[hero_name]=B1557),[3]!players[lane_name])</f>
        <v>Off Lane</v>
      </c>
      <c r="D1557">
        <f>COUNTIFS([3]!players[name],A1557,[3]!players[hero_name],B1557)</f>
        <v>3</v>
      </c>
      <c r="E1557">
        <f>COUNTIFS([3]!players[name],A1557,[3]!players[hero_name],B1557, [3]!players[win], 1)</f>
        <v>1</v>
      </c>
      <c r="F1557" s="1">
        <f t="shared" si="24"/>
        <v>0.33333333333333331</v>
      </c>
      <c r="G1557" s="2">
        <f>AVERAGEIFS([3]!players[gold_per_min], [3]!players[name],A1557,[3]!players[hero_name],B1557)</f>
        <v>547.33333333333337</v>
      </c>
      <c r="H1557" s="2">
        <f>AVERAGEIFS([3]!players[xp_per_min], [3]!players[name],A1557,[3]!players[hero_name],B1557)</f>
        <v>657.33333333333337</v>
      </c>
    </row>
    <row r="1558" spans="1:8" x14ac:dyDescent="0.3">
      <c r="A1558" t="str">
        <v>raven</v>
      </c>
      <c r="B1558" t="str">
        <v>Largo</v>
      </c>
      <c r="C1558" t="str" cm="1">
        <f t="array" ref="C1558">_xlfn.XLOOKUP(1,([3]!players[name]=A1558)*([3]!players[hero_name]=B1558),[3]!players[lane_name])</f>
        <v>Off Lane</v>
      </c>
      <c r="D1558">
        <f>COUNTIFS([3]!players[name],A1558,[3]!players[hero_name],B1558)</f>
        <v>2</v>
      </c>
      <c r="E1558">
        <f>COUNTIFS([3]!players[name],A1558,[3]!players[hero_name],B1558, [3]!players[win], 1)</f>
        <v>2</v>
      </c>
      <c r="F1558" s="1">
        <f t="shared" si="24"/>
        <v>1</v>
      </c>
      <c r="G1558" s="2">
        <f>AVERAGEIFS([3]!players[gold_per_min], [3]!players[name],A1558,[3]!players[hero_name],B1558)</f>
        <v>589.5</v>
      </c>
      <c r="H1558" s="2">
        <f>AVERAGEIFS([3]!players[xp_per_min], [3]!players[name],A1558,[3]!players[hero_name],B1558)</f>
        <v>838.5</v>
      </c>
    </row>
    <row r="1559" spans="1:8" x14ac:dyDescent="0.3">
      <c r="A1559" t="str">
        <v>raven</v>
      </c>
      <c r="B1559" t="str">
        <v>Tidehunter</v>
      </c>
      <c r="C1559" t="str" cm="1">
        <f t="array" ref="C1559">_xlfn.XLOOKUP(1,([3]!players[name]=A1559)*([3]!players[hero_name]=B1559),[3]!players[lane_name])</f>
        <v>Off Lane</v>
      </c>
      <c r="D1559">
        <f>COUNTIFS([3]!players[name],A1559,[3]!players[hero_name],B1559)</f>
        <v>1</v>
      </c>
      <c r="E1559">
        <f>COUNTIFS([3]!players[name],A1559,[3]!players[hero_name],B1559, [3]!players[win], 1)</f>
        <v>0</v>
      </c>
      <c r="F1559" s="1">
        <f t="shared" si="24"/>
        <v>0</v>
      </c>
      <c r="G1559" s="2">
        <f>AVERAGEIFS([3]!players[gold_per_min], [3]!players[name],A1559,[3]!players[hero_name],B1559)</f>
        <v>497</v>
      </c>
      <c r="H1559" s="2">
        <f>AVERAGEIFS([3]!players[xp_per_min], [3]!players[name],A1559,[3]!players[hero_name],B1559)</f>
        <v>587</v>
      </c>
    </row>
    <row r="1560" spans="1:8" x14ac:dyDescent="0.3">
      <c r="A1560" t="str">
        <v>raven</v>
      </c>
      <c r="B1560" t="str">
        <v>Batrider</v>
      </c>
      <c r="C1560" t="str" cm="1">
        <f t="array" ref="C1560">_xlfn.XLOOKUP(1,([3]!players[name]=A1560)*([3]!players[hero_name]=B1560),[3]!players[lane_name])</f>
        <v>Off Lane</v>
      </c>
      <c r="D1560">
        <f>COUNTIFS([3]!players[name],A1560,[3]!players[hero_name],B1560)</f>
        <v>1</v>
      </c>
      <c r="E1560">
        <f>COUNTIFS([3]!players[name],A1560,[3]!players[hero_name],B1560, [3]!players[win], 1)</f>
        <v>1</v>
      </c>
      <c r="F1560" s="1">
        <f t="shared" si="24"/>
        <v>1</v>
      </c>
      <c r="G1560" s="2">
        <f>AVERAGEIFS([3]!players[gold_per_min], [3]!players[name],A1560,[3]!players[hero_name],B1560)</f>
        <v>616</v>
      </c>
      <c r="H1560" s="2">
        <f>AVERAGEIFS([3]!players[xp_per_min], [3]!players[name],A1560,[3]!players[hero_name],B1560)</f>
        <v>777</v>
      </c>
    </row>
    <row r="1561" spans="1:8" x14ac:dyDescent="0.3">
      <c r="A1561" t="str">
        <v>raven</v>
      </c>
      <c r="B1561" t="str">
        <v>Beastmaster</v>
      </c>
      <c r="C1561" t="str" cm="1">
        <f t="array" ref="C1561">_xlfn.XLOOKUP(1,([3]!players[name]=A1561)*([3]!players[hero_name]=B1561),[3]!players[lane_name])</f>
        <v>Off Lane</v>
      </c>
      <c r="D1561">
        <f>COUNTIFS([3]!players[name],A1561,[3]!players[hero_name],B1561)</f>
        <v>1</v>
      </c>
      <c r="E1561">
        <f>COUNTIFS([3]!players[name],A1561,[3]!players[hero_name],B1561, [3]!players[win], 1)</f>
        <v>0</v>
      </c>
      <c r="F1561" s="1">
        <f t="shared" si="24"/>
        <v>0</v>
      </c>
      <c r="G1561" s="2">
        <f>AVERAGEIFS([3]!players[gold_per_min], [3]!players[name],A1561,[3]!players[hero_name],B1561)</f>
        <v>544</v>
      </c>
      <c r="H1561" s="2">
        <f>AVERAGEIFS([3]!players[xp_per_min], [3]!players[name],A1561,[3]!players[hero_name],B1561)</f>
        <v>569</v>
      </c>
    </row>
    <row r="1562" spans="1:8" x14ac:dyDescent="0.3">
      <c r="A1562" t="str">
        <v>raven</v>
      </c>
      <c r="B1562" t="str">
        <v>Bristleback</v>
      </c>
      <c r="C1562" t="str" cm="1">
        <f t="array" ref="C1562">_xlfn.XLOOKUP(1,([3]!players[name]=A1562)*([3]!players[hero_name]=B1562),[3]!players[lane_name])</f>
        <v>Off Lane</v>
      </c>
      <c r="D1562">
        <f>COUNTIFS([3]!players[name],A1562,[3]!players[hero_name],B1562)</f>
        <v>1</v>
      </c>
      <c r="E1562">
        <f>COUNTIFS([3]!players[name],A1562,[3]!players[hero_name],B1562, [3]!players[win], 1)</f>
        <v>0</v>
      </c>
      <c r="F1562" s="1">
        <f t="shared" si="24"/>
        <v>0</v>
      </c>
      <c r="G1562" s="2">
        <f>AVERAGEIFS([3]!players[gold_per_min], [3]!players[name],A1562,[3]!players[hero_name],B1562)</f>
        <v>603</v>
      </c>
      <c r="H1562" s="2">
        <f>AVERAGEIFS([3]!players[xp_per_min], [3]!players[name],A1562,[3]!players[hero_name],B1562)</f>
        <v>767</v>
      </c>
    </row>
    <row r="1563" spans="1:8" x14ac:dyDescent="0.3">
      <c r="A1563" t="str">
        <v>RCY</v>
      </c>
      <c r="B1563" t="str">
        <v>Storm Spirit</v>
      </c>
      <c r="C1563" t="str" cm="1">
        <f t="array" ref="C1563">_xlfn.XLOOKUP(1,([3]!players[name]=A1563)*([3]!players[hero_name]=B1563),[3]!players[lane_name])</f>
        <v>Mid</v>
      </c>
      <c r="D1563">
        <f>COUNTIFS([3]!players[name],A1563,[3]!players[hero_name],B1563)</f>
        <v>9</v>
      </c>
      <c r="E1563">
        <f>COUNTIFS([3]!players[name],A1563,[3]!players[hero_name],B1563, [3]!players[win], 1)</f>
        <v>6</v>
      </c>
      <c r="F1563" s="1">
        <f t="shared" si="24"/>
        <v>0.66666666666666663</v>
      </c>
      <c r="G1563" s="2">
        <f>AVERAGEIFS([3]!players[gold_per_min], [3]!players[name],A1563,[3]!players[hero_name],B1563)</f>
        <v>637.66666666666663</v>
      </c>
      <c r="H1563" s="2">
        <f>AVERAGEIFS([3]!players[xp_per_min], [3]!players[name],A1563,[3]!players[hero_name],B1563)</f>
        <v>830.22222222222217</v>
      </c>
    </row>
    <row r="1564" spans="1:8" x14ac:dyDescent="0.3">
      <c r="A1564" t="str">
        <v>RCY</v>
      </c>
      <c r="B1564" t="str">
        <v>Beastmaster</v>
      </c>
      <c r="C1564" t="str" cm="1">
        <f t="array" ref="C1564">_xlfn.XLOOKUP(1,([3]!players[name]=A1564)*([3]!players[hero_name]=B1564),[3]!players[lane_name])</f>
        <v>Mid</v>
      </c>
      <c r="D1564">
        <f>COUNTIFS([3]!players[name],A1564,[3]!players[hero_name],B1564)</f>
        <v>6</v>
      </c>
      <c r="E1564">
        <f>COUNTIFS([3]!players[name],A1564,[3]!players[hero_name],B1564, [3]!players[win], 1)</f>
        <v>4</v>
      </c>
      <c r="F1564" s="1">
        <f t="shared" si="24"/>
        <v>0.66666666666666663</v>
      </c>
      <c r="G1564" s="2">
        <f>AVERAGEIFS([3]!players[gold_per_min], [3]!players[name],A1564,[3]!players[hero_name],B1564)</f>
        <v>719.16666666666663</v>
      </c>
      <c r="H1564" s="2">
        <f>AVERAGEIFS([3]!players[xp_per_min], [3]!players[name],A1564,[3]!players[hero_name],B1564)</f>
        <v>918.33333333333337</v>
      </c>
    </row>
    <row r="1565" spans="1:8" x14ac:dyDescent="0.3">
      <c r="A1565" t="str">
        <v>RCY</v>
      </c>
      <c r="B1565" t="str">
        <v>Kez</v>
      </c>
      <c r="C1565" t="str" cm="1">
        <f t="array" ref="C1565">_xlfn.XLOOKUP(1,([3]!players[name]=A1565)*([3]!players[hero_name]=B1565),[3]!players[lane_name])</f>
        <v>Mid</v>
      </c>
      <c r="D1565">
        <f>COUNTIFS([3]!players[name],A1565,[3]!players[hero_name],B1565)</f>
        <v>5</v>
      </c>
      <c r="E1565">
        <f>COUNTIFS([3]!players[name],A1565,[3]!players[hero_name],B1565, [3]!players[win], 1)</f>
        <v>5</v>
      </c>
      <c r="F1565" s="1">
        <f t="shared" si="24"/>
        <v>1</v>
      </c>
      <c r="G1565" s="2">
        <f>AVERAGEIFS([3]!players[gold_per_min], [3]!players[name],A1565,[3]!players[hero_name],B1565)</f>
        <v>667.6</v>
      </c>
      <c r="H1565" s="2">
        <f>AVERAGEIFS([3]!players[xp_per_min], [3]!players[name],A1565,[3]!players[hero_name],B1565)</f>
        <v>821.2</v>
      </c>
    </row>
    <row r="1566" spans="1:8" x14ac:dyDescent="0.3">
      <c r="A1566" t="str">
        <v>RCY</v>
      </c>
      <c r="B1566" t="str">
        <v>Pangolier</v>
      </c>
      <c r="C1566" t="str" cm="1">
        <f t="array" ref="C1566">_xlfn.XLOOKUP(1,([3]!players[name]=A1566)*([3]!players[hero_name]=B1566),[3]!players[lane_name])</f>
        <v>Mid</v>
      </c>
      <c r="D1566">
        <f>COUNTIFS([3]!players[name],A1566,[3]!players[hero_name],B1566)</f>
        <v>2</v>
      </c>
      <c r="E1566">
        <f>COUNTIFS([3]!players[name],A1566,[3]!players[hero_name],B1566, [3]!players[win], 1)</f>
        <v>1</v>
      </c>
      <c r="F1566" s="1">
        <f t="shared" si="24"/>
        <v>0.5</v>
      </c>
      <c r="G1566" s="2">
        <f>AVERAGEIFS([3]!players[gold_per_min], [3]!players[name],A1566,[3]!players[hero_name],B1566)</f>
        <v>634.5</v>
      </c>
      <c r="H1566" s="2">
        <f>AVERAGEIFS([3]!players[xp_per_min], [3]!players[name],A1566,[3]!players[hero_name],B1566)</f>
        <v>785</v>
      </c>
    </row>
    <row r="1567" spans="1:8" x14ac:dyDescent="0.3">
      <c r="A1567" t="str">
        <v>RCY</v>
      </c>
      <c r="B1567" t="str">
        <v>Invoker</v>
      </c>
      <c r="C1567" t="str" cm="1">
        <f t="array" ref="C1567">_xlfn.XLOOKUP(1,([3]!players[name]=A1567)*([3]!players[hero_name]=B1567),[3]!players[lane_name])</f>
        <v>Mid</v>
      </c>
      <c r="D1567">
        <f>COUNTIFS([3]!players[name],A1567,[3]!players[hero_name],B1567)</f>
        <v>2</v>
      </c>
      <c r="E1567">
        <f>COUNTIFS([3]!players[name],A1567,[3]!players[hero_name],B1567, [3]!players[win], 1)</f>
        <v>0</v>
      </c>
      <c r="F1567" s="1">
        <f t="shared" si="24"/>
        <v>0</v>
      </c>
      <c r="G1567" s="2">
        <f>AVERAGEIFS([3]!players[gold_per_min], [3]!players[name],A1567,[3]!players[hero_name],B1567)</f>
        <v>610.5</v>
      </c>
      <c r="H1567" s="2">
        <f>AVERAGEIFS([3]!players[xp_per_min], [3]!players[name],A1567,[3]!players[hero_name],B1567)</f>
        <v>612.5</v>
      </c>
    </row>
    <row r="1568" spans="1:8" x14ac:dyDescent="0.3">
      <c r="A1568" t="str">
        <v>RCY</v>
      </c>
      <c r="B1568" t="str">
        <v>Sand King</v>
      </c>
      <c r="C1568" t="str" cm="1">
        <f t="array" ref="C1568">_xlfn.XLOOKUP(1,([3]!players[name]=A1568)*([3]!players[hero_name]=B1568),[3]!players[lane_name])</f>
        <v>Mid</v>
      </c>
      <c r="D1568">
        <f>COUNTIFS([3]!players[name],A1568,[3]!players[hero_name],B1568)</f>
        <v>4</v>
      </c>
      <c r="E1568">
        <f>COUNTIFS([3]!players[name],A1568,[3]!players[hero_name],B1568, [3]!players[win], 1)</f>
        <v>2</v>
      </c>
      <c r="F1568" s="1">
        <f t="shared" si="24"/>
        <v>0.5</v>
      </c>
      <c r="G1568" s="2">
        <f>AVERAGEIFS([3]!players[gold_per_min], [3]!players[name],A1568,[3]!players[hero_name],B1568)</f>
        <v>558.25</v>
      </c>
      <c r="H1568" s="2">
        <f>AVERAGEIFS([3]!players[xp_per_min], [3]!players[name],A1568,[3]!players[hero_name],B1568)</f>
        <v>724.75</v>
      </c>
    </row>
    <row r="1569" spans="1:8" x14ac:dyDescent="0.3">
      <c r="A1569" t="str">
        <v>RCY</v>
      </c>
      <c r="B1569" t="str">
        <v>Queen of Pain</v>
      </c>
      <c r="C1569" t="str" cm="1">
        <f t="array" ref="C1569">_xlfn.XLOOKUP(1,([3]!players[name]=A1569)*([3]!players[hero_name]=B1569),[3]!players[lane_name])</f>
        <v>Mid</v>
      </c>
      <c r="D1569">
        <f>COUNTIFS([3]!players[name],A1569,[3]!players[hero_name],B1569)</f>
        <v>4</v>
      </c>
      <c r="E1569">
        <f>COUNTIFS([3]!players[name],A1569,[3]!players[hero_name],B1569, [3]!players[win], 1)</f>
        <v>1</v>
      </c>
      <c r="F1569" s="1">
        <f t="shared" si="24"/>
        <v>0.25</v>
      </c>
      <c r="G1569" s="2">
        <f>AVERAGEIFS([3]!players[gold_per_min], [3]!players[name],A1569,[3]!players[hero_name],B1569)</f>
        <v>636.25</v>
      </c>
      <c r="H1569" s="2">
        <f>AVERAGEIFS([3]!players[xp_per_min], [3]!players[name],A1569,[3]!players[hero_name],B1569)</f>
        <v>767.75</v>
      </c>
    </row>
    <row r="1570" spans="1:8" x14ac:dyDescent="0.3">
      <c r="A1570" t="str">
        <v>RCY</v>
      </c>
      <c r="B1570" t="str">
        <v>Puck</v>
      </c>
      <c r="C1570" t="str" cm="1">
        <f t="array" ref="C1570">_xlfn.XLOOKUP(1,([3]!players[name]=A1570)*([3]!players[hero_name]=B1570),[3]!players[lane_name])</f>
        <v>Mid</v>
      </c>
      <c r="D1570">
        <f>COUNTIFS([3]!players[name],A1570,[3]!players[hero_name],B1570)</f>
        <v>2</v>
      </c>
      <c r="E1570">
        <f>COUNTIFS([3]!players[name],A1570,[3]!players[hero_name],B1570, [3]!players[win], 1)</f>
        <v>1</v>
      </c>
      <c r="F1570" s="1">
        <f t="shared" si="24"/>
        <v>0.5</v>
      </c>
      <c r="G1570" s="2">
        <f>AVERAGEIFS([3]!players[gold_per_min], [3]!players[name],A1570,[3]!players[hero_name],B1570)</f>
        <v>749.5</v>
      </c>
      <c r="H1570" s="2">
        <f>AVERAGEIFS([3]!players[xp_per_min], [3]!players[name],A1570,[3]!players[hero_name],B1570)</f>
        <v>1026</v>
      </c>
    </row>
    <row r="1571" spans="1:8" x14ac:dyDescent="0.3">
      <c r="A1571" t="str">
        <v>RCY</v>
      </c>
      <c r="B1571" t="str">
        <v>Void Spirit</v>
      </c>
      <c r="C1571" t="str" cm="1">
        <f t="array" ref="C1571">_xlfn.XLOOKUP(1,([3]!players[name]=A1571)*([3]!players[hero_name]=B1571),[3]!players[lane_name])</f>
        <v>Mid</v>
      </c>
      <c r="D1571">
        <f>COUNTIFS([3]!players[name],A1571,[3]!players[hero_name],B1571)</f>
        <v>1</v>
      </c>
      <c r="E1571">
        <f>COUNTIFS([3]!players[name],A1571,[3]!players[hero_name],B1571, [3]!players[win], 1)</f>
        <v>1</v>
      </c>
      <c r="F1571" s="1">
        <f t="shared" si="24"/>
        <v>1</v>
      </c>
      <c r="G1571" s="2">
        <f>AVERAGEIFS([3]!players[gold_per_min], [3]!players[name],A1571,[3]!players[hero_name],B1571)</f>
        <v>833</v>
      </c>
      <c r="H1571" s="2">
        <f>AVERAGEIFS([3]!players[xp_per_min], [3]!players[name],A1571,[3]!players[hero_name],B1571)</f>
        <v>1027</v>
      </c>
    </row>
    <row r="1572" spans="1:8" x14ac:dyDescent="0.3">
      <c r="A1572" t="str">
        <v>RCY</v>
      </c>
      <c r="B1572" t="str">
        <v>Huskar</v>
      </c>
      <c r="C1572" t="str" cm="1">
        <f t="array" ref="C1572">_xlfn.XLOOKUP(1,([3]!players[name]=A1572)*([3]!players[hero_name]=B1572),[3]!players[lane_name])</f>
        <v>Mid</v>
      </c>
      <c r="D1572">
        <f>COUNTIFS([3]!players[name],A1572,[3]!players[hero_name],B1572)</f>
        <v>2</v>
      </c>
      <c r="E1572">
        <f>COUNTIFS([3]!players[name],A1572,[3]!players[hero_name],B1572, [3]!players[win], 1)</f>
        <v>2</v>
      </c>
      <c r="F1572" s="1">
        <f t="shared" si="24"/>
        <v>1</v>
      </c>
      <c r="G1572" s="2">
        <f>AVERAGEIFS([3]!players[gold_per_min], [3]!players[name],A1572,[3]!players[hero_name],B1572)</f>
        <v>706.5</v>
      </c>
      <c r="H1572" s="2">
        <f>AVERAGEIFS([3]!players[xp_per_min], [3]!players[name],A1572,[3]!players[hero_name],B1572)</f>
        <v>983</v>
      </c>
    </row>
    <row r="1573" spans="1:8" x14ac:dyDescent="0.3">
      <c r="A1573" t="str">
        <v>RESPECT</v>
      </c>
      <c r="B1573" t="str">
        <v>Enchantress</v>
      </c>
      <c r="C1573" t="str" cm="1">
        <f t="array" ref="C1573">_xlfn.XLOOKUP(1,([3]!players[name]=A1573)*([3]!players[hero_name]=B1573),[3]!players[lane_name])</f>
        <v>Soft Support</v>
      </c>
      <c r="D1573">
        <f>COUNTIFS([3]!players[name],A1573,[3]!players[hero_name],B1573)</f>
        <v>10</v>
      </c>
      <c r="E1573">
        <f>COUNTIFS([3]!players[name],A1573,[3]!players[hero_name],B1573, [3]!players[win], 1)</f>
        <v>5</v>
      </c>
      <c r="F1573" s="1">
        <f t="shared" si="24"/>
        <v>0.5</v>
      </c>
      <c r="G1573" s="2">
        <f>AVERAGEIFS([3]!players[gold_per_min], [3]!players[name],A1573,[3]!players[hero_name],B1573)</f>
        <v>373.4</v>
      </c>
      <c r="H1573" s="2">
        <f>AVERAGEIFS([3]!players[xp_per_min], [3]!players[name],A1573,[3]!players[hero_name],B1573)</f>
        <v>481.7</v>
      </c>
    </row>
    <row r="1574" spans="1:8" x14ac:dyDescent="0.3">
      <c r="A1574" t="str">
        <v>RESPECT</v>
      </c>
      <c r="B1574" t="str">
        <v>Phoenix</v>
      </c>
      <c r="C1574" t="str" cm="1">
        <f t="array" ref="C1574">_xlfn.XLOOKUP(1,([3]!players[name]=A1574)*([3]!players[hero_name]=B1574),[3]!players[lane_name])</f>
        <v>Soft Support</v>
      </c>
      <c r="D1574">
        <f>COUNTIFS([3]!players[name],A1574,[3]!players[hero_name],B1574)</f>
        <v>9</v>
      </c>
      <c r="E1574">
        <f>COUNTIFS([3]!players[name],A1574,[3]!players[hero_name],B1574, [3]!players[win], 1)</f>
        <v>3</v>
      </c>
      <c r="F1574" s="1">
        <f t="shared" si="24"/>
        <v>0.33333333333333331</v>
      </c>
      <c r="G1574" s="2">
        <f>AVERAGEIFS([3]!players[gold_per_min], [3]!players[name],A1574,[3]!players[hero_name],B1574)</f>
        <v>341.88888888888891</v>
      </c>
      <c r="H1574" s="2">
        <f>AVERAGEIFS([3]!players[xp_per_min], [3]!players[name],A1574,[3]!players[hero_name],B1574)</f>
        <v>443.66666666666669</v>
      </c>
    </row>
    <row r="1575" spans="1:8" x14ac:dyDescent="0.3">
      <c r="A1575" t="str">
        <v>RESPECT</v>
      </c>
      <c r="B1575" t="str">
        <v>Rubick</v>
      </c>
      <c r="C1575" t="str" cm="1">
        <f t="array" ref="C1575">_xlfn.XLOOKUP(1,([3]!players[name]=A1575)*([3]!players[hero_name]=B1575),[3]!players[lane_name])</f>
        <v>Soft Support</v>
      </c>
      <c r="D1575">
        <f>COUNTIFS([3]!players[name],A1575,[3]!players[hero_name],B1575)</f>
        <v>9</v>
      </c>
      <c r="E1575">
        <f>COUNTIFS([3]!players[name],A1575,[3]!players[hero_name],B1575, [3]!players[win], 1)</f>
        <v>5</v>
      </c>
      <c r="F1575" s="1">
        <f t="shared" si="24"/>
        <v>0.55555555555555558</v>
      </c>
      <c r="G1575" s="2">
        <f>AVERAGEIFS([3]!players[gold_per_min], [3]!players[name],A1575,[3]!players[hero_name],B1575)</f>
        <v>349.55555555555554</v>
      </c>
      <c r="H1575" s="2">
        <f>AVERAGEIFS([3]!players[xp_per_min], [3]!players[name],A1575,[3]!players[hero_name],B1575)</f>
        <v>479</v>
      </c>
    </row>
    <row r="1576" spans="1:8" x14ac:dyDescent="0.3">
      <c r="A1576" t="str">
        <v>RESPECT</v>
      </c>
      <c r="B1576" t="str">
        <v>Venomancer</v>
      </c>
      <c r="C1576" t="str" cm="1">
        <f t="array" ref="C1576">_xlfn.XLOOKUP(1,([3]!players[name]=A1576)*([3]!players[hero_name]=B1576),[3]!players[lane_name])</f>
        <v>Soft Support</v>
      </c>
      <c r="D1576">
        <f>COUNTIFS([3]!players[name],A1576,[3]!players[hero_name],B1576)</f>
        <v>8</v>
      </c>
      <c r="E1576">
        <f>COUNTIFS([3]!players[name],A1576,[3]!players[hero_name],B1576, [3]!players[win], 1)</f>
        <v>4</v>
      </c>
      <c r="F1576" s="1">
        <f t="shared" si="24"/>
        <v>0.5</v>
      </c>
      <c r="G1576" s="2">
        <f>AVERAGEIFS([3]!players[gold_per_min], [3]!players[name],A1576,[3]!players[hero_name],B1576)</f>
        <v>390.625</v>
      </c>
      <c r="H1576" s="2">
        <f>AVERAGEIFS([3]!players[xp_per_min], [3]!players[name],A1576,[3]!players[hero_name],B1576)</f>
        <v>498.875</v>
      </c>
    </row>
    <row r="1577" spans="1:8" x14ac:dyDescent="0.3">
      <c r="A1577" t="str">
        <v>RESPECT</v>
      </c>
      <c r="B1577" t="str">
        <v>Shadow Demon</v>
      </c>
      <c r="C1577" t="str" cm="1">
        <f t="array" ref="C1577">_xlfn.XLOOKUP(1,([3]!players[name]=A1577)*([3]!players[hero_name]=B1577),[3]!players[lane_name])</f>
        <v>Hard Support</v>
      </c>
      <c r="D1577">
        <f>COUNTIFS([3]!players[name],A1577,[3]!players[hero_name],B1577)</f>
        <v>2</v>
      </c>
      <c r="E1577">
        <f>COUNTIFS([3]!players[name],A1577,[3]!players[hero_name],B1577, [3]!players[win], 1)</f>
        <v>2</v>
      </c>
      <c r="F1577" s="1">
        <f t="shared" si="24"/>
        <v>1</v>
      </c>
      <c r="G1577" s="2">
        <f>AVERAGEIFS([3]!players[gold_per_min], [3]!players[name],A1577,[3]!players[hero_name],B1577)</f>
        <v>341.5</v>
      </c>
      <c r="H1577" s="2">
        <f>AVERAGEIFS([3]!players[xp_per_min], [3]!players[name],A1577,[3]!players[hero_name],B1577)</f>
        <v>434</v>
      </c>
    </row>
    <row r="1578" spans="1:8" x14ac:dyDescent="0.3">
      <c r="A1578" t="str">
        <v>RESPECT</v>
      </c>
      <c r="B1578" t="str">
        <v>Jakiro</v>
      </c>
      <c r="C1578" t="str" cm="1">
        <f t="array" ref="C1578">_xlfn.XLOOKUP(1,([3]!players[name]=A1578)*([3]!players[hero_name]=B1578),[3]!players[lane_name])</f>
        <v>Soft Support</v>
      </c>
      <c r="D1578">
        <f>COUNTIFS([3]!players[name],A1578,[3]!players[hero_name],B1578)</f>
        <v>1</v>
      </c>
      <c r="E1578">
        <f>COUNTIFS([3]!players[name],A1578,[3]!players[hero_name],B1578, [3]!players[win], 1)</f>
        <v>0</v>
      </c>
      <c r="F1578" s="1">
        <f t="shared" si="24"/>
        <v>0</v>
      </c>
      <c r="G1578" s="2">
        <f>AVERAGEIFS([3]!players[gold_per_min], [3]!players[name],A1578,[3]!players[hero_name],B1578)</f>
        <v>255</v>
      </c>
      <c r="H1578" s="2">
        <f>AVERAGEIFS([3]!players[xp_per_min], [3]!players[name],A1578,[3]!players[hero_name],B1578)</f>
        <v>280</v>
      </c>
    </row>
    <row r="1579" spans="1:8" x14ac:dyDescent="0.3">
      <c r="A1579" t="str">
        <v>RESPECT</v>
      </c>
      <c r="B1579" t="str">
        <v>Ringmaster</v>
      </c>
      <c r="C1579" t="str" cm="1">
        <f t="array" ref="C1579">_xlfn.XLOOKUP(1,([3]!players[name]=A1579)*([3]!players[hero_name]=B1579),[3]!players[lane_name])</f>
        <v>Soft Support</v>
      </c>
      <c r="D1579">
        <f>COUNTIFS([3]!players[name],A1579,[3]!players[hero_name],B1579)</f>
        <v>4</v>
      </c>
      <c r="E1579">
        <f>COUNTIFS([3]!players[name],A1579,[3]!players[hero_name],B1579, [3]!players[win], 1)</f>
        <v>3</v>
      </c>
      <c r="F1579" s="1">
        <f t="shared" si="24"/>
        <v>0.75</v>
      </c>
      <c r="G1579" s="2">
        <f>AVERAGEIFS([3]!players[gold_per_min], [3]!players[name],A1579,[3]!players[hero_name],B1579)</f>
        <v>343.25</v>
      </c>
      <c r="H1579" s="2">
        <f>AVERAGEIFS([3]!players[xp_per_min], [3]!players[name],A1579,[3]!players[hero_name],B1579)</f>
        <v>555.75</v>
      </c>
    </row>
    <row r="1580" spans="1:8" x14ac:dyDescent="0.3">
      <c r="A1580" t="str">
        <v>RESPECT</v>
      </c>
      <c r="B1580" t="str">
        <v>Treant Protector</v>
      </c>
      <c r="C1580" t="str" cm="1">
        <f t="array" ref="C1580">_xlfn.XLOOKUP(1,([3]!players[name]=A1580)*([3]!players[hero_name]=B1580),[3]!players[lane_name])</f>
        <v>Soft Support</v>
      </c>
      <c r="D1580">
        <f>COUNTIFS([3]!players[name],A1580,[3]!players[hero_name],B1580)</f>
        <v>2</v>
      </c>
      <c r="E1580">
        <f>COUNTIFS([3]!players[name],A1580,[3]!players[hero_name],B1580, [3]!players[win], 1)</f>
        <v>0</v>
      </c>
      <c r="F1580" s="1">
        <f t="shared" si="24"/>
        <v>0</v>
      </c>
      <c r="G1580" s="2">
        <f>AVERAGEIFS([3]!players[gold_per_min], [3]!players[name],A1580,[3]!players[hero_name],B1580)</f>
        <v>260.5</v>
      </c>
      <c r="H1580" s="2">
        <f>AVERAGEIFS([3]!players[xp_per_min], [3]!players[name],A1580,[3]!players[hero_name],B1580)</f>
        <v>323.5</v>
      </c>
    </row>
    <row r="1581" spans="1:8" x14ac:dyDescent="0.3">
      <c r="A1581" t="str">
        <v>RESPECT</v>
      </c>
      <c r="B1581" t="str">
        <v>Pugna</v>
      </c>
      <c r="C1581" t="str" cm="1">
        <f t="array" ref="C1581">_xlfn.XLOOKUP(1,([3]!players[name]=A1581)*([3]!players[hero_name]=B1581),[3]!players[lane_name])</f>
        <v>Roam</v>
      </c>
      <c r="D1581">
        <f>COUNTIFS([3]!players[name],A1581,[3]!players[hero_name],B1581)</f>
        <v>1</v>
      </c>
      <c r="E1581">
        <f>COUNTIFS([3]!players[name],A1581,[3]!players[hero_name],B1581, [3]!players[win], 1)</f>
        <v>0</v>
      </c>
      <c r="F1581" s="1">
        <f t="shared" si="24"/>
        <v>0</v>
      </c>
      <c r="G1581" s="2">
        <f>AVERAGEIFS([3]!players[gold_per_min], [3]!players[name],A1581,[3]!players[hero_name],B1581)</f>
        <v>239</v>
      </c>
      <c r="H1581" s="2">
        <f>AVERAGEIFS([3]!players[xp_per_min], [3]!players[name],A1581,[3]!players[hero_name],B1581)</f>
        <v>262</v>
      </c>
    </row>
    <row r="1582" spans="1:8" x14ac:dyDescent="0.3">
      <c r="A1582" t="str">
        <v>RESPECT</v>
      </c>
      <c r="B1582" t="str">
        <v>Batrider</v>
      </c>
      <c r="C1582" t="str" cm="1">
        <f t="array" ref="C1582">_xlfn.XLOOKUP(1,([3]!players[name]=A1582)*([3]!players[hero_name]=B1582),[3]!players[lane_name])</f>
        <v>Soft Support</v>
      </c>
      <c r="D1582">
        <f>COUNTIFS([3]!players[name],A1582,[3]!players[hero_name],B1582)</f>
        <v>3</v>
      </c>
      <c r="E1582">
        <f>COUNTIFS([3]!players[name],A1582,[3]!players[hero_name],B1582, [3]!players[win], 1)</f>
        <v>3</v>
      </c>
      <c r="F1582" s="1">
        <f t="shared" si="24"/>
        <v>1</v>
      </c>
      <c r="G1582" s="2">
        <f>AVERAGEIFS([3]!players[gold_per_min], [3]!players[name],A1582,[3]!players[hero_name],B1582)</f>
        <v>429.66666666666669</v>
      </c>
      <c r="H1582" s="2">
        <f>AVERAGEIFS([3]!players[xp_per_min], [3]!players[name],A1582,[3]!players[hero_name],B1582)</f>
        <v>617.33333333333337</v>
      </c>
    </row>
    <row r="1583" spans="1:8" x14ac:dyDescent="0.3">
      <c r="A1583" t="str">
        <v>RESPECT</v>
      </c>
      <c r="B1583" t="str">
        <v>Oracle</v>
      </c>
      <c r="C1583" t="str" cm="1">
        <f t="array" ref="C1583">_xlfn.XLOOKUP(1,([3]!players[name]=A1583)*([3]!players[hero_name]=B1583),[3]!players[lane_name])</f>
        <v>Hard Support</v>
      </c>
      <c r="D1583">
        <f>COUNTIFS([3]!players[name],A1583,[3]!players[hero_name],B1583)</f>
        <v>3</v>
      </c>
      <c r="E1583">
        <f>COUNTIFS([3]!players[name],A1583,[3]!players[hero_name],B1583, [3]!players[win], 1)</f>
        <v>3</v>
      </c>
      <c r="F1583" s="1">
        <f t="shared" si="24"/>
        <v>1</v>
      </c>
      <c r="G1583" s="2">
        <f>AVERAGEIFS([3]!players[gold_per_min], [3]!players[name],A1583,[3]!players[hero_name],B1583)</f>
        <v>323</v>
      </c>
      <c r="H1583" s="2">
        <f>AVERAGEIFS([3]!players[xp_per_min], [3]!players[name],A1583,[3]!players[hero_name],B1583)</f>
        <v>449</v>
      </c>
    </row>
    <row r="1584" spans="1:8" x14ac:dyDescent="0.3">
      <c r="A1584" t="str">
        <v>RESPECT</v>
      </c>
      <c r="B1584" t="str">
        <v>Tusk</v>
      </c>
      <c r="C1584" t="str" cm="1">
        <f t="array" ref="C1584">_xlfn.XLOOKUP(1,([3]!players[name]=A1584)*([3]!players[hero_name]=B1584),[3]!players[lane_name])</f>
        <v>Hard Support</v>
      </c>
      <c r="D1584">
        <f>COUNTIFS([3]!players[name],A1584,[3]!players[hero_name],B1584)</f>
        <v>3</v>
      </c>
      <c r="E1584">
        <f>COUNTIFS([3]!players[name],A1584,[3]!players[hero_name],B1584, [3]!players[win], 1)</f>
        <v>2</v>
      </c>
      <c r="F1584" s="1">
        <f t="shared" si="24"/>
        <v>0.66666666666666663</v>
      </c>
      <c r="G1584" s="2">
        <f>AVERAGEIFS([3]!players[gold_per_min], [3]!players[name],A1584,[3]!players[hero_name],B1584)</f>
        <v>330.66666666666669</v>
      </c>
      <c r="H1584" s="2">
        <f>AVERAGEIFS([3]!players[xp_per_min], [3]!players[name],A1584,[3]!players[hero_name],B1584)</f>
        <v>495</v>
      </c>
    </row>
    <row r="1585" spans="1:8" x14ac:dyDescent="0.3">
      <c r="A1585" t="str">
        <v>RESPECT</v>
      </c>
      <c r="B1585" t="str">
        <v>Techies</v>
      </c>
      <c r="C1585" t="str" cm="1">
        <f t="array" ref="C1585">_xlfn.XLOOKUP(1,([3]!players[name]=A1585)*([3]!players[hero_name]=B1585),[3]!players[lane_name])</f>
        <v>Roam</v>
      </c>
      <c r="D1585">
        <f>COUNTIFS([3]!players[name],A1585,[3]!players[hero_name],B1585)</f>
        <v>2</v>
      </c>
      <c r="E1585">
        <f>COUNTIFS([3]!players[name],A1585,[3]!players[hero_name],B1585, [3]!players[win], 1)</f>
        <v>1</v>
      </c>
      <c r="F1585" s="1">
        <f t="shared" si="24"/>
        <v>0.5</v>
      </c>
      <c r="G1585" s="2">
        <f>AVERAGEIFS([3]!players[gold_per_min], [3]!players[name],A1585,[3]!players[hero_name],B1585)</f>
        <v>356.5</v>
      </c>
      <c r="H1585" s="2">
        <f>AVERAGEIFS([3]!players[xp_per_min], [3]!players[name],A1585,[3]!players[hero_name],B1585)</f>
        <v>525.5</v>
      </c>
    </row>
    <row r="1586" spans="1:8" x14ac:dyDescent="0.3">
      <c r="A1586" t="str">
        <v>RESPECT</v>
      </c>
      <c r="B1586" t="str">
        <v>Silencer</v>
      </c>
      <c r="C1586" t="str" cm="1">
        <f t="array" ref="C1586">_xlfn.XLOOKUP(1,([3]!players[name]=A1586)*([3]!players[hero_name]=B1586),[3]!players[lane_name])</f>
        <v>Roam</v>
      </c>
      <c r="D1586">
        <f>COUNTIFS([3]!players[name],A1586,[3]!players[hero_name],B1586)</f>
        <v>2</v>
      </c>
      <c r="E1586">
        <f>COUNTIFS([3]!players[name],A1586,[3]!players[hero_name],B1586, [3]!players[win], 1)</f>
        <v>1</v>
      </c>
      <c r="F1586" s="1">
        <f t="shared" si="24"/>
        <v>0.5</v>
      </c>
      <c r="G1586" s="2">
        <f>AVERAGEIFS([3]!players[gold_per_min], [3]!players[name],A1586,[3]!players[hero_name],B1586)</f>
        <v>313.5</v>
      </c>
      <c r="H1586" s="2">
        <f>AVERAGEIFS([3]!players[xp_per_min], [3]!players[name],A1586,[3]!players[hero_name],B1586)</f>
        <v>493</v>
      </c>
    </row>
    <row r="1587" spans="1:8" x14ac:dyDescent="0.3">
      <c r="A1587" t="str">
        <v>RESPECT</v>
      </c>
      <c r="B1587" t="str">
        <v>Chen</v>
      </c>
      <c r="C1587" t="str" cm="1">
        <f t="array" ref="C1587">_xlfn.XLOOKUP(1,([3]!players[name]=A1587)*([3]!players[hero_name]=B1587),[3]!players[lane_name])</f>
        <v>Soft Support</v>
      </c>
      <c r="D1587">
        <f>COUNTIFS([3]!players[name],A1587,[3]!players[hero_name],B1587)</f>
        <v>1</v>
      </c>
      <c r="E1587">
        <f>COUNTIFS([3]!players[name],A1587,[3]!players[hero_name],B1587, [3]!players[win], 1)</f>
        <v>1</v>
      </c>
      <c r="F1587" s="1">
        <f t="shared" si="24"/>
        <v>1</v>
      </c>
      <c r="G1587" s="2">
        <f>AVERAGEIFS([3]!players[gold_per_min], [3]!players[name],A1587,[3]!players[hero_name],B1587)</f>
        <v>405</v>
      </c>
      <c r="H1587" s="2">
        <f>AVERAGEIFS([3]!players[xp_per_min], [3]!players[name],A1587,[3]!players[hero_name],B1587)</f>
        <v>508</v>
      </c>
    </row>
    <row r="1588" spans="1:8" x14ac:dyDescent="0.3">
      <c r="A1588" t="str">
        <v>RESPECT</v>
      </c>
      <c r="B1588" t="str">
        <v>Grimstroke</v>
      </c>
      <c r="C1588" t="str" cm="1">
        <f t="array" ref="C1588">_xlfn.XLOOKUP(1,([3]!players[name]=A1588)*([3]!players[hero_name]=B1588),[3]!players[lane_name])</f>
        <v>Roam</v>
      </c>
      <c r="D1588">
        <f>COUNTIFS([3]!players[name],A1588,[3]!players[hero_name],B1588)</f>
        <v>1</v>
      </c>
      <c r="E1588">
        <f>COUNTIFS([3]!players[name],A1588,[3]!players[hero_name],B1588, [3]!players[win], 1)</f>
        <v>0</v>
      </c>
      <c r="F1588" s="1">
        <f t="shared" si="24"/>
        <v>0</v>
      </c>
      <c r="G1588" s="2">
        <f>AVERAGEIFS([3]!players[gold_per_min], [3]!players[name],A1588,[3]!players[hero_name],B1588)</f>
        <v>347</v>
      </c>
      <c r="H1588" s="2">
        <f>AVERAGEIFS([3]!players[xp_per_min], [3]!players[name],A1588,[3]!players[hero_name],B1588)</f>
        <v>500</v>
      </c>
    </row>
    <row r="1589" spans="1:8" x14ac:dyDescent="0.3">
      <c r="A1589" t="str">
        <v>Riddys</v>
      </c>
      <c r="B1589" t="str">
        <v>Venomancer</v>
      </c>
      <c r="C1589" t="str" cm="1">
        <f t="array" ref="C1589">_xlfn.XLOOKUP(1,([3]!players[name]=A1589)*([3]!players[hero_name]=B1589),[3]!players[lane_name])</f>
        <v>Soft Support</v>
      </c>
      <c r="D1589">
        <f>COUNTIFS([3]!players[name],A1589,[3]!players[hero_name],B1589)</f>
        <v>3</v>
      </c>
      <c r="E1589">
        <f>COUNTIFS([3]!players[name],A1589,[3]!players[hero_name],B1589, [3]!players[win], 1)</f>
        <v>2</v>
      </c>
      <c r="F1589" s="1">
        <f t="shared" si="24"/>
        <v>0.66666666666666663</v>
      </c>
      <c r="G1589" s="2">
        <f>AVERAGEIFS([3]!players[gold_per_min], [3]!players[name],A1589,[3]!players[hero_name],B1589)</f>
        <v>400</v>
      </c>
      <c r="H1589" s="2">
        <f>AVERAGEIFS([3]!players[xp_per_min], [3]!players[name],A1589,[3]!players[hero_name],B1589)</f>
        <v>426</v>
      </c>
    </row>
    <row r="1590" spans="1:8" x14ac:dyDescent="0.3">
      <c r="A1590" t="str">
        <v>Riddys</v>
      </c>
      <c r="B1590" t="str">
        <v>Treant Protector</v>
      </c>
      <c r="C1590" t="str" cm="1">
        <f t="array" ref="C1590">_xlfn.XLOOKUP(1,([3]!players[name]=A1590)*([3]!players[hero_name]=B1590),[3]!players[lane_name])</f>
        <v>Hard Support</v>
      </c>
      <c r="D1590">
        <f>COUNTIFS([3]!players[name],A1590,[3]!players[hero_name],B1590)</f>
        <v>5</v>
      </c>
      <c r="E1590">
        <f>COUNTIFS([3]!players[name],A1590,[3]!players[hero_name],B1590, [3]!players[win], 1)</f>
        <v>2</v>
      </c>
      <c r="F1590" s="1">
        <f t="shared" si="24"/>
        <v>0.4</v>
      </c>
      <c r="G1590" s="2">
        <f>AVERAGEIFS([3]!players[gold_per_min], [3]!players[name],A1590,[3]!players[hero_name],B1590)</f>
        <v>297.8</v>
      </c>
      <c r="H1590" s="2">
        <f>AVERAGEIFS([3]!players[xp_per_min], [3]!players[name],A1590,[3]!players[hero_name],B1590)</f>
        <v>426.2</v>
      </c>
    </row>
    <row r="1591" spans="1:8" x14ac:dyDescent="0.3">
      <c r="A1591" t="str">
        <v>Riddys</v>
      </c>
      <c r="B1591" t="str">
        <v>Phoenix</v>
      </c>
      <c r="C1591" t="str" cm="1">
        <f t="array" ref="C1591">_xlfn.XLOOKUP(1,([3]!players[name]=A1591)*([3]!players[hero_name]=B1591),[3]!players[lane_name])</f>
        <v>Roam</v>
      </c>
      <c r="D1591">
        <f>COUNTIFS([3]!players[name],A1591,[3]!players[hero_name],B1591)</f>
        <v>3</v>
      </c>
      <c r="E1591">
        <f>COUNTIFS([3]!players[name],A1591,[3]!players[hero_name],B1591, [3]!players[win], 1)</f>
        <v>3</v>
      </c>
      <c r="F1591" s="1">
        <f t="shared" si="24"/>
        <v>1</v>
      </c>
      <c r="G1591" s="2">
        <f>AVERAGEIFS([3]!players[gold_per_min], [3]!players[name],A1591,[3]!players[hero_name],B1591)</f>
        <v>382</v>
      </c>
      <c r="H1591" s="2">
        <f>AVERAGEIFS([3]!players[xp_per_min], [3]!players[name],A1591,[3]!players[hero_name],B1591)</f>
        <v>472</v>
      </c>
    </row>
    <row r="1592" spans="1:8" x14ac:dyDescent="0.3">
      <c r="A1592" t="str">
        <v>Riddys</v>
      </c>
      <c r="B1592" t="str">
        <v>Disruptor</v>
      </c>
      <c r="C1592" t="str" cm="1">
        <f t="array" ref="C1592">_xlfn.XLOOKUP(1,([3]!players[name]=A1592)*([3]!players[hero_name]=B1592),[3]!players[lane_name])</f>
        <v>Roam</v>
      </c>
      <c r="D1592">
        <f>COUNTIFS([3]!players[name],A1592,[3]!players[hero_name],B1592)</f>
        <v>2</v>
      </c>
      <c r="E1592">
        <f>COUNTIFS([3]!players[name],A1592,[3]!players[hero_name],B1592, [3]!players[win], 1)</f>
        <v>0</v>
      </c>
      <c r="F1592" s="1">
        <f t="shared" si="24"/>
        <v>0</v>
      </c>
      <c r="G1592" s="2">
        <f>AVERAGEIFS([3]!players[gold_per_min], [3]!players[name],A1592,[3]!players[hero_name],B1592)</f>
        <v>221</v>
      </c>
      <c r="H1592" s="2">
        <f>AVERAGEIFS([3]!players[xp_per_min], [3]!players[name],A1592,[3]!players[hero_name],B1592)</f>
        <v>240</v>
      </c>
    </row>
    <row r="1593" spans="1:8" x14ac:dyDescent="0.3">
      <c r="A1593" t="str">
        <v>Riddys</v>
      </c>
      <c r="B1593" t="str">
        <v>Warlock</v>
      </c>
      <c r="C1593" t="str" cm="1">
        <f t="array" ref="C1593">_xlfn.XLOOKUP(1,([3]!players[name]=A1593)*([3]!players[hero_name]=B1593),[3]!players[lane_name])</f>
        <v>Soft Support</v>
      </c>
      <c r="D1593">
        <f>COUNTIFS([3]!players[name],A1593,[3]!players[hero_name],B1593)</f>
        <v>3</v>
      </c>
      <c r="E1593">
        <f>COUNTIFS([3]!players[name],A1593,[3]!players[hero_name],B1593, [3]!players[win], 1)</f>
        <v>2</v>
      </c>
      <c r="F1593" s="1">
        <f t="shared" si="24"/>
        <v>0.66666666666666663</v>
      </c>
      <c r="G1593" s="2">
        <f>AVERAGEIFS([3]!players[gold_per_min], [3]!players[name],A1593,[3]!players[hero_name],B1593)</f>
        <v>385.66666666666669</v>
      </c>
      <c r="H1593" s="2">
        <f>AVERAGEIFS([3]!players[xp_per_min], [3]!players[name],A1593,[3]!players[hero_name],B1593)</f>
        <v>432.66666666666669</v>
      </c>
    </row>
    <row r="1594" spans="1:8" x14ac:dyDescent="0.3">
      <c r="A1594" t="str">
        <v>Riddys</v>
      </c>
      <c r="B1594" t="str">
        <v>Grimstroke</v>
      </c>
      <c r="C1594" t="str" cm="1">
        <f t="array" ref="C1594">_xlfn.XLOOKUP(1,([3]!players[name]=A1594)*([3]!players[hero_name]=B1594),[3]!players[lane_name])</f>
        <v>Soft Support</v>
      </c>
      <c r="D1594">
        <f>COUNTIFS([3]!players[name],A1594,[3]!players[hero_name],B1594)</f>
        <v>5</v>
      </c>
      <c r="E1594">
        <f>COUNTIFS([3]!players[name],A1594,[3]!players[hero_name],B1594, [3]!players[win], 1)</f>
        <v>1</v>
      </c>
      <c r="F1594" s="1">
        <f t="shared" si="24"/>
        <v>0.2</v>
      </c>
      <c r="G1594" s="2">
        <f>AVERAGEIFS([3]!players[gold_per_min], [3]!players[name],A1594,[3]!players[hero_name],B1594)</f>
        <v>303.60000000000002</v>
      </c>
      <c r="H1594" s="2">
        <f>AVERAGEIFS([3]!players[xp_per_min], [3]!players[name],A1594,[3]!players[hero_name],B1594)</f>
        <v>384.2</v>
      </c>
    </row>
    <row r="1595" spans="1:8" x14ac:dyDescent="0.3">
      <c r="A1595" t="str">
        <v>rincyq</v>
      </c>
      <c r="B1595" t="str">
        <v>Muerta</v>
      </c>
      <c r="C1595" t="str" cm="1">
        <f t="array" ref="C1595">_xlfn.XLOOKUP(1,([3]!players[name]=A1595)*([3]!players[hero_name]=B1595),[3]!players[lane_name])</f>
        <v>Carry</v>
      </c>
      <c r="D1595">
        <f>COUNTIFS([3]!players[name],A1595,[3]!players[hero_name],B1595)</f>
        <v>12</v>
      </c>
      <c r="E1595">
        <f>COUNTIFS([3]!players[name],A1595,[3]!players[hero_name],B1595, [3]!players[win], 1)</f>
        <v>10</v>
      </c>
      <c r="F1595" s="1">
        <f t="shared" si="24"/>
        <v>0.83333333333333337</v>
      </c>
      <c r="G1595" s="2">
        <f>AVERAGEIFS([3]!players[gold_per_min], [3]!players[name],A1595,[3]!players[hero_name],B1595)</f>
        <v>718.91666666666663</v>
      </c>
      <c r="H1595" s="2">
        <f>AVERAGEIFS([3]!players[xp_per_min], [3]!players[name],A1595,[3]!players[hero_name],B1595)</f>
        <v>871.25</v>
      </c>
    </row>
    <row r="1596" spans="1:8" x14ac:dyDescent="0.3">
      <c r="A1596" t="str">
        <v>rincyq</v>
      </c>
      <c r="B1596" t="str">
        <v>Medusa</v>
      </c>
      <c r="C1596" t="str" cm="1">
        <f t="array" ref="C1596">_xlfn.XLOOKUP(1,([3]!players[name]=A1596)*([3]!players[hero_name]=B1596),[3]!players[lane_name])</f>
        <v>Carry</v>
      </c>
      <c r="D1596">
        <f>COUNTIFS([3]!players[name],A1596,[3]!players[hero_name],B1596)</f>
        <v>1</v>
      </c>
      <c r="E1596">
        <f>COUNTIFS([3]!players[name],A1596,[3]!players[hero_name],B1596, [3]!players[win], 1)</f>
        <v>0</v>
      </c>
      <c r="F1596" s="1">
        <f t="shared" si="24"/>
        <v>0</v>
      </c>
      <c r="G1596" s="2">
        <f>AVERAGEIFS([3]!players[gold_per_min], [3]!players[name],A1596,[3]!players[hero_name],B1596)</f>
        <v>737</v>
      </c>
      <c r="H1596" s="2">
        <f>AVERAGEIFS([3]!players[xp_per_min], [3]!players[name],A1596,[3]!players[hero_name],B1596)</f>
        <v>745</v>
      </c>
    </row>
    <row r="1597" spans="1:8" x14ac:dyDescent="0.3">
      <c r="A1597" t="str">
        <v>rincyq</v>
      </c>
      <c r="B1597" t="str">
        <v>Tiny</v>
      </c>
      <c r="C1597" t="str" cm="1">
        <f t="array" ref="C1597">_xlfn.XLOOKUP(1,([3]!players[name]=A1597)*([3]!players[hero_name]=B1597),[3]!players[lane_name])</f>
        <v>Carry</v>
      </c>
      <c r="D1597">
        <f>COUNTIFS([3]!players[name],A1597,[3]!players[hero_name],B1597)</f>
        <v>1</v>
      </c>
      <c r="E1597">
        <f>COUNTIFS([3]!players[name],A1597,[3]!players[hero_name],B1597, [3]!players[win], 1)</f>
        <v>0</v>
      </c>
      <c r="F1597" s="1">
        <f t="shared" si="24"/>
        <v>0</v>
      </c>
      <c r="G1597" s="2">
        <f>AVERAGEIFS([3]!players[gold_per_min], [3]!players[name],A1597,[3]!players[hero_name],B1597)</f>
        <v>492</v>
      </c>
      <c r="H1597" s="2">
        <f>AVERAGEIFS([3]!players[xp_per_min], [3]!players[name],A1597,[3]!players[hero_name],B1597)</f>
        <v>533</v>
      </c>
    </row>
    <row r="1598" spans="1:8" x14ac:dyDescent="0.3">
      <c r="A1598" t="str">
        <v>rincyq</v>
      </c>
      <c r="B1598" t="str">
        <v>Monkey King</v>
      </c>
      <c r="C1598" t="str" cm="1">
        <f t="array" ref="C1598">_xlfn.XLOOKUP(1,([3]!players[name]=A1598)*([3]!players[hero_name]=B1598),[3]!players[lane_name])</f>
        <v>Carry</v>
      </c>
      <c r="D1598">
        <f>COUNTIFS([3]!players[name],A1598,[3]!players[hero_name],B1598)</f>
        <v>4</v>
      </c>
      <c r="E1598">
        <f>COUNTIFS([3]!players[name],A1598,[3]!players[hero_name],B1598, [3]!players[win], 1)</f>
        <v>3</v>
      </c>
      <c r="F1598" s="1">
        <f t="shared" si="24"/>
        <v>0.75</v>
      </c>
      <c r="G1598" s="2">
        <f>AVERAGEIFS([3]!players[gold_per_min], [3]!players[name],A1598,[3]!players[hero_name],B1598)</f>
        <v>667.5</v>
      </c>
      <c r="H1598" s="2">
        <f>AVERAGEIFS([3]!players[xp_per_min], [3]!players[name],A1598,[3]!players[hero_name],B1598)</f>
        <v>859.75</v>
      </c>
    </row>
    <row r="1599" spans="1:8" x14ac:dyDescent="0.3">
      <c r="A1599" t="str">
        <v>rincyq</v>
      </c>
      <c r="B1599" t="str">
        <v>Alchemist</v>
      </c>
      <c r="C1599" t="str" cm="1">
        <f t="array" ref="C1599">_xlfn.XLOOKUP(1,([3]!players[name]=A1599)*([3]!players[hero_name]=B1599),[3]!players[lane_name])</f>
        <v>Carry</v>
      </c>
      <c r="D1599">
        <f>COUNTIFS([3]!players[name],A1599,[3]!players[hero_name],B1599)</f>
        <v>2</v>
      </c>
      <c r="E1599">
        <f>COUNTIFS([3]!players[name],A1599,[3]!players[hero_name],B1599, [3]!players[win], 1)</f>
        <v>1</v>
      </c>
      <c r="F1599" s="1">
        <f t="shared" si="24"/>
        <v>0.5</v>
      </c>
      <c r="G1599" s="2">
        <f>AVERAGEIFS([3]!players[gold_per_min], [3]!players[name],A1599,[3]!players[hero_name],B1599)</f>
        <v>756.5</v>
      </c>
      <c r="H1599" s="2">
        <f>AVERAGEIFS([3]!players[xp_per_min], [3]!players[name],A1599,[3]!players[hero_name],B1599)</f>
        <v>715.5</v>
      </c>
    </row>
    <row r="1600" spans="1:8" x14ac:dyDescent="0.3">
      <c r="A1600" t="str">
        <v>rincyq</v>
      </c>
      <c r="B1600" t="str">
        <v>Dragon Knight</v>
      </c>
      <c r="C1600" t="str" cm="1">
        <f t="array" ref="C1600">_xlfn.XLOOKUP(1,([3]!players[name]=A1600)*([3]!players[hero_name]=B1600),[3]!players[lane_name])</f>
        <v>Carry</v>
      </c>
      <c r="D1600">
        <f>COUNTIFS([3]!players[name],A1600,[3]!players[hero_name],B1600)</f>
        <v>5</v>
      </c>
      <c r="E1600">
        <f>COUNTIFS([3]!players[name],A1600,[3]!players[hero_name],B1600, [3]!players[win], 1)</f>
        <v>3</v>
      </c>
      <c r="F1600" s="1">
        <f t="shared" si="24"/>
        <v>0.6</v>
      </c>
      <c r="G1600" s="2">
        <f>AVERAGEIFS([3]!players[gold_per_min], [3]!players[name],A1600,[3]!players[hero_name],B1600)</f>
        <v>655</v>
      </c>
      <c r="H1600" s="2">
        <f>AVERAGEIFS([3]!players[xp_per_min], [3]!players[name],A1600,[3]!players[hero_name],B1600)</f>
        <v>854.4</v>
      </c>
    </row>
    <row r="1601" spans="1:8" x14ac:dyDescent="0.3">
      <c r="A1601" t="str">
        <v>rincyq</v>
      </c>
      <c r="B1601" t="str">
        <v>Faceless Void</v>
      </c>
      <c r="C1601" t="str" cm="1">
        <f t="array" ref="C1601">_xlfn.XLOOKUP(1,([3]!players[name]=A1601)*([3]!players[hero_name]=B1601),[3]!players[lane_name])</f>
        <v>Carry</v>
      </c>
      <c r="D1601">
        <f>COUNTIFS([3]!players[name],A1601,[3]!players[hero_name],B1601)</f>
        <v>4</v>
      </c>
      <c r="E1601">
        <f>COUNTIFS([3]!players[name],A1601,[3]!players[hero_name],B1601, [3]!players[win], 1)</f>
        <v>4</v>
      </c>
      <c r="F1601" s="1">
        <f t="shared" si="24"/>
        <v>1</v>
      </c>
      <c r="G1601" s="2">
        <f>AVERAGEIFS([3]!players[gold_per_min], [3]!players[name],A1601,[3]!players[hero_name],B1601)</f>
        <v>721.75</v>
      </c>
      <c r="H1601" s="2">
        <f>AVERAGEIFS([3]!players[xp_per_min], [3]!players[name],A1601,[3]!players[hero_name],B1601)</f>
        <v>934.75</v>
      </c>
    </row>
    <row r="1602" spans="1:8" x14ac:dyDescent="0.3">
      <c r="A1602" t="str">
        <v>rincyq</v>
      </c>
      <c r="B1602" t="str">
        <v>Bristleback</v>
      </c>
      <c r="C1602" t="str" cm="1">
        <f t="array" ref="C1602">_xlfn.XLOOKUP(1,([3]!players[name]=A1602)*([3]!players[hero_name]=B1602),[3]!players[lane_name])</f>
        <v>Carry</v>
      </c>
      <c r="D1602">
        <f>COUNTIFS([3]!players[name],A1602,[3]!players[hero_name],B1602)</f>
        <v>3</v>
      </c>
      <c r="E1602">
        <f>COUNTIFS([3]!players[name],A1602,[3]!players[hero_name],B1602, [3]!players[win], 1)</f>
        <v>1</v>
      </c>
      <c r="F1602" s="1">
        <f t="shared" si="24"/>
        <v>0.33333333333333331</v>
      </c>
      <c r="G1602" s="2">
        <f>AVERAGEIFS([3]!players[gold_per_min], [3]!players[name],A1602,[3]!players[hero_name],B1602)</f>
        <v>647.33333333333337</v>
      </c>
      <c r="H1602" s="2">
        <f>AVERAGEIFS([3]!players[xp_per_min], [3]!players[name],A1602,[3]!players[hero_name],B1602)</f>
        <v>736.33333333333337</v>
      </c>
    </row>
    <row r="1603" spans="1:8" x14ac:dyDescent="0.3">
      <c r="A1603" t="str">
        <v>rincyq</v>
      </c>
      <c r="B1603" t="str">
        <v>Razor</v>
      </c>
      <c r="C1603" t="str" cm="1">
        <f t="array" ref="C1603">_xlfn.XLOOKUP(1,([3]!players[name]=A1603)*([3]!players[hero_name]=B1603),[3]!players[lane_name])</f>
        <v>Carry</v>
      </c>
      <c r="D1603">
        <f>COUNTIFS([3]!players[name],A1603,[3]!players[hero_name],B1603)</f>
        <v>1</v>
      </c>
      <c r="E1603">
        <f>COUNTIFS([3]!players[name],A1603,[3]!players[hero_name],B1603, [3]!players[win], 1)</f>
        <v>0</v>
      </c>
      <c r="F1603" s="1">
        <f t="shared" ref="F1603:F1666" si="25">E1603/D1603</f>
        <v>0</v>
      </c>
      <c r="G1603" s="2">
        <f>AVERAGEIFS([3]!players[gold_per_min], [3]!players[name],A1603,[3]!players[hero_name],B1603)</f>
        <v>478</v>
      </c>
      <c r="H1603" s="2">
        <f>AVERAGEIFS([3]!players[xp_per_min], [3]!players[name],A1603,[3]!players[hero_name],B1603)</f>
        <v>651</v>
      </c>
    </row>
    <row r="1604" spans="1:8" x14ac:dyDescent="0.3">
      <c r="A1604" t="str">
        <v>rincyq</v>
      </c>
      <c r="B1604" t="str">
        <v>Gyrocopter</v>
      </c>
      <c r="C1604" t="str" cm="1">
        <f t="array" ref="C1604">_xlfn.XLOOKUP(1,([3]!players[name]=A1604)*([3]!players[hero_name]=B1604),[3]!players[lane_name])</f>
        <v>Carry</v>
      </c>
      <c r="D1604">
        <f>COUNTIFS([3]!players[name],A1604,[3]!players[hero_name],B1604)</f>
        <v>1</v>
      </c>
      <c r="E1604">
        <f>COUNTIFS([3]!players[name],A1604,[3]!players[hero_name],B1604, [3]!players[win], 1)</f>
        <v>0</v>
      </c>
      <c r="F1604" s="1">
        <f t="shared" si="25"/>
        <v>0</v>
      </c>
      <c r="G1604" s="2">
        <f>AVERAGEIFS([3]!players[gold_per_min], [3]!players[name],A1604,[3]!players[hero_name],B1604)</f>
        <v>845</v>
      </c>
      <c r="H1604" s="2">
        <f>AVERAGEIFS([3]!players[xp_per_min], [3]!players[name],A1604,[3]!players[hero_name],B1604)</f>
        <v>741</v>
      </c>
    </row>
    <row r="1605" spans="1:8" x14ac:dyDescent="0.3">
      <c r="A1605" t="str">
        <v>rincyq</v>
      </c>
      <c r="B1605" t="str">
        <v>Phantom Assassin</v>
      </c>
      <c r="C1605" t="str" cm="1">
        <f t="array" ref="C1605">_xlfn.XLOOKUP(1,([3]!players[name]=A1605)*([3]!players[hero_name]=B1605),[3]!players[lane_name])</f>
        <v>Carry</v>
      </c>
      <c r="D1605">
        <f>COUNTIFS([3]!players[name],A1605,[3]!players[hero_name],B1605)</f>
        <v>1</v>
      </c>
      <c r="E1605">
        <f>COUNTIFS([3]!players[name],A1605,[3]!players[hero_name],B1605, [3]!players[win], 1)</f>
        <v>1</v>
      </c>
      <c r="F1605" s="1">
        <f t="shared" si="25"/>
        <v>1</v>
      </c>
      <c r="G1605" s="2">
        <f>AVERAGEIFS([3]!players[gold_per_min], [3]!players[name],A1605,[3]!players[hero_name],B1605)</f>
        <v>875</v>
      </c>
      <c r="H1605" s="2">
        <f>AVERAGEIFS([3]!players[xp_per_min], [3]!players[name],A1605,[3]!players[hero_name],B1605)</f>
        <v>960</v>
      </c>
    </row>
    <row r="1606" spans="1:8" x14ac:dyDescent="0.3">
      <c r="A1606" t="str">
        <v>rincyq</v>
      </c>
      <c r="B1606" t="str">
        <v>Templar Assassin</v>
      </c>
      <c r="C1606" t="str" cm="1">
        <f t="array" ref="C1606">_xlfn.XLOOKUP(1,([3]!players[name]=A1606)*([3]!players[hero_name]=B1606),[3]!players[lane_name])</f>
        <v>Carry</v>
      </c>
      <c r="D1606">
        <f>COUNTIFS([3]!players[name],A1606,[3]!players[hero_name],B1606)</f>
        <v>2</v>
      </c>
      <c r="E1606">
        <f>COUNTIFS([3]!players[name],A1606,[3]!players[hero_name],B1606, [3]!players[win], 1)</f>
        <v>1</v>
      </c>
      <c r="F1606" s="1">
        <f t="shared" si="25"/>
        <v>0.5</v>
      </c>
      <c r="G1606" s="2">
        <f>AVERAGEIFS([3]!players[gold_per_min], [3]!players[name],A1606,[3]!players[hero_name],B1606)</f>
        <v>740.5</v>
      </c>
      <c r="H1606" s="2">
        <f>AVERAGEIFS([3]!players[xp_per_min], [3]!players[name],A1606,[3]!players[hero_name],B1606)</f>
        <v>934</v>
      </c>
    </row>
    <row r="1607" spans="1:8" x14ac:dyDescent="0.3">
      <c r="A1607" t="str">
        <v>rincyq</v>
      </c>
      <c r="B1607" t="str">
        <v>Ursa</v>
      </c>
      <c r="C1607" t="str" cm="1">
        <f t="array" ref="C1607">_xlfn.XLOOKUP(1,([3]!players[name]=A1607)*([3]!players[hero_name]=B1607),[3]!players[lane_name])</f>
        <v>Carry</v>
      </c>
      <c r="D1607">
        <f>COUNTIFS([3]!players[name],A1607,[3]!players[hero_name],B1607)</f>
        <v>1</v>
      </c>
      <c r="E1607">
        <f>COUNTIFS([3]!players[name],A1607,[3]!players[hero_name],B1607, [3]!players[win], 1)</f>
        <v>1</v>
      </c>
      <c r="F1607" s="1">
        <f t="shared" si="25"/>
        <v>1</v>
      </c>
      <c r="G1607" s="2">
        <f>AVERAGEIFS([3]!players[gold_per_min], [3]!players[name],A1607,[3]!players[hero_name],B1607)</f>
        <v>791</v>
      </c>
      <c r="H1607" s="2">
        <f>AVERAGEIFS([3]!players[xp_per_min], [3]!players[name],A1607,[3]!players[hero_name],B1607)</f>
        <v>958</v>
      </c>
    </row>
    <row r="1608" spans="1:8" x14ac:dyDescent="0.3">
      <c r="A1608" t="str">
        <v>rincyq</v>
      </c>
      <c r="B1608" t="str">
        <v>Troll Warlord</v>
      </c>
      <c r="C1608" t="str" cm="1">
        <f t="array" ref="C1608">_xlfn.XLOOKUP(1,([3]!players[name]=A1608)*([3]!players[hero_name]=B1608),[3]!players[lane_name])</f>
        <v>Carry</v>
      </c>
      <c r="D1608">
        <f>COUNTIFS([3]!players[name],A1608,[3]!players[hero_name],B1608)</f>
        <v>1</v>
      </c>
      <c r="E1608">
        <f>COUNTIFS([3]!players[name],A1608,[3]!players[hero_name],B1608, [3]!players[win], 1)</f>
        <v>0</v>
      </c>
      <c r="F1608" s="1">
        <f t="shared" si="25"/>
        <v>0</v>
      </c>
      <c r="G1608" s="2">
        <f>AVERAGEIFS([3]!players[gold_per_min], [3]!players[name],A1608,[3]!players[hero_name],B1608)</f>
        <v>479</v>
      </c>
      <c r="H1608" s="2">
        <f>AVERAGEIFS([3]!players[xp_per_min], [3]!players[name],A1608,[3]!players[hero_name],B1608)</f>
        <v>533</v>
      </c>
    </row>
    <row r="1609" spans="1:8" x14ac:dyDescent="0.3">
      <c r="A1609" t="str">
        <v>rincyq</v>
      </c>
      <c r="B1609" t="str">
        <v>Windranger</v>
      </c>
      <c r="C1609" t="str" cm="1">
        <f t="array" ref="C1609">_xlfn.XLOOKUP(1,([3]!players[name]=A1609)*([3]!players[hero_name]=B1609),[3]!players[lane_name])</f>
        <v>Carry</v>
      </c>
      <c r="D1609">
        <f>COUNTIFS([3]!players[name],A1609,[3]!players[hero_name],B1609)</f>
        <v>1</v>
      </c>
      <c r="E1609">
        <f>COUNTIFS([3]!players[name],A1609,[3]!players[hero_name],B1609, [3]!players[win], 1)</f>
        <v>0</v>
      </c>
      <c r="F1609" s="1">
        <f t="shared" si="25"/>
        <v>0</v>
      </c>
      <c r="G1609" s="2">
        <f>AVERAGEIFS([3]!players[gold_per_min], [3]!players[name],A1609,[3]!players[hero_name],B1609)</f>
        <v>544</v>
      </c>
      <c r="H1609" s="2">
        <f>AVERAGEIFS([3]!players[xp_per_min], [3]!players[name],A1609,[3]!players[hero_name],B1609)</f>
        <v>512</v>
      </c>
    </row>
    <row r="1610" spans="1:8" x14ac:dyDescent="0.3">
      <c r="A1610" t="str">
        <v>rincyq</v>
      </c>
      <c r="B1610" t="str">
        <v>Lone Druid</v>
      </c>
      <c r="C1610" t="str" cm="1">
        <f t="array" ref="C1610">_xlfn.XLOOKUP(1,([3]!players[name]=A1610)*([3]!players[hero_name]=B1610),[3]!players[lane_name])</f>
        <v>Carry</v>
      </c>
      <c r="D1610">
        <f>COUNTIFS([3]!players[name],A1610,[3]!players[hero_name],B1610)</f>
        <v>4</v>
      </c>
      <c r="E1610">
        <f>COUNTIFS([3]!players[name],A1610,[3]!players[hero_name],B1610, [3]!players[win], 1)</f>
        <v>4</v>
      </c>
      <c r="F1610" s="1">
        <f t="shared" si="25"/>
        <v>1</v>
      </c>
      <c r="G1610" s="2">
        <f>AVERAGEIFS([3]!players[gold_per_min], [3]!players[name],A1610,[3]!players[hero_name],B1610)</f>
        <v>765.25</v>
      </c>
      <c r="H1610" s="2">
        <f>AVERAGEIFS([3]!players[xp_per_min], [3]!players[name],A1610,[3]!players[hero_name],B1610)</f>
        <v>789.5</v>
      </c>
    </row>
    <row r="1611" spans="1:8" x14ac:dyDescent="0.3">
      <c r="A1611" t="str">
        <v>rincyq</v>
      </c>
      <c r="B1611" t="str">
        <v>Terrorblade</v>
      </c>
      <c r="C1611" t="str" cm="1">
        <f t="array" ref="C1611">_xlfn.XLOOKUP(1,([3]!players[name]=A1611)*([3]!players[hero_name]=B1611),[3]!players[lane_name])</f>
        <v>Carry</v>
      </c>
      <c r="D1611">
        <f>COUNTIFS([3]!players[name],A1611,[3]!players[hero_name],B1611)</f>
        <v>2</v>
      </c>
      <c r="E1611">
        <f>COUNTIFS([3]!players[name],A1611,[3]!players[hero_name],B1611, [3]!players[win], 1)</f>
        <v>2</v>
      </c>
      <c r="F1611" s="1">
        <f t="shared" si="25"/>
        <v>1</v>
      </c>
      <c r="G1611" s="2">
        <f>AVERAGEIFS([3]!players[gold_per_min], [3]!players[name],A1611,[3]!players[hero_name],B1611)</f>
        <v>791.5</v>
      </c>
      <c r="H1611" s="2">
        <f>AVERAGEIFS([3]!players[xp_per_min], [3]!players[name],A1611,[3]!players[hero_name],B1611)</f>
        <v>676.5</v>
      </c>
    </row>
    <row r="1612" spans="1:8" x14ac:dyDescent="0.3">
      <c r="A1612" t="str">
        <v>rincyq</v>
      </c>
      <c r="B1612" t="str">
        <v>Kez</v>
      </c>
      <c r="C1612" t="str" cm="1">
        <f t="array" ref="C1612">_xlfn.XLOOKUP(1,([3]!players[name]=A1612)*([3]!players[hero_name]=B1612),[3]!players[lane_name])</f>
        <v>Carry</v>
      </c>
      <c r="D1612">
        <f>COUNTIFS([3]!players[name],A1612,[3]!players[hero_name],B1612)</f>
        <v>2</v>
      </c>
      <c r="E1612">
        <f>COUNTIFS([3]!players[name],A1612,[3]!players[hero_name],B1612, [3]!players[win], 1)</f>
        <v>2</v>
      </c>
      <c r="F1612" s="1">
        <f t="shared" si="25"/>
        <v>1</v>
      </c>
      <c r="G1612" s="2">
        <f>AVERAGEIFS([3]!players[gold_per_min], [3]!players[name],A1612,[3]!players[hero_name],B1612)</f>
        <v>722</v>
      </c>
      <c r="H1612" s="2">
        <f>AVERAGEIFS([3]!players[xp_per_min], [3]!players[name],A1612,[3]!players[hero_name],B1612)</f>
        <v>938</v>
      </c>
    </row>
    <row r="1613" spans="1:8" x14ac:dyDescent="0.3">
      <c r="A1613" t="str">
        <v>rincyq</v>
      </c>
      <c r="B1613" t="str">
        <v>Meepo</v>
      </c>
      <c r="C1613" t="str" cm="1">
        <f t="array" ref="C1613">_xlfn.XLOOKUP(1,([3]!players[name]=A1613)*([3]!players[hero_name]=B1613),[3]!players[lane_name])</f>
        <v>Carry</v>
      </c>
      <c r="D1613">
        <f>COUNTIFS([3]!players[name],A1613,[3]!players[hero_name],B1613)</f>
        <v>1</v>
      </c>
      <c r="E1613">
        <f>COUNTIFS([3]!players[name],A1613,[3]!players[hero_name],B1613, [3]!players[win], 1)</f>
        <v>1</v>
      </c>
      <c r="F1613" s="1">
        <f t="shared" si="25"/>
        <v>1</v>
      </c>
      <c r="G1613" s="2">
        <f>AVERAGEIFS([3]!players[gold_per_min], [3]!players[name],A1613,[3]!players[hero_name],B1613)</f>
        <v>791</v>
      </c>
      <c r="H1613" s="2">
        <f>AVERAGEIFS([3]!players[xp_per_min], [3]!players[name],A1613,[3]!players[hero_name],B1613)</f>
        <v>739</v>
      </c>
    </row>
    <row r="1614" spans="1:8" x14ac:dyDescent="0.3">
      <c r="A1614" t="str">
        <v>Roy</v>
      </c>
      <c r="B1614" t="str">
        <v>Underlord</v>
      </c>
      <c r="C1614" t="str" cm="1">
        <f t="array" ref="C1614">_xlfn.XLOOKUP(1,([3]!players[name]=A1614)*([3]!players[hero_name]=B1614),[3]!players[lane_name])</f>
        <v>Off Lane</v>
      </c>
      <c r="D1614">
        <f>COUNTIFS([3]!players[name],A1614,[3]!players[hero_name],B1614)</f>
        <v>1</v>
      </c>
      <c r="E1614">
        <f>COUNTIFS([3]!players[name],A1614,[3]!players[hero_name],B1614, [3]!players[win], 1)</f>
        <v>0</v>
      </c>
      <c r="F1614" s="1">
        <f t="shared" si="25"/>
        <v>0</v>
      </c>
      <c r="G1614" s="2">
        <f>AVERAGEIFS([3]!players[gold_per_min], [3]!players[name],A1614,[3]!players[hero_name],B1614)</f>
        <v>470</v>
      </c>
      <c r="H1614" s="2">
        <f>AVERAGEIFS([3]!players[xp_per_min], [3]!players[name],A1614,[3]!players[hero_name],B1614)</f>
        <v>557</v>
      </c>
    </row>
    <row r="1615" spans="1:8" x14ac:dyDescent="0.3">
      <c r="A1615" t="str">
        <v>Roy</v>
      </c>
      <c r="B1615" t="str">
        <v>Brewmaster</v>
      </c>
      <c r="C1615" t="str" cm="1">
        <f t="array" ref="C1615">_xlfn.XLOOKUP(1,([3]!players[name]=A1615)*([3]!players[hero_name]=B1615),[3]!players[lane_name])</f>
        <v>Off Lane</v>
      </c>
      <c r="D1615">
        <f>COUNTIFS([3]!players[name],A1615,[3]!players[hero_name],B1615)</f>
        <v>1</v>
      </c>
      <c r="E1615">
        <f>COUNTIFS([3]!players[name],A1615,[3]!players[hero_name],B1615, [3]!players[win], 1)</f>
        <v>0</v>
      </c>
      <c r="F1615" s="1">
        <f t="shared" si="25"/>
        <v>0</v>
      </c>
      <c r="G1615" s="2">
        <f>AVERAGEIFS([3]!players[gold_per_min], [3]!players[name],A1615,[3]!players[hero_name],B1615)</f>
        <v>372</v>
      </c>
      <c r="H1615" s="2">
        <f>AVERAGEIFS([3]!players[xp_per_min], [3]!players[name],A1615,[3]!players[hero_name],B1615)</f>
        <v>397</v>
      </c>
    </row>
    <row r="1616" spans="1:8" x14ac:dyDescent="0.3">
      <c r="A1616" t="str">
        <v>Roy</v>
      </c>
      <c r="B1616" t="str">
        <v>Shadow Shaman</v>
      </c>
      <c r="C1616" t="str" cm="1">
        <f t="array" ref="C1616">_xlfn.XLOOKUP(1,([3]!players[name]=A1616)*([3]!players[hero_name]=B1616),[3]!players[lane_name])</f>
        <v>Hard Support</v>
      </c>
      <c r="D1616">
        <f>COUNTIFS([3]!players[name],A1616,[3]!players[hero_name],B1616)</f>
        <v>1</v>
      </c>
      <c r="E1616">
        <f>COUNTIFS([3]!players[name],A1616,[3]!players[hero_name],B1616, [3]!players[win], 1)</f>
        <v>1</v>
      </c>
      <c r="F1616" s="1">
        <f t="shared" si="25"/>
        <v>1</v>
      </c>
      <c r="G1616" s="2">
        <f>AVERAGEIFS([3]!players[gold_per_min], [3]!players[name],A1616,[3]!players[hero_name],B1616)</f>
        <v>336</v>
      </c>
      <c r="H1616" s="2">
        <f>AVERAGEIFS([3]!players[xp_per_min], [3]!players[name],A1616,[3]!players[hero_name],B1616)</f>
        <v>412</v>
      </c>
    </row>
    <row r="1617" spans="1:8" x14ac:dyDescent="0.3">
      <c r="A1617" t="str">
        <v>Roy</v>
      </c>
      <c r="B1617" t="str">
        <v>Shadow Demon</v>
      </c>
      <c r="C1617" t="str" cm="1">
        <f t="array" ref="C1617">_xlfn.XLOOKUP(1,([3]!players[name]=A1617)*([3]!players[hero_name]=B1617),[3]!players[lane_name])</f>
        <v>Roam</v>
      </c>
      <c r="D1617">
        <f>COUNTIFS([3]!players[name],A1617,[3]!players[hero_name],B1617)</f>
        <v>1</v>
      </c>
      <c r="E1617">
        <f>COUNTIFS([3]!players[name],A1617,[3]!players[hero_name],B1617, [3]!players[win], 1)</f>
        <v>1</v>
      </c>
      <c r="F1617" s="1">
        <f t="shared" si="25"/>
        <v>1</v>
      </c>
      <c r="G1617" s="2">
        <f>AVERAGEIFS([3]!players[gold_per_min], [3]!players[name],A1617,[3]!players[hero_name],B1617)</f>
        <v>307</v>
      </c>
      <c r="H1617" s="2">
        <f>AVERAGEIFS([3]!players[xp_per_min], [3]!players[name],A1617,[3]!players[hero_name],B1617)</f>
        <v>341</v>
      </c>
    </row>
    <row r="1618" spans="1:8" x14ac:dyDescent="0.3">
      <c r="A1618" t="str">
        <v>Roy</v>
      </c>
      <c r="B1618" t="str">
        <v>Keeper of the Light</v>
      </c>
      <c r="C1618" t="str" cm="1">
        <f t="array" ref="C1618">_xlfn.XLOOKUP(1,([3]!players[name]=A1618)*([3]!players[hero_name]=B1618),[3]!players[lane_name])</f>
        <v>Soft Support</v>
      </c>
      <c r="D1618">
        <f>COUNTIFS([3]!players[name],A1618,[3]!players[hero_name],B1618)</f>
        <v>1</v>
      </c>
      <c r="E1618">
        <f>COUNTIFS([3]!players[name],A1618,[3]!players[hero_name],B1618, [3]!players[win], 1)</f>
        <v>1</v>
      </c>
      <c r="F1618" s="1">
        <f t="shared" si="25"/>
        <v>1</v>
      </c>
      <c r="G1618" s="2">
        <f>AVERAGEIFS([3]!players[gold_per_min], [3]!players[name],A1618,[3]!players[hero_name],B1618)</f>
        <v>382</v>
      </c>
      <c r="H1618" s="2">
        <f>AVERAGEIFS([3]!players[xp_per_min], [3]!players[name],A1618,[3]!players[hero_name],B1618)</f>
        <v>503</v>
      </c>
    </row>
    <row r="1619" spans="1:8" x14ac:dyDescent="0.3">
      <c r="A1619" t="str">
        <v>Roy</v>
      </c>
      <c r="B1619" t="str">
        <v>Hoodwink</v>
      </c>
      <c r="C1619" t="str" cm="1">
        <f t="array" ref="C1619">_xlfn.XLOOKUP(1,([3]!players[name]=A1619)*([3]!players[hero_name]=B1619),[3]!players[lane_name])</f>
        <v>Hard Support</v>
      </c>
      <c r="D1619">
        <f>COUNTIFS([3]!players[name],A1619,[3]!players[hero_name],B1619)</f>
        <v>2</v>
      </c>
      <c r="E1619">
        <f>COUNTIFS([3]!players[name],A1619,[3]!players[hero_name],B1619, [3]!players[win], 1)</f>
        <v>1</v>
      </c>
      <c r="F1619" s="1">
        <f t="shared" si="25"/>
        <v>0.5</v>
      </c>
      <c r="G1619" s="2">
        <f>AVERAGEIFS([3]!players[gold_per_min], [3]!players[name],A1619,[3]!players[hero_name],B1619)</f>
        <v>312.5</v>
      </c>
      <c r="H1619" s="2">
        <f>AVERAGEIFS([3]!players[xp_per_min], [3]!players[name],A1619,[3]!players[hero_name],B1619)</f>
        <v>421</v>
      </c>
    </row>
    <row r="1620" spans="1:8" x14ac:dyDescent="0.3">
      <c r="A1620" t="str">
        <v>Roy</v>
      </c>
      <c r="B1620" t="str">
        <v>Muerta</v>
      </c>
      <c r="C1620" t="str" cm="1">
        <f t="array" ref="C1620">_xlfn.XLOOKUP(1,([3]!players[name]=A1620)*([3]!players[hero_name]=B1620),[3]!players[lane_name])</f>
        <v>Soft Support</v>
      </c>
      <c r="D1620">
        <f>COUNTIFS([3]!players[name],A1620,[3]!players[hero_name],B1620)</f>
        <v>1</v>
      </c>
      <c r="E1620">
        <f>COUNTIFS([3]!players[name],A1620,[3]!players[hero_name],B1620, [3]!players[win], 1)</f>
        <v>0</v>
      </c>
      <c r="F1620" s="1">
        <f t="shared" si="25"/>
        <v>0</v>
      </c>
      <c r="G1620" s="2">
        <f>AVERAGEIFS([3]!players[gold_per_min], [3]!players[name],A1620,[3]!players[hero_name],B1620)</f>
        <v>295</v>
      </c>
      <c r="H1620" s="2">
        <f>AVERAGEIFS([3]!players[xp_per_min], [3]!players[name],A1620,[3]!players[hero_name],B1620)</f>
        <v>358</v>
      </c>
    </row>
    <row r="1621" spans="1:8" x14ac:dyDescent="0.3">
      <c r="A1621" t="str">
        <v>Roy</v>
      </c>
      <c r="B1621" t="str">
        <v>Snapfire</v>
      </c>
      <c r="C1621" t="str" cm="1">
        <f t="array" ref="C1621">_xlfn.XLOOKUP(1,([3]!players[name]=A1621)*([3]!players[hero_name]=B1621),[3]!players[lane_name])</f>
        <v>Soft Support</v>
      </c>
      <c r="D1621">
        <f>COUNTIFS([3]!players[name],A1621,[3]!players[hero_name],B1621)</f>
        <v>1</v>
      </c>
      <c r="E1621">
        <f>COUNTIFS([3]!players[name],A1621,[3]!players[hero_name],B1621, [3]!players[win], 1)</f>
        <v>0</v>
      </c>
      <c r="F1621" s="1">
        <f t="shared" si="25"/>
        <v>0</v>
      </c>
      <c r="G1621" s="2">
        <f>AVERAGEIFS([3]!players[gold_per_min], [3]!players[name],A1621,[3]!players[hero_name],B1621)</f>
        <v>332</v>
      </c>
      <c r="H1621" s="2">
        <f>AVERAGEIFS([3]!players[xp_per_min], [3]!players[name],A1621,[3]!players[hero_name],B1621)</f>
        <v>397</v>
      </c>
    </row>
    <row r="1622" spans="1:8" x14ac:dyDescent="0.3">
      <c r="A1622" t="str">
        <v>Roy</v>
      </c>
      <c r="B1622" t="str">
        <v>Dark Willow</v>
      </c>
      <c r="C1622" t="str" cm="1">
        <f t="array" ref="C1622">_xlfn.XLOOKUP(1,([3]!players[name]=A1622)*([3]!players[hero_name]=B1622),[3]!players[lane_name])</f>
        <v>Soft Support</v>
      </c>
      <c r="D1622">
        <f>COUNTIFS([3]!players[name],A1622,[3]!players[hero_name],B1622)</f>
        <v>1</v>
      </c>
      <c r="E1622">
        <f>COUNTIFS([3]!players[name],A1622,[3]!players[hero_name],B1622, [3]!players[win], 1)</f>
        <v>0</v>
      </c>
      <c r="F1622" s="1">
        <f t="shared" si="25"/>
        <v>0</v>
      </c>
      <c r="G1622" s="2">
        <f>AVERAGEIFS([3]!players[gold_per_min], [3]!players[name],A1622,[3]!players[hero_name],B1622)</f>
        <v>317</v>
      </c>
      <c r="H1622" s="2">
        <f>AVERAGEIFS([3]!players[xp_per_min], [3]!players[name],A1622,[3]!players[hero_name],B1622)</f>
        <v>462</v>
      </c>
    </row>
    <row r="1623" spans="1:8" x14ac:dyDescent="0.3">
      <c r="A1623" t="str">
        <v>rue</v>
      </c>
      <c r="B1623" t="str">
        <v>Grimstroke</v>
      </c>
      <c r="C1623" t="str" cm="1">
        <f t="array" ref="C1623">_xlfn.XLOOKUP(1,([3]!players[name]=A1623)*([3]!players[hero_name]=B1623),[3]!players[lane_name])</f>
        <v>Soft Support</v>
      </c>
      <c r="D1623">
        <f>COUNTIFS([3]!players[name],A1623,[3]!players[hero_name],B1623)</f>
        <v>2</v>
      </c>
      <c r="E1623">
        <f>COUNTIFS([3]!players[name],A1623,[3]!players[hero_name],B1623, [3]!players[win], 1)</f>
        <v>1</v>
      </c>
      <c r="F1623" s="1">
        <f t="shared" si="25"/>
        <v>0.5</v>
      </c>
      <c r="G1623" s="2">
        <f>AVERAGEIFS([3]!players[gold_per_min], [3]!players[name],A1623,[3]!players[hero_name],B1623)</f>
        <v>414.5</v>
      </c>
      <c r="H1623" s="2">
        <f>AVERAGEIFS([3]!players[xp_per_min], [3]!players[name],A1623,[3]!players[hero_name],B1623)</f>
        <v>671.5</v>
      </c>
    </row>
    <row r="1624" spans="1:8" x14ac:dyDescent="0.3">
      <c r="A1624" t="str">
        <v>rue</v>
      </c>
      <c r="B1624" t="str">
        <v>Hoodwink</v>
      </c>
      <c r="C1624" t="str" cm="1">
        <f t="array" ref="C1624">_xlfn.XLOOKUP(1,([3]!players[name]=A1624)*([3]!players[hero_name]=B1624),[3]!players[lane_name])</f>
        <v>Roam</v>
      </c>
      <c r="D1624">
        <f>COUNTIFS([3]!players[name],A1624,[3]!players[hero_name],B1624)</f>
        <v>5</v>
      </c>
      <c r="E1624">
        <f>COUNTIFS([3]!players[name],A1624,[3]!players[hero_name],B1624, [3]!players[win], 1)</f>
        <v>1</v>
      </c>
      <c r="F1624" s="1">
        <f t="shared" si="25"/>
        <v>0.2</v>
      </c>
      <c r="G1624" s="2">
        <f>AVERAGEIFS([3]!players[gold_per_min], [3]!players[name],A1624,[3]!players[hero_name],B1624)</f>
        <v>287</v>
      </c>
      <c r="H1624" s="2">
        <f>AVERAGEIFS([3]!players[xp_per_min], [3]!players[name],A1624,[3]!players[hero_name],B1624)</f>
        <v>353.4</v>
      </c>
    </row>
    <row r="1625" spans="1:8" x14ac:dyDescent="0.3">
      <c r="A1625" t="str">
        <v>rue</v>
      </c>
      <c r="B1625" t="str">
        <v>Lion</v>
      </c>
      <c r="C1625" t="str" cm="1">
        <f t="array" ref="C1625">_xlfn.XLOOKUP(1,([3]!players[name]=A1625)*([3]!players[hero_name]=B1625),[3]!players[lane_name])</f>
        <v>Hard Support</v>
      </c>
      <c r="D1625">
        <f>COUNTIFS([3]!players[name],A1625,[3]!players[hero_name],B1625)</f>
        <v>3</v>
      </c>
      <c r="E1625">
        <f>COUNTIFS([3]!players[name],A1625,[3]!players[hero_name],B1625, [3]!players[win], 1)</f>
        <v>1</v>
      </c>
      <c r="F1625" s="1">
        <f t="shared" si="25"/>
        <v>0.33333333333333331</v>
      </c>
      <c r="G1625" s="2">
        <f>AVERAGEIFS([3]!players[gold_per_min], [3]!players[name],A1625,[3]!players[hero_name],B1625)</f>
        <v>318.33333333333331</v>
      </c>
      <c r="H1625" s="2">
        <f>AVERAGEIFS([3]!players[xp_per_min], [3]!players[name],A1625,[3]!players[hero_name],B1625)</f>
        <v>504.66666666666669</v>
      </c>
    </row>
    <row r="1626" spans="1:8" x14ac:dyDescent="0.3">
      <c r="A1626" t="str">
        <v>rue</v>
      </c>
      <c r="B1626" t="str">
        <v>Shadow Demon</v>
      </c>
      <c r="C1626" t="str" cm="1">
        <f t="array" ref="C1626">_xlfn.XLOOKUP(1,([3]!players[name]=A1626)*([3]!players[hero_name]=B1626),[3]!players[lane_name])</f>
        <v>Soft Support</v>
      </c>
      <c r="D1626">
        <f>COUNTIFS([3]!players[name],A1626,[3]!players[hero_name],B1626)</f>
        <v>1</v>
      </c>
      <c r="E1626">
        <f>COUNTIFS([3]!players[name],A1626,[3]!players[hero_name],B1626, [3]!players[win], 1)</f>
        <v>0</v>
      </c>
      <c r="F1626" s="1">
        <f t="shared" si="25"/>
        <v>0</v>
      </c>
      <c r="G1626" s="2">
        <f>AVERAGEIFS([3]!players[gold_per_min], [3]!players[name],A1626,[3]!players[hero_name],B1626)</f>
        <v>284</v>
      </c>
      <c r="H1626" s="2">
        <f>AVERAGEIFS([3]!players[xp_per_min], [3]!players[name],A1626,[3]!players[hero_name],B1626)</f>
        <v>322</v>
      </c>
    </row>
    <row r="1627" spans="1:8" x14ac:dyDescent="0.3">
      <c r="A1627" t="str">
        <v>rue</v>
      </c>
      <c r="B1627" t="str">
        <v>Batrider</v>
      </c>
      <c r="C1627" t="str" cm="1">
        <f t="array" ref="C1627">_xlfn.XLOOKUP(1,([3]!players[name]=A1627)*([3]!players[hero_name]=B1627),[3]!players[lane_name])</f>
        <v>Soft Support</v>
      </c>
      <c r="D1627">
        <f>COUNTIFS([3]!players[name],A1627,[3]!players[hero_name],B1627)</f>
        <v>2</v>
      </c>
      <c r="E1627">
        <f>COUNTIFS([3]!players[name],A1627,[3]!players[hero_name],B1627, [3]!players[win], 1)</f>
        <v>1</v>
      </c>
      <c r="F1627" s="1">
        <f t="shared" si="25"/>
        <v>0.5</v>
      </c>
      <c r="G1627" s="2">
        <f>AVERAGEIFS([3]!players[gold_per_min], [3]!players[name],A1627,[3]!players[hero_name],B1627)</f>
        <v>401</v>
      </c>
      <c r="H1627" s="2">
        <f>AVERAGEIFS([3]!players[xp_per_min], [3]!players[name],A1627,[3]!players[hero_name],B1627)</f>
        <v>590</v>
      </c>
    </row>
    <row r="1628" spans="1:8" x14ac:dyDescent="0.3">
      <c r="A1628" t="str">
        <v>rue</v>
      </c>
      <c r="B1628" t="str">
        <v>Muerta</v>
      </c>
      <c r="C1628" t="str" cm="1">
        <f t="array" ref="C1628">_xlfn.XLOOKUP(1,([3]!players[name]=A1628)*([3]!players[hero_name]=B1628),[3]!players[lane_name])</f>
        <v>Hard Support</v>
      </c>
      <c r="D1628">
        <f>COUNTIFS([3]!players[name],A1628,[3]!players[hero_name],B1628)</f>
        <v>1</v>
      </c>
      <c r="E1628">
        <f>COUNTIFS([3]!players[name],A1628,[3]!players[hero_name],B1628, [3]!players[win], 1)</f>
        <v>1</v>
      </c>
      <c r="F1628" s="1">
        <f t="shared" si="25"/>
        <v>1</v>
      </c>
      <c r="G1628" s="2">
        <f>AVERAGEIFS([3]!players[gold_per_min], [3]!players[name],A1628,[3]!players[hero_name],B1628)</f>
        <v>378</v>
      </c>
      <c r="H1628" s="2">
        <f>AVERAGEIFS([3]!players[xp_per_min], [3]!players[name],A1628,[3]!players[hero_name],B1628)</f>
        <v>526</v>
      </c>
    </row>
    <row r="1629" spans="1:8" x14ac:dyDescent="0.3">
      <c r="A1629" t="str">
        <v>rue</v>
      </c>
      <c r="B1629" t="str">
        <v>Techies</v>
      </c>
      <c r="C1629" t="str" cm="1">
        <f t="array" ref="C1629">_xlfn.XLOOKUP(1,([3]!players[name]=A1629)*([3]!players[hero_name]=B1629),[3]!players[lane_name])</f>
        <v>Soft Support</v>
      </c>
      <c r="D1629">
        <f>COUNTIFS([3]!players[name],A1629,[3]!players[hero_name],B1629)</f>
        <v>3</v>
      </c>
      <c r="E1629">
        <f>COUNTIFS([3]!players[name],A1629,[3]!players[hero_name],B1629, [3]!players[win], 1)</f>
        <v>2</v>
      </c>
      <c r="F1629" s="1">
        <f t="shared" si="25"/>
        <v>0.66666666666666663</v>
      </c>
      <c r="G1629" s="2">
        <f>AVERAGEIFS([3]!players[gold_per_min], [3]!players[name],A1629,[3]!players[hero_name],B1629)</f>
        <v>373</v>
      </c>
      <c r="H1629" s="2">
        <f>AVERAGEIFS([3]!players[xp_per_min], [3]!players[name],A1629,[3]!players[hero_name],B1629)</f>
        <v>503</v>
      </c>
    </row>
    <row r="1630" spans="1:8" x14ac:dyDescent="0.3">
      <c r="A1630" t="str">
        <v>rue</v>
      </c>
      <c r="B1630" t="str">
        <v>Ringmaster</v>
      </c>
      <c r="C1630" t="str" cm="1">
        <f t="array" ref="C1630">_xlfn.XLOOKUP(1,([3]!players[name]=A1630)*([3]!players[hero_name]=B1630),[3]!players[lane_name])</f>
        <v>Hard Support</v>
      </c>
      <c r="D1630">
        <f>COUNTIFS([3]!players[name],A1630,[3]!players[hero_name],B1630)</f>
        <v>3</v>
      </c>
      <c r="E1630">
        <f>COUNTIFS([3]!players[name],A1630,[3]!players[hero_name],B1630, [3]!players[win], 1)</f>
        <v>1</v>
      </c>
      <c r="F1630" s="1">
        <f t="shared" si="25"/>
        <v>0.33333333333333331</v>
      </c>
      <c r="G1630" s="2">
        <f>AVERAGEIFS([3]!players[gold_per_min], [3]!players[name],A1630,[3]!players[hero_name],B1630)</f>
        <v>314.33333333333331</v>
      </c>
      <c r="H1630" s="2">
        <f>AVERAGEIFS([3]!players[xp_per_min], [3]!players[name],A1630,[3]!players[hero_name],B1630)</f>
        <v>537.33333333333337</v>
      </c>
    </row>
    <row r="1631" spans="1:8" x14ac:dyDescent="0.3">
      <c r="A1631" t="str">
        <v>rue</v>
      </c>
      <c r="B1631" t="str">
        <v>Rubick</v>
      </c>
      <c r="C1631" t="str" cm="1">
        <f t="array" ref="C1631">_xlfn.XLOOKUP(1,([3]!players[name]=A1631)*([3]!players[hero_name]=B1631),[3]!players[lane_name])</f>
        <v>Soft Support</v>
      </c>
      <c r="D1631">
        <f>COUNTIFS([3]!players[name],A1631,[3]!players[hero_name],B1631)</f>
        <v>3</v>
      </c>
      <c r="E1631">
        <f>COUNTIFS([3]!players[name],A1631,[3]!players[hero_name],B1631, [3]!players[win], 1)</f>
        <v>1</v>
      </c>
      <c r="F1631" s="1">
        <f t="shared" si="25"/>
        <v>0.33333333333333331</v>
      </c>
      <c r="G1631" s="2">
        <f>AVERAGEIFS([3]!players[gold_per_min], [3]!players[name],A1631,[3]!players[hero_name],B1631)</f>
        <v>335</v>
      </c>
      <c r="H1631" s="2">
        <f>AVERAGEIFS([3]!players[xp_per_min], [3]!players[name],A1631,[3]!players[hero_name],B1631)</f>
        <v>462</v>
      </c>
    </row>
    <row r="1632" spans="1:8" x14ac:dyDescent="0.3">
      <c r="A1632" t="str">
        <v>Rupido</v>
      </c>
      <c r="B1632" t="str">
        <v>Dark Seer</v>
      </c>
      <c r="C1632" t="str" cm="1">
        <f t="array" ref="C1632">_xlfn.XLOOKUP(1,([3]!players[name]=A1632)*([3]!players[hero_name]=B1632),[3]!players[lane_name])</f>
        <v>Off Lane</v>
      </c>
      <c r="D1632">
        <f>COUNTIFS([3]!players[name],A1632,[3]!players[hero_name],B1632)</f>
        <v>2</v>
      </c>
      <c r="E1632">
        <f>COUNTIFS([3]!players[name],A1632,[3]!players[hero_name],B1632, [3]!players[win], 1)</f>
        <v>0</v>
      </c>
      <c r="F1632" s="1">
        <f t="shared" si="25"/>
        <v>0</v>
      </c>
      <c r="G1632" s="2">
        <f>AVERAGEIFS([3]!players[gold_per_min], [3]!players[name],A1632,[3]!players[hero_name],B1632)</f>
        <v>446</v>
      </c>
      <c r="H1632" s="2">
        <f>AVERAGEIFS([3]!players[xp_per_min], [3]!players[name],A1632,[3]!players[hero_name],B1632)</f>
        <v>533</v>
      </c>
    </row>
    <row r="1633" spans="1:8" x14ac:dyDescent="0.3">
      <c r="A1633" t="str">
        <v>Rupido</v>
      </c>
      <c r="B1633" t="str">
        <v>Brewmaster</v>
      </c>
      <c r="C1633" t="str" cm="1">
        <f t="array" ref="C1633">_xlfn.XLOOKUP(1,([3]!players[name]=A1633)*([3]!players[hero_name]=B1633),[3]!players[lane_name])</f>
        <v>Off Lane</v>
      </c>
      <c r="D1633">
        <f>COUNTIFS([3]!players[name],A1633,[3]!players[hero_name],B1633)</f>
        <v>3</v>
      </c>
      <c r="E1633">
        <f>COUNTIFS([3]!players[name],A1633,[3]!players[hero_name],B1633, [3]!players[win], 1)</f>
        <v>1</v>
      </c>
      <c r="F1633" s="1">
        <f t="shared" si="25"/>
        <v>0.33333333333333331</v>
      </c>
      <c r="G1633" s="2">
        <f>AVERAGEIFS([3]!players[gold_per_min], [3]!players[name],A1633,[3]!players[hero_name],B1633)</f>
        <v>461.33333333333331</v>
      </c>
      <c r="H1633" s="2">
        <f>AVERAGEIFS([3]!players[xp_per_min], [3]!players[name],A1633,[3]!players[hero_name],B1633)</f>
        <v>551.66666666666663</v>
      </c>
    </row>
    <row r="1634" spans="1:8" x14ac:dyDescent="0.3">
      <c r="A1634" t="str">
        <v>Rupido</v>
      </c>
      <c r="B1634" t="str">
        <v>Bristleback</v>
      </c>
      <c r="C1634" t="str" cm="1">
        <f t="array" ref="C1634">_xlfn.XLOOKUP(1,([3]!players[name]=A1634)*([3]!players[hero_name]=B1634),[3]!players[lane_name])</f>
        <v>Off Lane</v>
      </c>
      <c r="D1634">
        <f>COUNTIFS([3]!players[name],A1634,[3]!players[hero_name],B1634)</f>
        <v>6</v>
      </c>
      <c r="E1634">
        <f>COUNTIFS([3]!players[name],A1634,[3]!players[hero_name],B1634, [3]!players[win], 1)</f>
        <v>5</v>
      </c>
      <c r="F1634" s="1">
        <f t="shared" si="25"/>
        <v>0.83333333333333337</v>
      </c>
      <c r="G1634" s="2">
        <f>AVERAGEIFS([3]!players[gold_per_min], [3]!players[name],A1634,[3]!players[hero_name],B1634)</f>
        <v>603.16666666666663</v>
      </c>
      <c r="H1634" s="2">
        <f>AVERAGEIFS([3]!players[xp_per_min], [3]!players[name],A1634,[3]!players[hero_name],B1634)</f>
        <v>813.83333333333337</v>
      </c>
    </row>
    <row r="1635" spans="1:8" x14ac:dyDescent="0.3">
      <c r="A1635" t="str">
        <v>Rupido</v>
      </c>
      <c r="B1635" t="str">
        <v>Axe</v>
      </c>
      <c r="C1635" t="str" cm="1">
        <f t="array" ref="C1635">_xlfn.XLOOKUP(1,([3]!players[name]=A1635)*([3]!players[hero_name]=B1635),[3]!players[lane_name])</f>
        <v>Off Lane</v>
      </c>
      <c r="D1635">
        <f>COUNTIFS([3]!players[name],A1635,[3]!players[hero_name],B1635)</f>
        <v>3</v>
      </c>
      <c r="E1635">
        <f>COUNTIFS([3]!players[name],A1635,[3]!players[hero_name],B1635, [3]!players[win], 1)</f>
        <v>1</v>
      </c>
      <c r="F1635" s="1">
        <f t="shared" si="25"/>
        <v>0.33333333333333331</v>
      </c>
      <c r="G1635" s="2">
        <f>AVERAGEIFS([3]!players[gold_per_min], [3]!players[name],A1635,[3]!players[hero_name],B1635)</f>
        <v>436</v>
      </c>
      <c r="H1635" s="2">
        <f>AVERAGEIFS([3]!players[xp_per_min], [3]!players[name],A1635,[3]!players[hero_name],B1635)</f>
        <v>591</v>
      </c>
    </row>
    <row r="1636" spans="1:8" x14ac:dyDescent="0.3">
      <c r="A1636" t="str">
        <v>Rupido</v>
      </c>
      <c r="B1636" t="str">
        <v>Sand King</v>
      </c>
      <c r="C1636" t="str" cm="1">
        <f t="array" ref="C1636">_xlfn.XLOOKUP(1,([3]!players[name]=A1636)*([3]!players[hero_name]=B1636),[3]!players[lane_name])</f>
        <v>Off Lane</v>
      </c>
      <c r="D1636">
        <f>COUNTIFS([3]!players[name],A1636,[3]!players[hero_name],B1636)</f>
        <v>2</v>
      </c>
      <c r="E1636">
        <f>COUNTIFS([3]!players[name],A1636,[3]!players[hero_name],B1636, [3]!players[win], 1)</f>
        <v>2</v>
      </c>
      <c r="F1636" s="1">
        <f t="shared" si="25"/>
        <v>1</v>
      </c>
      <c r="G1636" s="2">
        <f>AVERAGEIFS([3]!players[gold_per_min], [3]!players[name],A1636,[3]!players[hero_name],B1636)</f>
        <v>553.5</v>
      </c>
      <c r="H1636" s="2">
        <f>AVERAGEIFS([3]!players[xp_per_min], [3]!players[name],A1636,[3]!players[hero_name],B1636)</f>
        <v>828.5</v>
      </c>
    </row>
    <row r="1637" spans="1:8" x14ac:dyDescent="0.3">
      <c r="A1637" t="str">
        <v>Rupido</v>
      </c>
      <c r="B1637" t="str">
        <v>Razor</v>
      </c>
      <c r="C1637" t="str" cm="1">
        <f t="array" ref="C1637">_xlfn.XLOOKUP(1,([3]!players[name]=A1637)*([3]!players[hero_name]=B1637),[3]!players[lane_name])</f>
        <v>Off Lane</v>
      </c>
      <c r="D1637">
        <f>COUNTIFS([3]!players[name],A1637,[3]!players[hero_name],B1637)</f>
        <v>1</v>
      </c>
      <c r="E1637">
        <f>COUNTIFS([3]!players[name],A1637,[3]!players[hero_name],B1637, [3]!players[win], 1)</f>
        <v>0</v>
      </c>
      <c r="F1637" s="1">
        <f t="shared" si="25"/>
        <v>0</v>
      </c>
      <c r="G1637" s="2">
        <f>AVERAGEIFS([3]!players[gold_per_min], [3]!players[name],A1637,[3]!players[hero_name],B1637)</f>
        <v>391</v>
      </c>
      <c r="H1637" s="2">
        <f>AVERAGEIFS([3]!players[xp_per_min], [3]!players[name],A1637,[3]!players[hero_name],B1637)</f>
        <v>477</v>
      </c>
    </row>
    <row r="1638" spans="1:8" x14ac:dyDescent="0.3">
      <c r="A1638" t="str">
        <v>Rupido</v>
      </c>
      <c r="B1638" t="str">
        <v>Slardar</v>
      </c>
      <c r="C1638" t="str" cm="1">
        <f t="array" ref="C1638">_xlfn.XLOOKUP(1,([3]!players[name]=A1638)*([3]!players[hero_name]=B1638),[3]!players[lane_name])</f>
        <v>Off Lane</v>
      </c>
      <c r="D1638">
        <f>COUNTIFS([3]!players[name],A1638,[3]!players[hero_name],B1638)</f>
        <v>4</v>
      </c>
      <c r="E1638">
        <f>COUNTIFS([3]!players[name],A1638,[3]!players[hero_name],B1638, [3]!players[win], 1)</f>
        <v>2</v>
      </c>
      <c r="F1638" s="1">
        <f t="shared" si="25"/>
        <v>0.5</v>
      </c>
      <c r="G1638" s="2">
        <f>AVERAGEIFS([3]!players[gold_per_min], [3]!players[name],A1638,[3]!players[hero_name],B1638)</f>
        <v>457.75</v>
      </c>
      <c r="H1638" s="2">
        <f>AVERAGEIFS([3]!players[xp_per_min], [3]!players[name],A1638,[3]!players[hero_name],B1638)</f>
        <v>605</v>
      </c>
    </row>
    <row r="1639" spans="1:8" x14ac:dyDescent="0.3">
      <c r="A1639" t="str">
        <v>Rupido</v>
      </c>
      <c r="B1639" t="str">
        <v>Mars</v>
      </c>
      <c r="C1639" t="str" cm="1">
        <f t="array" ref="C1639">_xlfn.XLOOKUP(1,([3]!players[name]=A1639)*([3]!players[hero_name]=B1639),[3]!players[lane_name])</f>
        <v>Off Lane</v>
      </c>
      <c r="D1639">
        <f>COUNTIFS([3]!players[name],A1639,[3]!players[hero_name],B1639)</f>
        <v>5</v>
      </c>
      <c r="E1639">
        <f>COUNTIFS([3]!players[name],A1639,[3]!players[hero_name],B1639, [3]!players[win], 1)</f>
        <v>3</v>
      </c>
      <c r="F1639" s="1">
        <f t="shared" si="25"/>
        <v>0.6</v>
      </c>
      <c r="G1639" s="2">
        <f>AVERAGEIFS([3]!players[gold_per_min], [3]!players[name],A1639,[3]!players[hero_name],B1639)</f>
        <v>527.20000000000005</v>
      </c>
      <c r="H1639" s="2">
        <f>AVERAGEIFS([3]!players[xp_per_min], [3]!players[name],A1639,[3]!players[hero_name],B1639)</f>
        <v>681.8</v>
      </c>
    </row>
    <row r="1640" spans="1:8" x14ac:dyDescent="0.3">
      <c r="A1640" t="str">
        <v>Rupido</v>
      </c>
      <c r="B1640" t="str">
        <v>Batrider</v>
      </c>
      <c r="C1640" t="str" cm="1">
        <f t="array" ref="C1640">_xlfn.XLOOKUP(1,([3]!players[name]=A1640)*([3]!players[hero_name]=B1640),[3]!players[lane_name])</f>
        <v>Off Lane</v>
      </c>
      <c r="D1640">
        <f>COUNTIFS([3]!players[name],A1640,[3]!players[hero_name],B1640)</f>
        <v>2</v>
      </c>
      <c r="E1640">
        <f>COUNTIFS([3]!players[name],A1640,[3]!players[hero_name],B1640, [3]!players[win], 1)</f>
        <v>1</v>
      </c>
      <c r="F1640" s="1">
        <f t="shared" si="25"/>
        <v>0.5</v>
      </c>
      <c r="G1640" s="2">
        <f>AVERAGEIFS([3]!players[gold_per_min], [3]!players[name],A1640,[3]!players[hero_name],B1640)</f>
        <v>518.5</v>
      </c>
      <c r="H1640" s="2">
        <f>AVERAGEIFS([3]!players[xp_per_min], [3]!players[name],A1640,[3]!players[hero_name],B1640)</f>
        <v>791.5</v>
      </c>
    </row>
    <row r="1641" spans="1:8" x14ac:dyDescent="0.3">
      <c r="A1641" t="str">
        <v>Rupido</v>
      </c>
      <c r="B1641" t="str">
        <v>Underlord</v>
      </c>
      <c r="C1641" t="str" cm="1">
        <f t="array" ref="C1641">_xlfn.XLOOKUP(1,([3]!players[name]=A1641)*([3]!players[hero_name]=B1641),[3]!players[lane_name])</f>
        <v>Off Lane</v>
      </c>
      <c r="D1641">
        <f>COUNTIFS([3]!players[name],A1641,[3]!players[hero_name],B1641)</f>
        <v>4</v>
      </c>
      <c r="E1641">
        <f>COUNTIFS([3]!players[name],A1641,[3]!players[hero_name],B1641, [3]!players[win], 1)</f>
        <v>1</v>
      </c>
      <c r="F1641" s="1">
        <f t="shared" si="25"/>
        <v>0.25</v>
      </c>
      <c r="G1641" s="2">
        <f>AVERAGEIFS([3]!players[gold_per_min], [3]!players[name],A1641,[3]!players[hero_name],B1641)</f>
        <v>500.5</v>
      </c>
      <c r="H1641" s="2">
        <f>AVERAGEIFS([3]!players[xp_per_min], [3]!players[name],A1641,[3]!players[hero_name],B1641)</f>
        <v>646.5</v>
      </c>
    </row>
    <row r="1642" spans="1:8" x14ac:dyDescent="0.3">
      <c r="A1642" t="str">
        <v>Rupido</v>
      </c>
      <c r="B1642" t="str">
        <v>Beastmaster</v>
      </c>
      <c r="C1642" t="str" cm="1">
        <f t="array" ref="C1642">_xlfn.XLOOKUP(1,([3]!players[name]=A1642)*([3]!players[hero_name]=B1642),[3]!players[lane_name])</f>
        <v>Off Lane</v>
      </c>
      <c r="D1642">
        <f>COUNTIFS([3]!players[name],A1642,[3]!players[hero_name],B1642)</f>
        <v>3</v>
      </c>
      <c r="E1642">
        <f>COUNTIFS([3]!players[name],A1642,[3]!players[hero_name],B1642, [3]!players[win], 1)</f>
        <v>2</v>
      </c>
      <c r="F1642" s="1">
        <f t="shared" si="25"/>
        <v>0.66666666666666663</v>
      </c>
      <c r="G1642" s="2">
        <f>AVERAGEIFS([3]!players[gold_per_min], [3]!players[name],A1642,[3]!players[hero_name],B1642)</f>
        <v>553.33333333333337</v>
      </c>
      <c r="H1642" s="2">
        <f>AVERAGEIFS([3]!players[xp_per_min], [3]!players[name],A1642,[3]!players[hero_name],B1642)</f>
        <v>639</v>
      </c>
    </row>
    <row r="1643" spans="1:8" x14ac:dyDescent="0.3">
      <c r="A1643" t="str">
        <v>Rupido</v>
      </c>
      <c r="B1643" t="str">
        <v>Tidehunter</v>
      </c>
      <c r="C1643" t="str" cm="1">
        <f t="array" ref="C1643">_xlfn.XLOOKUP(1,([3]!players[name]=A1643)*([3]!players[hero_name]=B1643),[3]!players[lane_name])</f>
        <v>Off Lane</v>
      </c>
      <c r="D1643">
        <f>COUNTIFS([3]!players[name],A1643,[3]!players[hero_name],B1643)</f>
        <v>7</v>
      </c>
      <c r="E1643">
        <f>COUNTIFS([3]!players[name],A1643,[3]!players[hero_name],B1643, [3]!players[win], 1)</f>
        <v>2</v>
      </c>
      <c r="F1643" s="1">
        <f t="shared" si="25"/>
        <v>0.2857142857142857</v>
      </c>
      <c r="G1643" s="2">
        <f>AVERAGEIFS([3]!players[gold_per_min], [3]!players[name],A1643,[3]!players[hero_name],B1643)</f>
        <v>417.28571428571428</v>
      </c>
      <c r="H1643" s="2">
        <f>AVERAGEIFS([3]!players[xp_per_min], [3]!players[name],A1643,[3]!players[hero_name],B1643)</f>
        <v>546.28571428571433</v>
      </c>
    </row>
    <row r="1644" spans="1:8" x14ac:dyDescent="0.3">
      <c r="A1644" t="str">
        <v>Rupido</v>
      </c>
      <c r="B1644" t="str">
        <v>Primal Beast</v>
      </c>
      <c r="C1644" t="str" cm="1">
        <f t="array" ref="C1644">_xlfn.XLOOKUP(1,([3]!players[name]=A1644)*([3]!players[hero_name]=B1644),[3]!players[lane_name])</f>
        <v>Off Lane</v>
      </c>
      <c r="D1644">
        <f>COUNTIFS([3]!players[name],A1644,[3]!players[hero_name],B1644)</f>
        <v>3</v>
      </c>
      <c r="E1644">
        <f>COUNTIFS([3]!players[name],A1644,[3]!players[hero_name],B1644, [3]!players[win], 1)</f>
        <v>2</v>
      </c>
      <c r="F1644" s="1">
        <f t="shared" si="25"/>
        <v>0.66666666666666663</v>
      </c>
      <c r="G1644" s="2">
        <f>AVERAGEIFS([3]!players[gold_per_min], [3]!players[name],A1644,[3]!players[hero_name],B1644)</f>
        <v>455.66666666666669</v>
      </c>
      <c r="H1644" s="2">
        <f>AVERAGEIFS([3]!players[xp_per_min], [3]!players[name],A1644,[3]!players[hero_name],B1644)</f>
        <v>581.33333333333337</v>
      </c>
    </row>
    <row r="1645" spans="1:8" x14ac:dyDescent="0.3">
      <c r="A1645" t="str">
        <v>Rupido</v>
      </c>
      <c r="B1645" t="str">
        <v>Centaur Warrunner</v>
      </c>
      <c r="C1645" t="str" cm="1">
        <f t="array" ref="C1645">_xlfn.XLOOKUP(1,([3]!players[name]=A1645)*([3]!players[hero_name]=B1645),[3]!players[lane_name])</f>
        <v>Off Lane</v>
      </c>
      <c r="D1645">
        <f>COUNTIFS([3]!players[name],A1645,[3]!players[hero_name],B1645)</f>
        <v>1</v>
      </c>
      <c r="E1645">
        <f>COUNTIFS([3]!players[name],A1645,[3]!players[hero_name],B1645, [3]!players[win], 1)</f>
        <v>1</v>
      </c>
      <c r="F1645" s="1">
        <f t="shared" si="25"/>
        <v>1</v>
      </c>
      <c r="G1645" s="2">
        <f>AVERAGEIFS([3]!players[gold_per_min], [3]!players[name],A1645,[3]!players[hero_name],B1645)</f>
        <v>514</v>
      </c>
      <c r="H1645" s="2">
        <f>AVERAGEIFS([3]!players[xp_per_min], [3]!players[name],A1645,[3]!players[hero_name],B1645)</f>
        <v>546</v>
      </c>
    </row>
    <row r="1646" spans="1:8" x14ac:dyDescent="0.3">
      <c r="A1646" t="str">
        <v>Rupido</v>
      </c>
      <c r="B1646" t="str">
        <v>Pangolier</v>
      </c>
      <c r="C1646" t="str" cm="1">
        <f t="array" ref="C1646">_xlfn.XLOOKUP(1,([3]!players[name]=A1646)*([3]!players[hero_name]=B1646),[3]!players[lane_name])</f>
        <v>Off Lane</v>
      </c>
      <c r="D1646">
        <f>COUNTIFS([3]!players[name],A1646,[3]!players[hero_name],B1646)</f>
        <v>5</v>
      </c>
      <c r="E1646">
        <f>COUNTIFS([3]!players[name],A1646,[3]!players[hero_name],B1646, [3]!players[win], 1)</f>
        <v>3</v>
      </c>
      <c r="F1646" s="1">
        <f t="shared" si="25"/>
        <v>0.6</v>
      </c>
      <c r="G1646" s="2">
        <f>AVERAGEIFS([3]!players[gold_per_min], [3]!players[name],A1646,[3]!players[hero_name],B1646)</f>
        <v>531.79999999999995</v>
      </c>
      <c r="H1646" s="2">
        <f>AVERAGEIFS([3]!players[xp_per_min], [3]!players[name],A1646,[3]!players[hero_name],B1646)</f>
        <v>731.6</v>
      </c>
    </row>
    <row r="1647" spans="1:8" x14ac:dyDescent="0.3">
      <c r="A1647" t="str">
        <v>Rupido</v>
      </c>
      <c r="B1647" t="str">
        <v>Dawnbreaker</v>
      </c>
      <c r="C1647" t="str" cm="1">
        <f t="array" ref="C1647">_xlfn.XLOOKUP(1,([3]!players[name]=A1647)*([3]!players[hero_name]=B1647),[3]!players[lane_name])</f>
        <v>Off Lane</v>
      </c>
      <c r="D1647">
        <f>COUNTIFS([3]!players[name],A1647,[3]!players[hero_name],B1647)</f>
        <v>1</v>
      </c>
      <c r="E1647">
        <f>COUNTIFS([3]!players[name],A1647,[3]!players[hero_name],B1647, [3]!players[win], 1)</f>
        <v>0</v>
      </c>
      <c r="F1647" s="1">
        <f t="shared" si="25"/>
        <v>0</v>
      </c>
      <c r="G1647" s="2">
        <f>AVERAGEIFS([3]!players[gold_per_min], [3]!players[name],A1647,[3]!players[hero_name],B1647)</f>
        <v>451</v>
      </c>
      <c r="H1647" s="2">
        <f>AVERAGEIFS([3]!players[xp_per_min], [3]!players[name],A1647,[3]!players[hero_name],B1647)</f>
        <v>565</v>
      </c>
    </row>
    <row r="1648" spans="1:8" x14ac:dyDescent="0.3">
      <c r="A1648" t="str">
        <v>Rupido</v>
      </c>
      <c r="B1648" t="str">
        <v>Kunkka</v>
      </c>
      <c r="C1648" t="str" cm="1">
        <f t="array" ref="C1648">_xlfn.XLOOKUP(1,([3]!players[name]=A1648)*([3]!players[hero_name]=B1648),[3]!players[lane_name])</f>
        <v>Off Lane</v>
      </c>
      <c r="D1648">
        <f>COUNTIFS([3]!players[name],A1648,[3]!players[hero_name],B1648)</f>
        <v>1</v>
      </c>
      <c r="E1648">
        <f>COUNTIFS([3]!players[name],A1648,[3]!players[hero_name],B1648, [3]!players[win], 1)</f>
        <v>0</v>
      </c>
      <c r="F1648" s="1">
        <f t="shared" si="25"/>
        <v>0</v>
      </c>
      <c r="G1648" s="2">
        <f>AVERAGEIFS([3]!players[gold_per_min], [3]!players[name],A1648,[3]!players[hero_name],B1648)</f>
        <v>472</v>
      </c>
      <c r="H1648" s="2">
        <f>AVERAGEIFS([3]!players[xp_per_min], [3]!players[name],A1648,[3]!players[hero_name],B1648)</f>
        <v>711</v>
      </c>
    </row>
    <row r="1649" spans="1:8" x14ac:dyDescent="0.3">
      <c r="A1649" t="str">
        <v>Rupido</v>
      </c>
      <c r="B1649" t="str">
        <v>Viper</v>
      </c>
      <c r="C1649" t="str" cm="1">
        <f t="array" ref="C1649">_xlfn.XLOOKUP(1,([3]!players[name]=A1649)*([3]!players[hero_name]=B1649),[3]!players[lane_name])</f>
        <v>Off Lane</v>
      </c>
      <c r="D1649">
        <f>COUNTIFS([3]!players[name],A1649,[3]!players[hero_name],B1649)</f>
        <v>1</v>
      </c>
      <c r="E1649">
        <f>COUNTIFS([3]!players[name],A1649,[3]!players[hero_name],B1649, [3]!players[win], 1)</f>
        <v>0</v>
      </c>
      <c r="F1649" s="1">
        <f t="shared" si="25"/>
        <v>0</v>
      </c>
      <c r="G1649" s="2">
        <f>AVERAGEIFS([3]!players[gold_per_min], [3]!players[name],A1649,[3]!players[hero_name],B1649)</f>
        <v>510</v>
      </c>
      <c r="H1649" s="2">
        <f>AVERAGEIFS([3]!players[xp_per_min], [3]!players[name],A1649,[3]!players[hero_name],B1649)</f>
        <v>777</v>
      </c>
    </row>
    <row r="1650" spans="1:8" x14ac:dyDescent="0.3">
      <c r="A1650" t="str">
        <v>ryota</v>
      </c>
      <c r="B1650" t="str">
        <v>Tusk</v>
      </c>
      <c r="C1650" t="str" cm="1">
        <f t="array" ref="C1650">_xlfn.XLOOKUP(1,([3]!players[name]=A1650)*([3]!players[hero_name]=B1650),[3]!players[lane_name])</f>
        <v>Hard Support</v>
      </c>
      <c r="D1650">
        <f>COUNTIFS([3]!players[name],A1650,[3]!players[hero_name],B1650)</f>
        <v>4</v>
      </c>
      <c r="E1650">
        <f>COUNTIFS([3]!players[name],A1650,[3]!players[hero_name],B1650, [3]!players[win], 1)</f>
        <v>1</v>
      </c>
      <c r="F1650" s="1">
        <f t="shared" si="25"/>
        <v>0.25</v>
      </c>
      <c r="G1650" s="2">
        <f>AVERAGEIFS([3]!players[gold_per_min], [3]!players[name],A1650,[3]!players[hero_name],B1650)</f>
        <v>272.75</v>
      </c>
      <c r="H1650" s="2">
        <f>AVERAGEIFS([3]!players[xp_per_min], [3]!players[name],A1650,[3]!players[hero_name],B1650)</f>
        <v>425.5</v>
      </c>
    </row>
    <row r="1651" spans="1:8" x14ac:dyDescent="0.3">
      <c r="A1651" t="str">
        <v>ryota</v>
      </c>
      <c r="B1651" t="str">
        <v>Hoodwink</v>
      </c>
      <c r="C1651" t="str" cm="1">
        <f t="array" ref="C1651">_xlfn.XLOOKUP(1,([3]!players[name]=A1651)*([3]!players[hero_name]=B1651),[3]!players[lane_name])</f>
        <v>Hard Support</v>
      </c>
      <c r="D1651">
        <f>COUNTIFS([3]!players[name],A1651,[3]!players[hero_name],B1651)</f>
        <v>5</v>
      </c>
      <c r="E1651">
        <f>COUNTIFS([3]!players[name],A1651,[3]!players[hero_name],B1651, [3]!players[win], 1)</f>
        <v>2</v>
      </c>
      <c r="F1651" s="1">
        <f t="shared" si="25"/>
        <v>0.4</v>
      </c>
      <c r="G1651" s="2">
        <f>AVERAGEIFS([3]!players[gold_per_min], [3]!players[name],A1651,[3]!players[hero_name],B1651)</f>
        <v>343.4</v>
      </c>
      <c r="H1651" s="2">
        <f>AVERAGEIFS([3]!players[xp_per_min], [3]!players[name],A1651,[3]!players[hero_name],B1651)</f>
        <v>555.20000000000005</v>
      </c>
    </row>
    <row r="1652" spans="1:8" x14ac:dyDescent="0.3">
      <c r="A1652" t="str">
        <v>ryota</v>
      </c>
      <c r="B1652" t="str">
        <v>Rubick</v>
      </c>
      <c r="C1652" t="str" cm="1">
        <f t="array" ref="C1652">_xlfn.XLOOKUP(1,([3]!players[name]=A1652)*([3]!players[hero_name]=B1652),[3]!players[lane_name])</f>
        <v>Soft Support</v>
      </c>
      <c r="D1652">
        <f>COUNTIFS([3]!players[name],A1652,[3]!players[hero_name],B1652)</f>
        <v>6</v>
      </c>
      <c r="E1652">
        <f>COUNTIFS([3]!players[name],A1652,[3]!players[hero_name],B1652, [3]!players[win], 1)</f>
        <v>2</v>
      </c>
      <c r="F1652" s="1">
        <f t="shared" si="25"/>
        <v>0.33333333333333331</v>
      </c>
      <c r="G1652" s="2">
        <f>AVERAGEIFS([3]!players[gold_per_min], [3]!players[name],A1652,[3]!players[hero_name],B1652)</f>
        <v>299.83333333333331</v>
      </c>
      <c r="H1652" s="2">
        <f>AVERAGEIFS([3]!players[xp_per_min], [3]!players[name],A1652,[3]!players[hero_name],B1652)</f>
        <v>416.5</v>
      </c>
    </row>
    <row r="1653" spans="1:8" x14ac:dyDescent="0.3">
      <c r="A1653" t="str">
        <v>ryota</v>
      </c>
      <c r="B1653" t="str">
        <v>Ringmaster</v>
      </c>
      <c r="C1653" t="str" cm="1">
        <f t="array" ref="C1653">_xlfn.XLOOKUP(1,([3]!players[name]=A1653)*([3]!players[hero_name]=B1653),[3]!players[lane_name])</f>
        <v>Roam</v>
      </c>
      <c r="D1653">
        <f>COUNTIFS([3]!players[name],A1653,[3]!players[hero_name],B1653)</f>
        <v>1</v>
      </c>
      <c r="E1653">
        <f>COUNTIFS([3]!players[name],A1653,[3]!players[hero_name],B1653, [3]!players[win], 1)</f>
        <v>0</v>
      </c>
      <c r="F1653" s="1">
        <f t="shared" si="25"/>
        <v>0</v>
      </c>
      <c r="G1653" s="2">
        <f>AVERAGEIFS([3]!players[gold_per_min], [3]!players[name],A1653,[3]!players[hero_name],B1653)</f>
        <v>231</v>
      </c>
      <c r="H1653" s="2">
        <f>AVERAGEIFS([3]!players[xp_per_min], [3]!players[name],A1653,[3]!players[hero_name],B1653)</f>
        <v>329</v>
      </c>
    </row>
    <row r="1654" spans="1:8" x14ac:dyDescent="0.3">
      <c r="A1654" t="str">
        <v>ryota</v>
      </c>
      <c r="B1654" t="str">
        <v>Tiny</v>
      </c>
      <c r="C1654" t="str" cm="1">
        <f t="array" ref="C1654">_xlfn.XLOOKUP(1,([3]!players[name]=A1654)*([3]!players[hero_name]=B1654),[3]!players[lane_name])</f>
        <v>Soft Support</v>
      </c>
      <c r="D1654">
        <f>COUNTIFS([3]!players[name],A1654,[3]!players[hero_name],B1654)</f>
        <v>1</v>
      </c>
      <c r="E1654">
        <f>COUNTIFS([3]!players[name],A1654,[3]!players[hero_name],B1654, [3]!players[win], 1)</f>
        <v>1</v>
      </c>
      <c r="F1654" s="1">
        <f t="shared" si="25"/>
        <v>1</v>
      </c>
      <c r="G1654" s="2">
        <f>AVERAGEIFS([3]!players[gold_per_min], [3]!players[name],A1654,[3]!players[hero_name],B1654)</f>
        <v>489</v>
      </c>
      <c r="H1654" s="2">
        <f>AVERAGEIFS([3]!players[xp_per_min], [3]!players[name],A1654,[3]!players[hero_name],B1654)</f>
        <v>895</v>
      </c>
    </row>
    <row r="1655" spans="1:8" x14ac:dyDescent="0.3">
      <c r="A1655" t="str">
        <v>ryota</v>
      </c>
      <c r="B1655" t="str">
        <v>Nyx Assassin</v>
      </c>
      <c r="C1655" t="str" cm="1">
        <f t="array" ref="C1655">_xlfn.XLOOKUP(1,([3]!players[name]=A1655)*([3]!players[hero_name]=B1655),[3]!players[lane_name])</f>
        <v>Roam</v>
      </c>
      <c r="D1655">
        <f>COUNTIFS([3]!players[name],A1655,[3]!players[hero_name],B1655)</f>
        <v>1</v>
      </c>
      <c r="E1655">
        <f>COUNTIFS([3]!players[name],A1655,[3]!players[hero_name],B1655, [3]!players[win], 1)</f>
        <v>0</v>
      </c>
      <c r="F1655" s="1">
        <f t="shared" si="25"/>
        <v>0</v>
      </c>
      <c r="G1655" s="2">
        <f>AVERAGEIFS([3]!players[gold_per_min], [3]!players[name],A1655,[3]!players[hero_name],B1655)</f>
        <v>198</v>
      </c>
      <c r="H1655" s="2">
        <f>AVERAGEIFS([3]!players[xp_per_min], [3]!players[name],A1655,[3]!players[hero_name],B1655)</f>
        <v>221</v>
      </c>
    </row>
    <row r="1656" spans="1:8" x14ac:dyDescent="0.3">
      <c r="A1656" t="str">
        <v>Ryu</v>
      </c>
      <c r="B1656" t="str">
        <v>Slardar</v>
      </c>
      <c r="C1656" t="str" cm="1">
        <f t="array" ref="C1656">_xlfn.XLOOKUP(1,([3]!players[name]=A1656)*([3]!players[hero_name]=B1656),[3]!players[lane_name])</f>
        <v>Off Lane</v>
      </c>
      <c r="D1656">
        <f>COUNTIFS([3]!players[name],A1656,[3]!players[hero_name],B1656)</f>
        <v>5</v>
      </c>
      <c r="E1656">
        <f>COUNTIFS([3]!players[name],A1656,[3]!players[hero_name],B1656, [3]!players[win], 1)</f>
        <v>1</v>
      </c>
      <c r="F1656" s="1">
        <f t="shared" si="25"/>
        <v>0.2</v>
      </c>
      <c r="G1656" s="2">
        <f>AVERAGEIFS([3]!players[gold_per_min], [3]!players[name],A1656,[3]!players[hero_name],B1656)</f>
        <v>430.4</v>
      </c>
      <c r="H1656" s="2">
        <f>AVERAGEIFS([3]!players[xp_per_min], [3]!players[name],A1656,[3]!players[hero_name],B1656)</f>
        <v>516.79999999999995</v>
      </c>
    </row>
    <row r="1657" spans="1:8" x14ac:dyDescent="0.3">
      <c r="A1657" t="str">
        <v>Ryu</v>
      </c>
      <c r="B1657" t="str">
        <v>Enigma</v>
      </c>
      <c r="C1657" t="str" cm="1">
        <f t="array" ref="C1657">_xlfn.XLOOKUP(1,([3]!players[name]=A1657)*([3]!players[hero_name]=B1657),[3]!players[lane_name])</f>
        <v>Off Lane</v>
      </c>
      <c r="D1657">
        <f>COUNTIFS([3]!players[name],A1657,[3]!players[hero_name],B1657)</f>
        <v>2</v>
      </c>
      <c r="E1657">
        <f>COUNTIFS([3]!players[name],A1657,[3]!players[hero_name],B1657, [3]!players[win], 1)</f>
        <v>1</v>
      </c>
      <c r="F1657" s="1">
        <f t="shared" si="25"/>
        <v>0.5</v>
      </c>
      <c r="G1657" s="2">
        <f>AVERAGEIFS([3]!players[gold_per_min], [3]!players[name],A1657,[3]!players[hero_name],B1657)</f>
        <v>545.5</v>
      </c>
      <c r="H1657" s="2">
        <f>AVERAGEIFS([3]!players[xp_per_min], [3]!players[name],A1657,[3]!players[hero_name],B1657)</f>
        <v>565.5</v>
      </c>
    </row>
    <row r="1658" spans="1:8" x14ac:dyDescent="0.3">
      <c r="A1658" t="str">
        <v>Ryu</v>
      </c>
      <c r="B1658" t="str">
        <v>Doom</v>
      </c>
      <c r="C1658" t="str" cm="1">
        <f t="array" ref="C1658">_xlfn.XLOOKUP(1,([3]!players[name]=A1658)*([3]!players[hero_name]=B1658),[3]!players[lane_name])</f>
        <v>Off Lane</v>
      </c>
      <c r="D1658">
        <f>COUNTIFS([3]!players[name],A1658,[3]!players[hero_name],B1658)</f>
        <v>3</v>
      </c>
      <c r="E1658">
        <f>COUNTIFS([3]!players[name],A1658,[3]!players[hero_name],B1658, [3]!players[win], 1)</f>
        <v>2</v>
      </c>
      <c r="F1658" s="1">
        <f t="shared" si="25"/>
        <v>0.66666666666666663</v>
      </c>
      <c r="G1658" s="2">
        <f>AVERAGEIFS([3]!players[gold_per_min], [3]!players[name],A1658,[3]!players[hero_name],B1658)</f>
        <v>525.33333333333337</v>
      </c>
      <c r="H1658" s="2">
        <f>AVERAGEIFS([3]!players[xp_per_min], [3]!players[name],A1658,[3]!players[hero_name],B1658)</f>
        <v>639.66666666666663</v>
      </c>
    </row>
    <row r="1659" spans="1:8" x14ac:dyDescent="0.3">
      <c r="A1659" t="str">
        <v>Ryu</v>
      </c>
      <c r="B1659" t="str">
        <v>Pangolier</v>
      </c>
      <c r="C1659" t="str" cm="1">
        <f t="array" ref="C1659">_xlfn.XLOOKUP(1,([3]!players[name]=A1659)*([3]!players[hero_name]=B1659),[3]!players[lane_name])</f>
        <v>Off Lane</v>
      </c>
      <c r="D1659">
        <f>COUNTIFS([3]!players[name],A1659,[3]!players[hero_name],B1659)</f>
        <v>2</v>
      </c>
      <c r="E1659">
        <f>COUNTIFS([3]!players[name],A1659,[3]!players[hero_name],B1659, [3]!players[win], 1)</f>
        <v>0</v>
      </c>
      <c r="F1659" s="1">
        <f t="shared" si="25"/>
        <v>0</v>
      </c>
      <c r="G1659" s="2">
        <f>AVERAGEIFS([3]!players[gold_per_min], [3]!players[name],A1659,[3]!players[hero_name],B1659)</f>
        <v>403</v>
      </c>
      <c r="H1659" s="2">
        <f>AVERAGEIFS([3]!players[xp_per_min], [3]!players[name],A1659,[3]!players[hero_name],B1659)</f>
        <v>457</v>
      </c>
    </row>
    <row r="1660" spans="1:8" x14ac:dyDescent="0.3">
      <c r="A1660" t="str">
        <v>Ryu</v>
      </c>
      <c r="B1660" t="str">
        <v>Timbersaw</v>
      </c>
      <c r="C1660" t="str" cm="1">
        <f t="array" ref="C1660">_xlfn.XLOOKUP(1,([3]!players[name]=A1660)*([3]!players[hero_name]=B1660),[3]!players[lane_name])</f>
        <v>Off Lane</v>
      </c>
      <c r="D1660">
        <f>COUNTIFS([3]!players[name],A1660,[3]!players[hero_name],B1660)</f>
        <v>1</v>
      </c>
      <c r="E1660">
        <f>COUNTIFS([3]!players[name],A1660,[3]!players[hero_name],B1660, [3]!players[win], 1)</f>
        <v>0</v>
      </c>
      <c r="F1660" s="1">
        <f t="shared" si="25"/>
        <v>0</v>
      </c>
      <c r="G1660" s="2">
        <f>AVERAGEIFS([3]!players[gold_per_min], [3]!players[name],A1660,[3]!players[hero_name],B1660)</f>
        <v>450</v>
      </c>
      <c r="H1660" s="2">
        <f>AVERAGEIFS([3]!players[xp_per_min], [3]!players[name],A1660,[3]!players[hero_name],B1660)</f>
        <v>606</v>
      </c>
    </row>
    <row r="1661" spans="1:8" x14ac:dyDescent="0.3">
      <c r="A1661" t="str">
        <v>Ryu</v>
      </c>
      <c r="B1661" t="str">
        <v>Tidehunter</v>
      </c>
      <c r="C1661" t="str" cm="1">
        <f t="array" ref="C1661">_xlfn.XLOOKUP(1,([3]!players[name]=A1661)*([3]!players[hero_name]=B1661),[3]!players[lane_name])</f>
        <v>Off Lane</v>
      </c>
      <c r="D1661">
        <f>COUNTIFS([3]!players[name],A1661,[3]!players[hero_name],B1661)</f>
        <v>5</v>
      </c>
      <c r="E1661">
        <f>COUNTIFS([3]!players[name],A1661,[3]!players[hero_name],B1661, [3]!players[win], 1)</f>
        <v>1</v>
      </c>
      <c r="F1661" s="1">
        <f t="shared" si="25"/>
        <v>0.2</v>
      </c>
      <c r="G1661" s="2">
        <f>AVERAGEIFS([3]!players[gold_per_min], [3]!players[name],A1661,[3]!players[hero_name],B1661)</f>
        <v>444.8</v>
      </c>
      <c r="H1661" s="2">
        <f>AVERAGEIFS([3]!players[xp_per_min], [3]!players[name],A1661,[3]!players[hero_name],B1661)</f>
        <v>508.8</v>
      </c>
    </row>
    <row r="1662" spans="1:8" x14ac:dyDescent="0.3">
      <c r="A1662" t="str">
        <v>Ryu</v>
      </c>
      <c r="B1662" t="str">
        <v>Underlord</v>
      </c>
      <c r="C1662" t="str" cm="1">
        <f t="array" ref="C1662">_xlfn.XLOOKUP(1,([3]!players[name]=A1662)*([3]!players[hero_name]=B1662),[3]!players[lane_name])</f>
        <v>Off Lane</v>
      </c>
      <c r="D1662">
        <f>COUNTIFS([3]!players[name],A1662,[3]!players[hero_name],B1662)</f>
        <v>3</v>
      </c>
      <c r="E1662">
        <f>COUNTIFS([3]!players[name],A1662,[3]!players[hero_name],B1662, [3]!players[win], 1)</f>
        <v>1</v>
      </c>
      <c r="F1662" s="1">
        <f t="shared" si="25"/>
        <v>0.33333333333333331</v>
      </c>
      <c r="G1662" s="2">
        <f>AVERAGEIFS([3]!players[gold_per_min], [3]!players[name],A1662,[3]!players[hero_name],B1662)</f>
        <v>479</v>
      </c>
      <c r="H1662" s="2">
        <f>AVERAGEIFS([3]!players[xp_per_min], [3]!players[name],A1662,[3]!players[hero_name],B1662)</f>
        <v>631</v>
      </c>
    </row>
    <row r="1663" spans="1:8" x14ac:dyDescent="0.3">
      <c r="A1663" t="str">
        <v>Ryu</v>
      </c>
      <c r="B1663" t="str">
        <v>Dark Seer</v>
      </c>
      <c r="C1663" t="str" cm="1">
        <f t="array" ref="C1663">_xlfn.XLOOKUP(1,([3]!players[name]=A1663)*([3]!players[hero_name]=B1663),[3]!players[lane_name])</f>
        <v>Off Lane</v>
      </c>
      <c r="D1663">
        <f>COUNTIFS([3]!players[name],A1663,[3]!players[hero_name],B1663)</f>
        <v>1</v>
      </c>
      <c r="E1663">
        <f>COUNTIFS([3]!players[name],A1663,[3]!players[hero_name],B1663, [3]!players[win], 1)</f>
        <v>0</v>
      </c>
      <c r="F1663" s="1">
        <f t="shared" si="25"/>
        <v>0</v>
      </c>
      <c r="G1663" s="2">
        <f>AVERAGEIFS([3]!players[gold_per_min], [3]!players[name],A1663,[3]!players[hero_name],B1663)</f>
        <v>427</v>
      </c>
      <c r="H1663" s="2">
        <f>AVERAGEIFS([3]!players[xp_per_min], [3]!players[name],A1663,[3]!players[hero_name],B1663)</f>
        <v>463</v>
      </c>
    </row>
    <row r="1664" spans="1:8" x14ac:dyDescent="0.3">
      <c r="A1664" t="str">
        <v>Ryu</v>
      </c>
      <c r="B1664" t="str">
        <v>Centaur Warrunner</v>
      </c>
      <c r="C1664" t="str" cm="1">
        <f t="array" ref="C1664">_xlfn.XLOOKUP(1,([3]!players[name]=A1664)*([3]!players[hero_name]=B1664),[3]!players[lane_name])</f>
        <v>Off Lane</v>
      </c>
      <c r="D1664">
        <f>COUNTIFS([3]!players[name],A1664,[3]!players[hero_name],B1664)</f>
        <v>1</v>
      </c>
      <c r="E1664">
        <f>COUNTIFS([3]!players[name],A1664,[3]!players[hero_name],B1664, [3]!players[win], 1)</f>
        <v>0</v>
      </c>
      <c r="F1664" s="1">
        <f t="shared" si="25"/>
        <v>0</v>
      </c>
      <c r="G1664" s="2">
        <f>AVERAGEIFS([3]!players[gold_per_min], [3]!players[name],A1664,[3]!players[hero_name],B1664)</f>
        <v>400</v>
      </c>
      <c r="H1664" s="2">
        <f>AVERAGEIFS([3]!players[xp_per_min], [3]!players[name],A1664,[3]!players[hero_name],B1664)</f>
        <v>602</v>
      </c>
    </row>
    <row r="1665" spans="1:8" x14ac:dyDescent="0.3">
      <c r="A1665" t="str">
        <v>Ryu</v>
      </c>
      <c r="B1665" t="str">
        <v>Brewmaster</v>
      </c>
      <c r="C1665" t="str" cm="1">
        <f t="array" ref="C1665">_xlfn.XLOOKUP(1,([3]!players[name]=A1665)*([3]!players[hero_name]=B1665),[3]!players[lane_name])</f>
        <v>Off Lane</v>
      </c>
      <c r="D1665">
        <f>COUNTIFS([3]!players[name],A1665,[3]!players[hero_name],B1665)</f>
        <v>2</v>
      </c>
      <c r="E1665">
        <f>COUNTIFS([3]!players[name],A1665,[3]!players[hero_name],B1665, [3]!players[win], 1)</f>
        <v>0</v>
      </c>
      <c r="F1665" s="1">
        <f t="shared" si="25"/>
        <v>0</v>
      </c>
      <c r="G1665" s="2">
        <f>AVERAGEIFS([3]!players[gold_per_min], [3]!players[name],A1665,[3]!players[hero_name],B1665)</f>
        <v>430</v>
      </c>
      <c r="H1665" s="2">
        <f>AVERAGEIFS([3]!players[xp_per_min], [3]!players[name],A1665,[3]!players[hero_name],B1665)</f>
        <v>577.5</v>
      </c>
    </row>
    <row r="1666" spans="1:8" x14ac:dyDescent="0.3">
      <c r="A1666" t="str">
        <v>Saberlight</v>
      </c>
      <c r="B1666" t="str">
        <v>Mars</v>
      </c>
      <c r="C1666" t="str" cm="1">
        <f t="array" ref="C1666">_xlfn.XLOOKUP(1,([3]!players[name]=A1666)*([3]!players[hero_name]=B1666),[3]!players[lane_name])</f>
        <v>Off Lane</v>
      </c>
      <c r="D1666">
        <f>COUNTIFS([3]!players[name],A1666,[3]!players[hero_name],B1666)</f>
        <v>1</v>
      </c>
      <c r="E1666">
        <f>COUNTIFS([3]!players[name],A1666,[3]!players[hero_name],B1666, [3]!players[win], 1)</f>
        <v>0</v>
      </c>
      <c r="F1666" s="1">
        <f t="shared" si="25"/>
        <v>0</v>
      </c>
      <c r="G1666" s="2">
        <f>AVERAGEIFS([3]!players[gold_per_min], [3]!players[name],A1666,[3]!players[hero_name],B1666)</f>
        <v>420</v>
      </c>
      <c r="H1666" s="2">
        <f>AVERAGEIFS([3]!players[xp_per_min], [3]!players[name],A1666,[3]!players[hero_name],B1666)</f>
        <v>530</v>
      </c>
    </row>
    <row r="1667" spans="1:8" x14ac:dyDescent="0.3">
      <c r="A1667" t="str">
        <v>Saberlight</v>
      </c>
      <c r="B1667" t="str">
        <v>Primal Beast</v>
      </c>
      <c r="C1667" t="str" cm="1">
        <f t="array" ref="C1667">_xlfn.XLOOKUP(1,([3]!players[name]=A1667)*([3]!players[hero_name]=B1667),[3]!players[lane_name])</f>
        <v>Off Lane</v>
      </c>
      <c r="D1667">
        <f>COUNTIFS([3]!players[name],A1667,[3]!players[hero_name],B1667)</f>
        <v>7</v>
      </c>
      <c r="E1667">
        <f>COUNTIFS([3]!players[name],A1667,[3]!players[hero_name],B1667, [3]!players[win], 1)</f>
        <v>3</v>
      </c>
      <c r="F1667" s="1">
        <f t="shared" ref="F1667:F1730" si="26">E1667/D1667</f>
        <v>0.42857142857142855</v>
      </c>
      <c r="G1667" s="2">
        <f>AVERAGEIFS([3]!players[gold_per_min], [3]!players[name],A1667,[3]!players[hero_name],B1667)</f>
        <v>516.42857142857144</v>
      </c>
      <c r="H1667" s="2">
        <f>AVERAGEIFS([3]!players[xp_per_min], [3]!players[name],A1667,[3]!players[hero_name],B1667)</f>
        <v>677.42857142857144</v>
      </c>
    </row>
    <row r="1668" spans="1:8" x14ac:dyDescent="0.3">
      <c r="A1668" t="str">
        <v>Saberlight</v>
      </c>
      <c r="B1668" t="str">
        <v>Brewmaster</v>
      </c>
      <c r="C1668" t="str" cm="1">
        <f t="array" ref="C1668">_xlfn.XLOOKUP(1,([3]!players[name]=A1668)*([3]!players[hero_name]=B1668),[3]!players[lane_name])</f>
        <v>Off Lane</v>
      </c>
      <c r="D1668">
        <f>COUNTIFS([3]!players[name],A1668,[3]!players[hero_name],B1668)</f>
        <v>3</v>
      </c>
      <c r="E1668">
        <f>COUNTIFS([3]!players[name],A1668,[3]!players[hero_name],B1668, [3]!players[win], 1)</f>
        <v>3</v>
      </c>
      <c r="F1668" s="1">
        <f t="shared" si="26"/>
        <v>1</v>
      </c>
      <c r="G1668" s="2">
        <f>AVERAGEIFS([3]!players[gold_per_min], [3]!players[name],A1668,[3]!players[hero_name],B1668)</f>
        <v>551</v>
      </c>
      <c r="H1668" s="2">
        <f>AVERAGEIFS([3]!players[xp_per_min], [3]!players[name],A1668,[3]!players[hero_name],B1668)</f>
        <v>712.66666666666663</v>
      </c>
    </row>
    <row r="1669" spans="1:8" x14ac:dyDescent="0.3">
      <c r="A1669" t="str">
        <v>Saberlight</v>
      </c>
      <c r="B1669" t="str">
        <v>Tidehunter</v>
      </c>
      <c r="C1669" t="str" cm="1">
        <f t="array" ref="C1669">_xlfn.XLOOKUP(1,([3]!players[name]=A1669)*([3]!players[hero_name]=B1669),[3]!players[lane_name])</f>
        <v>Off Lane</v>
      </c>
      <c r="D1669">
        <f>COUNTIFS([3]!players[name],A1669,[3]!players[hero_name],B1669)</f>
        <v>2</v>
      </c>
      <c r="E1669">
        <f>COUNTIFS([3]!players[name],A1669,[3]!players[hero_name],B1669, [3]!players[win], 1)</f>
        <v>0</v>
      </c>
      <c r="F1669" s="1">
        <f t="shared" si="26"/>
        <v>0</v>
      </c>
      <c r="G1669" s="2">
        <f>AVERAGEIFS([3]!players[gold_per_min], [3]!players[name],A1669,[3]!players[hero_name],B1669)</f>
        <v>486</v>
      </c>
      <c r="H1669" s="2">
        <f>AVERAGEIFS([3]!players[xp_per_min], [3]!players[name],A1669,[3]!players[hero_name],B1669)</f>
        <v>585</v>
      </c>
    </row>
    <row r="1670" spans="1:8" x14ac:dyDescent="0.3">
      <c r="A1670" t="str">
        <v>Saberlight</v>
      </c>
      <c r="B1670" t="str">
        <v>Pangolier</v>
      </c>
      <c r="C1670" t="str" cm="1">
        <f t="array" ref="C1670">_xlfn.XLOOKUP(1,([3]!players[name]=A1670)*([3]!players[hero_name]=B1670),[3]!players[lane_name])</f>
        <v>Off Lane</v>
      </c>
      <c r="D1670">
        <f>COUNTIFS([3]!players[name],A1670,[3]!players[hero_name],B1670)</f>
        <v>2</v>
      </c>
      <c r="E1670">
        <f>COUNTIFS([3]!players[name],A1670,[3]!players[hero_name],B1670, [3]!players[win], 1)</f>
        <v>1</v>
      </c>
      <c r="F1670" s="1">
        <f t="shared" si="26"/>
        <v>0.5</v>
      </c>
      <c r="G1670" s="2">
        <f>AVERAGEIFS([3]!players[gold_per_min], [3]!players[name],A1670,[3]!players[hero_name],B1670)</f>
        <v>584.5</v>
      </c>
      <c r="H1670" s="2">
        <f>AVERAGEIFS([3]!players[xp_per_min], [3]!players[name],A1670,[3]!players[hero_name],B1670)</f>
        <v>726</v>
      </c>
    </row>
    <row r="1671" spans="1:8" x14ac:dyDescent="0.3">
      <c r="A1671" t="str">
        <v>Saberlight</v>
      </c>
      <c r="B1671" t="str">
        <v>Lycan</v>
      </c>
      <c r="C1671" t="str" cm="1">
        <f t="array" ref="C1671">_xlfn.XLOOKUP(1,([3]!players[name]=A1671)*([3]!players[hero_name]=B1671),[3]!players[lane_name])</f>
        <v>Off Lane</v>
      </c>
      <c r="D1671">
        <f>COUNTIFS([3]!players[name],A1671,[3]!players[hero_name],B1671)</f>
        <v>1</v>
      </c>
      <c r="E1671">
        <f>COUNTIFS([3]!players[name],A1671,[3]!players[hero_name],B1671, [3]!players[win], 1)</f>
        <v>0</v>
      </c>
      <c r="F1671" s="1">
        <f t="shared" si="26"/>
        <v>0</v>
      </c>
      <c r="G1671" s="2">
        <f>AVERAGEIFS([3]!players[gold_per_min], [3]!players[name],A1671,[3]!players[hero_name],B1671)</f>
        <v>461</v>
      </c>
      <c r="H1671" s="2">
        <f>AVERAGEIFS([3]!players[xp_per_min], [3]!players[name],A1671,[3]!players[hero_name],B1671)</f>
        <v>394</v>
      </c>
    </row>
    <row r="1672" spans="1:8" x14ac:dyDescent="0.3">
      <c r="A1672" t="str">
        <v>Saberlight</v>
      </c>
      <c r="B1672" t="str">
        <v>Slardar</v>
      </c>
      <c r="C1672" t="str" cm="1">
        <f t="array" ref="C1672">_xlfn.XLOOKUP(1,([3]!players[name]=A1672)*([3]!players[hero_name]=B1672),[3]!players[lane_name])</f>
        <v>Off Lane</v>
      </c>
      <c r="D1672">
        <f>COUNTIFS([3]!players[name],A1672,[3]!players[hero_name],B1672)</f>
        <v>4</v>
      </c>
      <c r="E1672">
        <f>COUNTIFS([3]!players[name],A1672,[3]!players[hero_name],B1672, [3]!players[win], 1)</f>
        <v>1</v>
      </c>
      <c r="F1672" s="1">
        <f t="shared" si="26"/>
        <v>0.25</v>
      </c>
      <c r="G1672" s="2">
        <f>AVERAGEIFS([3]!players[gold_per_min], [3]!players[name],A1672,[3]!players[hero_name],B1672)</f>
        <v>524</v>
      </c>
      <c r="H1672" s="2">
        <f>AVERAGEIFS([3]!players[xp_per_min], [3]!players[name],A1672,[3]!players[hero_name],B1672)</f>
        <v>729.5</v>
      </c>
    </row>
    <row r="1673" spans="1:8" x14ac:dyDescent="0.3">
      <c r="A1673" t="str">
        <v>Saberlight</v>
      </c>
      <c r="B1673" t="str">
        <v>Batrider</v>
      </c>
      <c r="C1673" t="str" cm="1">
        <f t="array" ref="C1673">_xlfn.XLOOKUP(1,([3]!players[name]=A1673)*([3]!players[hero_name]=B1673),[3]!players[lane_name])</f>
        <v>Off Lane</v>
      </c>
      <c r="D1673">
        <f>COUNTIFS([3]!players[name],A1673,[3]!players[hero_name],B1673)</f>
        <v>1</v>
      </c>
      <c r="E1673">
        <f>COUNTIFS([3]!players[name],A1673,[3]!players[hero_name],B1673, [3]!players[win], 1)</f>
        <v>0</v>
      </c>
      <c r="F1673" s="1">
        <f t="shared" si="26"/>
        <v>0</v>
      </c>
      <c r="G1673" s="2">
        <f>AVERAGEIFS([3]!players[gold_per_min], [3]!players[name],A1673,[3]!players[hero_name],B1673)</f>
        <v>509</v>
      </c>
      <c r="H1673" s="2">
        <f>AVERAGEIFS([3]!players[xp_per_min], [3]!players[name],A1673,[3]!players[hero_name],B1673)</f>
        <v>589</v>
      </c>
    </row>
    <row r="1674" spans="1:8" x14ac:dyDescent="0.3">
      <c r="A1674" t="str">
        <v>Saberlight</v>
      </c>
      <c r="B1674" t="str">
        <v>Dawnbreaker</v>
      </c>
      <c r="C1674" t="str" cm="1">
        <f t="array" ref="C1674">_xlfn.XLOOKUP(1,([3]!players[name]=A1674)*([3]!players[hero_name]=B1674),[3]!players[lane_name])</f>
        <v>Off Lane</v>
      </c>
      <c r="D1674">
        <f>COUNTIFS([3]!players[name],A1674,[3]!players[hero_name],B1674)</f>
        <v>3</v>
      </c>
      <c r="E1674">
        <f>COUNTIFS([3]!players[name],A1674,[3]!players[hero_name],B1674, [3]!players[win], 1)</f>
        <v>3</v>
      </c>
      <c r="F1674" s="1">
        <f t="shared" si="26"/>
        <v>1</v>
      </c>
      <c r="G1674" s="2">
        <f>AVERAGEIFS([3]!players[gold_per_min], [3]!players[name],A1674,[3]!players[hero_name],B1674)</f>
        <v>654.33333333333337</v>
      </c>
      <c r="H1674" s="2">
        <f>AVERAGEIFS([3]!players[xp_per_min], [3]!players[name],A1674,[3]!players[hero_name],B1674)</f>
        <v>915.33333333333337</v>
      </c>
    </row>
    <row r="1675" spans="1:8" x14ac:dyDescent="0.3">
      <c r="A1675" t="str">
        <v>Saberlight</v>
      </c>
      <c r="B1675" t="str">
        <v>Night Stalker</v>
      </c>
      <c r="C1675" t="str" cm="1">
        <f t="array" ref="C1675">_xlfn.XLOOKUP(1,([3]!players[name]=A1675)*([3]!players[hero_name]=B1675),[3]!players[lane_name])</f>
        <v>Off Lane</v>
      </c>
      <c r="D1675">
        <f>COUNTIFS([3]!players[name],A1675,[3]!players[hero_name],B1675)</f>
        <v>1</v>
      </c>
      <c r="E1675">
        <f>COUNTIFS([3]!players[name],A1675,[3]!players[hero_name],B1675, [3]!players[win], 1)</f>
        <v>0</v>
      </c>
      <c r="F1675" s="1">
        <f t="shared" si="26"/>
        <v>0</v>
      </c>
      <c r="G1675" s="2">
        <f>AVERAGEIFS([3]!players[gold_per_min], [3]!players[name],A1675,[3]!players[hero_name],B1675)</f>
        <v>442</v>
      </c>
      <c r="H1675" s="2">
        <f>AVERAGEIFS([3]!players[xp_per_min], [3]!players[name],A1675,[3]!players[hero_name],B1675)</f>
        <v>535</v>
      </c>
    </row>
    <row r="1676" spans="1:8" x14ac:dyDescent="0.3">
      <c r="A1676" t="str">
        <v>Saberlight</v>
      </c>
      <c r="B1676" t="str">
        <v>Enigma</v>
      </c>
      <c r="C1676" t="str" cm="1">
        <f t="array" ref="C1676">_xlfn.XLOOKUP(1,([3]!players[name]=A1676)*([3]!players[hero_name]=B1676),[3]!players[lane_name])</f>
        <v>Off Lane</v>
      </c>
      <c r="D1676">
        <f>COUNTIFS([3]!players[name],A1676,[3]!players[hero_name],B1676)</f>
        <v>1</v>
      </c>
      <c r="E1676">
        <f>COUNTIFS([3]!players[name],A1676,[3]!players[hero_name],B1676, [3]!players[win], 1)</f>
        <v>1</v>
      </c>
      <c r="F1676" s="1">
        <f t="shared" si="26"/>
        <v>1</v>
      </c>
      <c r="G1676" s="2">
        <f>AVERAGEIFS([3]!players[gold_per_min], [3]!players[name],A1676,[3]!players[hero_name],B1676)</f>
        <v>513</v>
      </c>
      <c r="H1676" s="2">
        <f>AVERAGEIFS([3]!players[xp_per_min], [3]!players[name],A1676,[3]!players[hero_name],B1676)</f>
        <v>522</v>
      </c>
    </row>
    <row r="1677" spans="1:8" x14ac:dyDescent="0.3">
      <c r="A1677" t="str">
        <v>Saberlight</v>
      </c>
      <c r="B1677" t="str">
        <v>Underlord</v>
      </c>
      <c r="C1677" t="str" cm="1">
        <f t="array" ref="C1677">_xlfn.XLOOKUP(1,([3]!players[name]=A1677)*([3]!players[hero_name]=B1677),[3]!players[lane_name])</f>
        <v>Off Lane</v>
      </c>
      <c r="D1677">
        <f>COUNTIFS([3]!players[name],A1677,[3]!players[hero_name],B1677)</f>
        <v>1</v>
      </c>
      <c r="E1677">
        <f>COUNTIFS([3]!players[name],A1677,[3]!players[hero_name],B1677, [3]!players[win], 1)</f>
        <v>0</v>
      </c>
      <c r="F1677" s="1">
        <f t="shared" si="26"/>
        <v>0</v>
      </c>
      <c r="G1677" s="2">
        <f>AVERAGEIFS([3]!players[gold_per_min], [3]!players[name],A1677,[3]!players[hero_name],B1677)</f>
        <v>406</v>
      </c>
      <c r="H1677" s="2">
        <f>AVERAGEIFS([3]!players[xp_per_min], [3]!players[name],A1677,[3]!players[hero_name],B1677)</f>
        <v>449</v>
      </c>
    </row>
    <row r="1678" spans="1:8" x14ac:dyDescent="0.3">
      <c r="A1678" t="str">
        <v>Satanic</v>
      </c>
      <c r="B1678" t="str">
        <v>Weaver</v>
      </c>
      <c r="C1678" t="str" cm="1">
        <f t="array" ref="C1678">_xlfn.XLOOKUP(1,([3]!players[name]=A1678)*([3]!players[hero_name]=B1678),[3]!players[lane_name])</f>
        <v>Carry</v>
      </c>
      <c r="D1678">
        <f>COUNTIFS([3]!players[name],A1678,[3]!players[hero_name],B1678)</f>
        <v>1</v>
      </c>
      <c r="E1678">
        <f>COUNTIFS([3]!players[name],A1678,[3]!players[hero_name],B1678, [3]!players[win], 1)</f>
        <v>1</v>
      </c>
      <c r="F1678" s="1">
        <f t="shared" si="26"/>
        <v>1</v>
      </c>
      <c r="G1678" s="2">
        <f>AVERAGEIFS([3]!players[gold_per_min], [3]!players[name],A1678,[3]!players[hero_name],B1678)</f>
        <v>842</v>
      </c>
      <c r="H1678" s="2">
        <f>AVERAGEIFS([3]!players[xp_per_min], [3]!players[name],A1678,[3]!players[hero_name],B1678)</f>
        <v>967</v>
      </c>
    </row>
    <row r="1679" spans="1:8" x14ac:dyDescent="0.3">
      <c r="A1679" t="str">
        <v>Satanic</v>
      </c>
      <c r="B1679" t="str">
        <v>Luna</v>
      </c>
      <c r="C1679" t="str" cm="1">
        <f t="array" ref="C1679">_xlfn.XLOOKUP(1,([3]!players[name]=A1679)*([3]!players[hero_name]=B1679),[3]!players[lane_name])</f>
        <v>Carry</v>
      </c>
      <c r="D1679">
        <f>COUNTIFS([3]!players[name],A1679,[3]!players[hero_name],B1679)</f>
        <v>1</v>
      </c>
      <c r="E1679">
        <f>COUNTIFS([3]!players[name],A1679,[3]!players[hero_name],B1679, [3]!players[win], 1)</f>
        <v>1</v>
      </c>
      <c r="F1679" s="1">
        <f t="shared" si="26"/>
        <v>1</v>
      </c>
      <c r="G1679" s="2">
        <f>AVERAGEIFS([3]!players[gold_per_min], [3]!players[name],A1679,[3]!players[hero_name],B1679)</f>
        <v>841</v>
      </c>
      <c r="H1679" s="2">
        <f>AVERAGEIFS([3]!players[xp_per_min], [3]!players[name],A1679,[3]!players[hero_name],B1679)</f>
        <v>1089</v>
      </c>
    </row>
    <row r="1680" spans="1:8" x14ac:dyDescent="0.3">
      <c r="A1680" t="str">
        <v>Satanic</v>
      </c>
      <c r="B1680" t="str">
        <v>Meepo</v>
      </c>
      <c r="C1680" t="str" cm="1">
        <f t="array" ref="C1680">_xlfn.XLOOKUP(1,([3]!players[name]=A1680)*([3]!players[hero_name]=B1680),[3]!players[lane_name])</f>
        <v>Carry</v>
      </c>
      <c r="D1680">
        <f>COUNTIFS([3]!players[name],A1680,[3]!players[hero_name],B1680)</f>
        <v>5</v>
      </c>
      <c r="E1680">
        <f>COUNTIFS([3]!players[name],A1680,[3]!players[hero_name],B1680, [3]!players[win], 1)</f>
        <v>4</v>
      </c>
      <c r="F1680" s="1">
        <f t="shared" si="26"/>
        <v>0.8</v>
      </c>
      <c r="G1680" s="2">
        <f>AVERAGEIFS([3]!players[gold_per_min], [3]!players[name],A1680,[3]!players[hero_name],B1680)</f>
        <v>748</v>
      </c>
      <c r="H1680" s="2">
        <f>AVERAGEIFS([3]!players[xp_per_min], [3]!players[name],A1680,[3]!players[hero_name],B1680)</f>
        <v>713</v>
      </c>
    </row>
    <row r="1681" spans="1:8" x14ac:dyDescent="0.3">
      <c r="A1681" t="str">
        <v>Satanic</v>
      </c>
      <c r="B1681" t="str">
        <v>Monkey King</v>
      </c>
      <c r="C1681" t="str" cm="1">
        <f t="array" ref="C1681">_xlfn.XLOOKUP(1,([3]!players[name]=A1681)*([3]!players[hero_name]=B1681),[3]!players[lane_name])</f>
        <v>Carry</v>
      </c>
      <c r="D1681">
        <f>COUNTIFS([3]!players[name],A1681,[3]!players[hero_name],B1681)</f>
        <v>4</v>
      </c>
      <c r="E1681">
        <f>COUNTIFS([3]!players[name],A1681,[3]!players[hero_name],B1681, [3]!players[win], 1)</f>
        <v>3</v>
      </c>
      <c r="F1681" s="1">
        <f t="shared" si="26"/>
        <v>0.75</v>
      </c>
      <c r="G1681" s="2">
        <f>AVERAGEIFS([3]!players[gold_per_min], [3]!players[name],A1681,[3]!players[hero_name],B1681)</f>
        <v>719.5</v>
      </c>
      <c r="H1681" s="2">
        <f>AVERAGEIFS([3]!players[xp_per_min], [3]!players[name],A1681,[3]!players[hero_name],B1681)</f>
        <v>925</v>
      </c>
    </row>
    <row r="1682" spans="1:8" x14ac:dyDescent="0.3">
      <c r="A1682" t="str">
        <v>Satanic</v>
      </c>
      <c r="B1682" t="str">
        <v>Muerta</v>
      </c>
      <c r="C1682" t="str" cm="1">
        <f t="array" ref="C1682">_xlfn.XLOOKUP(1,([3]!players[name]=A1682)*([3]!players[hero_name]=B1682),[3]!players[lane_name])</f>
        <v>Carry</v>
      </c>
      <c r="D1682">
        <f>COUNTIFS([3]!players[name],A1682,[3]!players[hero_name],B1682)</f>
        <v>2</v>
      </c>
      <c r="E1682">
        <f>COUNTIFS([3]!players[name],A1682,[3]!players[hero_name],B1682, [3]!players[win], 1)</f>
        <v>2</v>
      </c>
      <c r="F1682" s="1">
        <f t="shared" si="26"/>
        <v>1</v>
      </c>
      <c r="G1682" s="2">
        <f>AVERAGEIFS([3]!players[gold_per_min], [3]!players[name],A1682,[3]!players[hero_name],B1682)</f>
        <v>827</v>
      </c>
      <c r="H1682" s="2">
        <f>AVERAGEIFS([3]!players[xp_per_min], [3]!players[name],A1682,[3]!players[hero_name],B1682)</f>
        <v>1010</v>
      </c>
    </row>
    <row r="1683" spans="1:8" x14ac:dyDescent="0.3">
      <c r="A1683" t="str">
        <v>Satanic</v>
      </c>
      <c r="B1683" t="str">
        <v>Faceless Void</v>
      </c>
      <c r="C1683" t="str" cm="1">
        <f t="array" ref="C1683">_xlfn.XLOOKUP(1,([3]!players[name]=A1683)*([3]!players[hero_name]=B1683),[3]!players[lane_name])</f>
        <v>Carry</v>
      </c>
      <c r="D1683">
        <f>COUNTIFS([3]!players[name],A1683,[3]!players[hero_name],B1683)</f>
        <v>1</v>
      </c>
      <c r="E1683">
        <f>COUNTIFS([3]!players[name],A1683,[3]!players[hero_name],B1683, [3]!players[win], 1)</f>
        <v>1</v>
      </c>
      <c r="F1683" s="1">
        <f t="shared" si="26"/>
        <v>1</v>
      </c>
      <c r="G1683" s="2">
        <f>AVERAGEIFS([3]!players[gold_per_min], [3]!players[name],A1683,[3]!players[hero_name],B1683)</f>
        <v>701</v>
      </c>
      <c r="H1683" s="2">
        <f>AVERAGEIFS([3]!players[xp_per_min], [3]!players[name],A1683,[3]!players[hero_name],B1683)</f>
        <v>973</v>
      </c>
    </row>
    <row r="1684" spans="1:8" x14ac:dyDescent="0.3">
      <c r="A1684" t="str">
        <v>Satanic</v>
      </c>
      <c r="B1684" t="str">
        <v>Phantom Lancer</v>
      </c>
      <c r="C1684" t="str" cm="1">
        <f t="array" ref="C1684">_xlfn.XLOOKUP(1,([3]!players[name]=A1684)*([3]!players[hero_name]=B1684),[3]!players[lane_name])</f>
        <v>Carry</v>
      </c>
      <c r="D1684">
        <f>COUNTIFS([3]!players[name],A1684,[3]!players[hero_name],B1684)</f>
        <v>4</v>
      </c>
      <c r="E1684">
        <f>COUNTIFS([3]!players[name],A1684,[3]!players[hero_name],B1684, [3]!players[win], 1)</f>
        <v>3</v>
      </c>
      <c r="F1684" s="1">
        <f t="shared" si="26"/>
        <v>0.75</v>
      </c>
      <c r="G1684" s="2">
        <f>AVERAGEIFS([3]!players[gold_per_min], [3]!players[name],A1684,[3]!players[hero_name],B1684)</f>
        <v>789.5</v>
      </c>
      <c r="H1684" s="2">
        <f>AVERAGEIFS([3]!players[xp_per_min], [3]!players[name],A1684,[3]!players[hero_name],B1684)</f>
        <v>890.25</v>
      </c>
    </row>
    <row r="1685" spans="1:8" x14ac:dyDescent="0.3">
      <c r="A1685" t="str">
        <v>Satanic</v>
      </c>
      <c r="B1685" t="str">
        <v>Gyrocopter</v>
      </c>
      <c r="C1685" t="str" cm="1">
        <f t="array" ref="C1685">_xlfn.XLOOKUP(1,([3]!players[name]=A1685)*([3]!players[hero_name]=B1685),[3]!players[lane_name])</f>
        <v>Carry</v>
      </c>
      <c r="D1685">
        <f>COUNTIFS([3]!players[name],A1685,[3]!players[hero_name],B1685)</f>
        <v>1</v>
      </c>
      <c r="E1685">
        <f>COUNTIFS([3]!players[name],A1685,[3]!players[hero_name],B1685, [3]!players[win], 1)</f>
        <v>1</v>
      </c>
      <c r="F1685" s="1">
        <f t="shared" si="26"/>
        <v>1</v>
      </c>
      <c r="G1685" s="2">
        <f>AVERAGEIFS([3]!players[gold_per_min], [3]!players[name],A1685,[3]!players[hero_name],B1685)</f>
        <v>832</v>
      </c>
      <c r="H1685" s="2">
        <f>AVERAGEIFS([3]!players[xp_per_min], [3]!players[name],A1685,[3]!players[hero_name],B1685)</f>
        <v>1065</v>
      </c>
    </row>
    <row r="1686" spans="1:8" x14ac:dyDescent="0.3">
      <c r="A1686" t="str">
        <v>Satanic</v>
      </c>
      <c r="B1686" t="str">
        <v>Kez</v>
      </c>
      <c r="C1686" t="str" cm="1">
        <f t="array" ref="C1686">_xlfn.XLOOKUP(1,([3]!players[name]=A1686)*([3]!players[hero_name]=B1686),[3]!players[lane_name])</f>
        <v>Carry</v>
      </c>
      <c r="D1686">
        <f>COUNTIFS([3]!players[name],A1686,[3]!players[hero_name],B1686)</f>
        <v>7</v>
      </c>
      <c r="E1686">
        <f>COUNTIFS([3]!players[name],A1686,[3]!players[hero_name],B1686, [3]!players[win], 1)</f>
        <v>6</v>
      </c>
      <c r="F1686" s="1">
        <f t="shared" si="26"/>
        <v>0.8571428571428571</v>
      </c>
      <c r="G1686" s="2">
        <f>AVERAGEIFS([3]!players[gold_per_min], [3]!players[name],A1686,[3]!players[hero_name],B1686)</f>
        <v>782.28571428571433</v>
      </c>
      <c r="H1686" s="2">
        <f>AVERAGEIFS([3]!players[xp_per_min], [3]!players[name],A1686,[3]!players[hero_name],B1686)</f>
        <v>938.85714285714289</v>
      </c>
    </row>
    <row r="1687" spans="1:8" x14ac:dyDescent="0.3">
      <c r="A1687" t="str">
        <v>Satanic</v>
      </c>
      <c r="B1687" t="str">
        <v>Terrorblade</v>
      </c>
      <c r="C1687" t="str" cm="1">
        <f t="array" ref="C1687">_xlfn.XLOOKUP(1,([3]!players[name]=A1687)*([3]!players[hero_name]=B1687),[3]!players[lane_name])</f>
        <v>Carry</v>
      </c>
      <c r="D1687">
        <f>COUNTIFS([3]!players[name],A1687,[3]!players[hero_name],B1687)</f>
        <v>3</v>
      </c>
      <c r="E1687">
        <f>COUNTIFS([3]!players[name],A1687,[3]!players[hero_name],B1687, [3]!players[win], 1)</f>
        <v>1</v>
      </c>
      <c r="F1687" s="1">
        <f t="shared" si="26"/>
        <v>0.33333333333333331</v>
      </c>
      <c r="G1687" s="2">
        <f>AVERAGEIFS([3]!players[gold_per_min], [3]!players[name],A1687,[3]!players[hero_name],B1687)</f>
        <v>851</v>
      </c>
      <c r="H1687" s="2">
        <f>AVERAGEIFS([3]!players[xp_per_min], [3]!players[name],A1687,[3]!players[hero_name],B1687)</f>
        <v>644.66666666666663</v>
      </c>
    </row>
    <row r="1688" spans="1:8" x14ac:dyDescent="0.3">
      <c r="A1688" t="str">
        <v>Satanic</v>
      </c>
      <c r="B1688" t="str">
        <v>Medusa</v>
      </c>
      <c r="C1688" t="str" cm="1">
        <f t="array" ref="C1688">_xlfn.XLOOKUP(1,([3]!players[name]=A1688)*([3]!players[hero_name]=B1688),[3]!players[lane_name])</f>
        <v>Carry</v>
      </c>
      <c r="D1688">
        <f>COUNTIFS([3]!players[name],A1688,[3]!players[hero_name],B1688)</f>
        <v>1</v>
      </c>
      <c r="E1688">
        <f>COUNTIFS([3]!players[name],A1688,[3]!players[hero_name],B1688, [3]!players[win], 1)</f>
        <v>0</v>
      </c>
      <c r="F1688" s="1">
        <f t="shared" si="26"/>
        <v>0</v>
      </c>
      <c r="G1688" s="2">
        <f>AVERAGEIFS([3]!players[gold_per_min], [3]!players[name],A1688,[3]!players[hero_name],B1688)</f>
        <v>888</v>
      </c>
      <c r="H1688" s="2">
        <f>AVERAGEIFS([3]!players[xp_per_min], [3]!players[name],A1688,[3]!players[hero_name],B1688)</f>
        <v>835</v>
      </c>
    </row>
    <row r="1689" spans="1:8" x14ac:dyDescent="0.3">
      <c r="A1689" t="str">
        <v>Satanic</v>
      </c>
      <c r="B1689" t="str">
        <v>Lone Druid</v>
      </c>
      <c r="C1689" t="str" cm="1">
        <f t="array" ref="C1689">_xlfn.XLOOKUP(1,([3]!players[name]=A1689)*([3]!players[hero_name]=B1689),[3]!players[lane_name])</f>
        <v>Carry</v>
      </c>
      <c r="D1689">
        <f>COUNTIFS([3]!players[name],A1689,[3]!players[hero_name],B1689)</f>
        <v>1</v>
      </c>
      <c r="E1689">
        <f>COUNTIFS([3]!players[name],A1689,[3]!players[hero_name],B1689, [3]!players[win], 1)</f>
        <v>0</v>
      </c>
      <c r="F1689" s="1">
        <f t="shared" si="26"/>
        <v>0</v>
      </c>
      <c r="G1689" s="2">
        <f>AVERAGEIFS([3]!players[gold_per_min], [3]!players[name],A1689,[3]!players[hero_name],B1689)</f>
        <v>600</v>
      </c>
      <c r="H1689" s="2">
        <f>AVERAGEIFS([3]!players[xp_per_min], [3]!players[name],A1689,[3]!players[hero_name],B1689)</f>
        <v>555</v>
      </c>
    </row>
    <row r="1690" spans="1:8" x14ac:dyDescent="0.3">
      <c r="A1690" t="str">
        <v>Save-</v>
      </c>
      <c r="B1690" t="str">
        <v>Keeper of the Light</v>
      </c>
      <c r="C1690" t="str" cm="1">
        <f t="array" ref="C1690">_xlfn.XLOOKUP(1,([3]!players[name]=A1690)*([3]!players[hero_name]=B1690),[3]!players[lane_name])</f>
        <v>Soft Support</v>
      </c>
      <c r="D1690">
        <f>COUNTIFS([3]!players[name],A1690,[3]!players[hero_name],B1690)</f>
        <v>1</v>
      </c>
      <c r="E1690">
        <f>COUNTIFS([3]!players[name],A1690,[3]!players[hero_name],B1690, [3]!players[win], 1)</f>
        <v>0</v>
      </c>
      <c r="F1690" s="1">
        <f t="shared" si="26"/>
        <v>0</v>
      </c>
      <c r="G1690" s="2">
        <f>AVERAGEIFS([3]!players[gold_per_min], [3]!players[name],A1690,[3]!players[hero_name],B1690)</f>
        <v>415</v>
      </c>
      <c r="H1690" s="2">
        <f>AVERAGEIFS([3]!players[xp_per_min], [3]!players[name],A1690,[3]!players[hero_name],B1690)</f>
        <v>730</v>
      </c>
    </row>
    <row r="1691" spans="1:8" x14ac:dyDescent="0.3">
      <c r="A1691" t="str">
        <v>Save-</v>
      </c>
      <c r="B1691" t="str">
        <v>Hoodwink</v>
      </c>
      <c r="C1691" t="str" cm="1">
        <f t="array" ref="C1691">_xlfn.XLOOKUP(1,([3]!players[name]=A1691)*([3]!players[hero_name]=B1691),[3]!players[lane_name])</f>
        <v>Soft Support</v>
      </c>
      <c r="D1691">
        <f>COUNTIFS([3]!players[name],A1691,[3]!players[hero_name],B1691)</f>
        <v>8</v>
      </c>
      <c r="E1691">
        <f>COUNTIFS([3]!players[name],A1691,[3]!players[hero_name],B1691, [3]!players[win], 1)</f>
        <v>6</v>
      </c>
      <c r="F1691" s="1">
        <f t="shared" si="26"/>
        <v>0.75</v>
      </c>
      <c r="G1691" s="2">
        <f>AVERAGEIFS([3]!players[gold_per_min], [3]!players[name],A1691,[3]!players[hero_name],B1691)</f>
        <v>364.25</v>
      </c>
      <c r="H1691" s="2">
        <f>AVERAGEIFS([3]!players[xp_per_min], [3]!players[name],A1691,[3]!players[hero_name],B1691)</f>
        <v>588.75</v>
      </c>
    </row>
    <row r="1692" spans="1:8" x14ac:dyDescent="0.3">
      <c r="A1692" t="str">
        <v>Save-</v>
      </c>
      <c r="B1692" t="str">
        <v>Rubick</v>
      </c>
      <c r="C1692" t="str" cm="1">
        <f t="array" ref="C1692">_xlfn.XLOOKUP(1,([3]!players[name]=A1692)*([3]!players[hero_name]=B1692),[3]!players[lane_name])</f>
        <v>Soft Support</v>
      </c>
      <c r="D1692">
        <f>COUNTIFS([3]!players[name],A1692,[3]!players[hero_name],B1692)</f>
        <v>8</v>
      </c>
      <c r="E1692">
        <f>COUNTIFS([3]!players[name],A1692,[3]!players[hero_name],B1692, [3]!players[win], 1)</f>
        <v>7</v>
      </c>
      <c r="F1692" s="1">
        <f t="shared" si="26"/>
        <v>0.875</v>
      </c>
      <c r="G1692" s="2">
        <f>AVERAGEIFS([3]!players[gold_per_min], [3]!players[name],A1692,[3]!players[hero_name],B1692)</f>
        <v>375.875</v>
      </c>
      <c r="H1692" s="2">
        <f>AVERAGEIFS([3]!players[xp_per_min], [3]!players[name],A1692,[3]!players[hero_name],B1692)</f>
        <v>507.125</v>
      </c>
    </row>
    <row r="1693" spans="1:8" x14ac:dyDescent="0.3">
      <c r="A1693" t="str">
        <v>Save-</v>
      </c>
      <c r="B1693" t="str">
        <v>Windranger</v>
      </c>
      <c r="C1693" t="str" cm="1">
        <f t="array" ref="C1693">_xlfn.XLOOKUP(1,([3]!players[name]=A1693)*([3]!players[hero_name]=B1693),[3]!players[lane_name])</f>
        <v>Roam</v>
      </c>
      <c r="D1693">
        <f>COUNTIFS([3]!players[name],A1693,[3]!players[hero_name],B1693)</f>
        <v>6</v>
      </c>
      <c r="E1693">
        <f>COUNTIFS([3]!players[name],A1693,[3]!players[hero_name],B1693, [3]!players[win], 1)</f>
        <v>6</v>
      </c>
      <c r="F1693" s="1">
        <f t="shared" si="26"/>
        <v>1</v>
      </c>
      <c r="G1693" s="2">
        <f>AVERAGEIFS([3]!players[gold_per_min], [3]!players[name],A1693,[3]!players[hero_name],B1693)</f>
        <v>374.66666666666669</v>
      </c>
      <c r="H1693" s="2">
        <f>AVERAGEIFS([3]!players[xp_per_min], [3]!players[name],A1693,[3]!players[hero_name],B1693)</f>
        <v>631.5</v>
      </c>
    </row>
    <row r="1694" spans="1:8" x14ac:dyDescent="0.3">
      <c r="A1694" t="str">
        <v>Save-</v>
      </c>
      <c r="B1694" t="str">
        <v>Mirana</v>
      </c>
      <c r="C1694" t="str" cm="1">
        <f t="array" ref="C1694">_xlfn.XLOOKUP(1,([3]!players[name]=A1694)*([3]!players[hero_name]=B1694),[3]!players[lane_name])</f>
        <v>Roam</v>
      </c>
      <c r="D1694">
        <f>COUNTIFS([3]!players[name],A1694,[3]!players[hero_name],B1694)</f>
        <v>1</v>
      </c>
      <c r="E1694">
        <f>COUNTIFS([3]!players[name],A1694,[3]!players[hero_name],B1694, [3]!players[win], 1)</f>
        <v>1</v>
      </c>
      <c r="F1694" s="1">
        <f t="shared" si="26"/>
        <v>1</v>
      </c>
      <c r="G1694" s="2">
        <f>AVERAGEIFS([3]!players[gold_per_min], [3]!players[name],A1694,[3]!players[hero_name],B1694)</f>
        <v>372</v>
      </c>
      <c r="H1694" s="2">
        <f>AVERAGEIFS([3]!players[xp_per_min], [3]!players[name],A1694,[3]!players[hero_name],B1694)</f>
        <v>532</v>
      </c>
    </row>
    <row r="1695" spans="1:8" x14ac:dyDescent="0.3">
      <c r="A1695" t="str">
        <v>Save-</v>
      </c>
      <c r="B1695" t="str">
        <v>Ringmaster</v>
      </c>
      <c r="C1695" t="str" cm="1">
        <f t="array" ref="C1695">_xlfn.XLOOKUP(1,([3]!players[name]=A1695)*([3]!players[hero_name]=B1695),[3]!players[lane_name])</f>
        <v>Hard Support</v>
      </c>
      <c r="D1695">
        <f>COUNTIFS([3]!players[name],A1695,[3]!players[hero_name],B1695)</f>
        <v>2</v>
      </c>
      <c r="E1695">
        <f>COUNTIFS([3]!players[name],A1695,[3]!players[hero_name],B1695, [3]!players[win], 1)</f>
        <v>2</v>
      </c>
      <c r="F1695" s="1">
        <f t="shared" si="26"/>
        <v>1</v>
      </c>
      <c r="G1695" s="2">
        <f>AVERAGEIFS([3]!players[gold_per_min], [3]!players[name],A1695,[3]!players[hero_name],B1695)</f>
        <v>363</v>
      </c>
      <c r="H1695" s="2">
        <f>AVERAGEIFS([3]!players[xp_per_min], [3]!players[name],A1695,[3]!players[hero_name],B1695)</f>
        <v>553.5</v>
      </c>
    </row>
    <row r="1696" spans="1:8" x14ac:dyDescent="0.3">
      <c r="A1696" t="str">
        <v>Save-</v>
      </c>
      <c r="B1696" t="str">
        <v>Lion</v>
      </c>
      <c r="C1696" t="str" cm="1">
        <f t="array" ref="C1696">_xlfn.XLOOKUP(1,([3]!players[name]=A1696)*([3]!players[hero_name]=B1696),[3]!players[lane_name])</f>
        <v>Hard Support</v>
      </c>
      <c r="D1696">
        <f>COUNTIFS([3]!players[name],A1696,[3]!players[hero_name],B1696)</f>
        <v>6</v>
      </c>
      <c r="E1696">
        <f>COUNTIFS([3]!players[name],A1696,[3]!players[hero_name],B1696, [3]!players[win], 1)</f>
        <v>4</v>
      </c>
      <c r="F1696" s="1">
        <f t="shared" si="26"/>
        <v>0.66666666666666663</v>
      </c>
      <c r="G1696" s="2">
        <f>AVERAGEIFS([3]!players[gold_per_min], [3]!players[name],A1696,[3]!players[hero_name],B1696)</f>
        <v>364.5</v>
      </c>
      <c r="H1696" s="2">
        <f>AVERAGEIFS([3]!players[xp_per_min], [3]!players[name],A1696,[3]!players[hero_name],B1696)</f>
        <v>593.83333333333337</v>
      </c>
    </row>
    <row r="1697" spans="1:8" x14ac:dyDescent="0.3">
      <c r="A1697" t="str">
        <v>Save-</v>
      </c>
      <c r="B1697" t="str">
        <v>Shadow Shaman</v>
      </c>
      <c r="C1697" t="str" cm="1">
        <f t="array" ref="C1697">_xlfn.XLOOKUP(1,([3]!players[name]=A1697)*([3]!players[hero_name]=B1697),[3]!players[lane_name])</f>
        <v>Roam</v>
      </c>
      <c r="D1697">
        <f>COUNTIFS([3]!players[name],A1697,[3]!players[hero_name],B1697)</f>
        <v>1</v>
      </c>
      <c r="E1697">
        <f>COUNTIFS([3]!players[name],A1697,[3]!players[hero_name],B1697, [3]!players[win], 1)</f>
        <v>0</v>
      </c>
      <c r="F1697" s="1">
        <f t="shared" si="26"/>
        <v>0</v>
      </c>
      <c r="G1697" s="2">
        <f>AVERAGEIFS([3]!players[gold_per_min], [3]!players[name],A1697,[3]!players[hero_name],B1697)</f>
        <v>287</v>
      </c>
      <c r="H1697" s="2">
        <f>AVERAGEIFS([3]!players[xp_per_min], [3]!players[name],A1697,[3]!players[hero_name],B1697)</f>
        <v>399</v>
      </c>
    </row>
    <row r="1698" spans="1:8" x14ac:dyDescent="0.3">
      <c r="A1698" t="str">
        <v>Save-</v>
      </c>
      <c r="B1698" t="str">
        <v>Shadow Demon</v>
      </c>
      <c r="C1698" t="str" cm="1">
        <f t="array" ref="C1698">_xlfn.XLOOKUP(1,([3]!players[name]=A1698)*([3]!players[hero_name]=B1698),[3]!players[lane_name])</f>
        <v>Hard Support</v>
      </c>
      <c r="D1698">
        <f>COUNTIFS([3]!players[name],A1698,[3]!players[hero_name],B1698)</f>
        <v>1</v>
      </c>
      <c r="E1698">
        <f>COUNTIFS([3]!players[name],A1698,[3]!players[hero_name],B1698, [3]!players[win], 1)</f>
        <v>1</v>
      </c>
      <c r="F1698" s="1">
        <f t="shared" si="26"/>
        <v>1</v>
      </c>
      <c r="G1698" s="2">
        <f>AVERAGEIFS([3]!players[gold_per_min], [3]!players[name],A1698,[3]!players[hero_name],B1698)</f>
        <v>335</v>
      </c>
      <c r="H1698" s="2">
        <f>AVERAGEIFS([3]!players[xp_per_min], [3]!players[name],A1698,[3]!players[hero_name],B1698)</f>
        <v>550</v>
      </c>
    </row>
    <row r="1699" spans="1:8" x14ac:dyDescent="0.3">
      <c r="A1699" t="str">
        <v>sayuw</v>
      </c>
      <c r="B1699" t="str">
        <v>Hoodwink</v>
      </c>
      <c r="C1699" t="str" cm="1">
        <f t="array" ref="C1699">_xlfn.XLOOKUP(1,([3]!players[name]=A1699)*([3]!players[hero_name]=B1699),[3]!players[lane_name])</f>
        <v>Roam</v>
      </c>
      <c r="D1699">
        <f>COUNTIFS([3]!players[name],A1699,[3]!players[hero_name],B1699)</f>
        <v>23</v>
      </c>
      <c r="E1699">
        <f>COUNTIFS([3]!players[name],A1699,[3]!players[hero_name],B1699, [3]!players[win], 1)</f>
        <v>12</v>
      </c>
      <c r="F1699" s="1">
        <f t="shared" si="26"/>
        <v>0.52173913043478259</v>
      </c>
      <c r="G1699" s="2">
        <f>AVERAGEIFS([3]!players[gold_per_min], [3]!players[name],A1699,[3]!players[hero_name],B1699)</f>
        <v>334.30434782608694</v>
      </c>
      <c r="H1699" s="2">
        <f>AVERAGEIFS([3]!players[xp_per_min], [3]!players[name],A1699,[3]!players[hero_name],B1699)</f>
        <v>487.21739130434781</v>
      </c>
    </row>
    <row r="1700" spans="1:8" x14ac:dyDescent="0.3">
      <c r="A1700" t="str">
        <v>sayuw</v>
      </c>
      <c r="B1700" t="str">
        <v>Shadow Demon</v>
      </c>
      <c r="C1700" t="str" cm="1">
        <f t="array" ref="C1700">_xlfn.XLOOKUP(1,([3]!players[name]=A1700)*([3]!players[hero_name]=B1700),[3]!players[lane_name])</f>
        <v>Roam</v>
      </c>
      <c r="D1700">
        <f>COUNTIFS([3]!players[name],A1700,[3]!players[hero_name],B1700)</f>
        <v>7</v>
      </c>
      <c r="E1700">
        <f>COUNTIFS([3]!players[name],A1700,[3]!players[hero_name],B1700, [3]!players[win], 1)</f>
        <v>5</v>
      </c>
      <c r="F1700" s="1">
        <f t="shared" si="26"/>
        <v>0.7142857142857143</v>
      </c>
      <c r="G1700" s="2">
        <f>AVERAGEIFS([3]!players[gold_per_min], [3]!players[name],A1700,[3]!players[hero_name],B1700)</f>
        <v>322</v>
      </c>
      <c r="H1700" s="2">
        <f>AVERAGEIFS([3]!players[xp_per_min], [3]!players[name],A1700,[3]!players[hero_name],B1700)</f>
        <v>483.85714285714283</v>
      </c>
    </row>
    <row r="1701" spans="1:8" x14ac:dyDescent="0.3">
      <c r="A1701" t="str">
        <v>sayuw</v>
      </c>
      <c r="B1701" t="str">
        <v>Rubick</v>
      </c>
      <c r="C1701" t="str" cm="1">
        <f t="array" ref="C1701">_xlfn.XLOOKUP(1,([3]!players[name]=A1701)*([3]!players[hero_name]=B1701),[3]!players[lane_name])</f>
        <v>Hard Support</v>
      </c>
      <c r="D1701">
        <f>COUNTIFS([3]!players[name],A1701,[3]!players[hero_name],B1701)</f>
        <v>13</v>
      </c>
      <c r="E1701">
        <f>COUNTIFS([3]!players[name],A1701,[3]!players[hero_name],B1701, [3]!players[win], 1)</f>
        <v>7</v>
      </c>
      <c r="F1701" s="1">
        <f t="shared" si="26"/>
        <v>0.53846153846153844</v>
      </c>
      <c r="G1701" s="2">
        <f>AVERAGEIFS([3]!players[gold_per_min], [3]!players[name],A1701,[3]!players[hero_name],B1701)</f>
        <v>329.46153846153845</v>
      </c>
      <c r="H1701" s="2">
        <f>AVERAGEIFS([3]!players[xp_per_min], [3]!players[name],A1701,[3]!players[hero_name],B1701)</f>
        <v>473.92307692307691</v>
      </c>
    </row>
    <row r="1702" spans="1:8" x14ac:dyDescent="0.3">
      <c r="A1702" t="str">
        <v>sayuw</v>
      </c>
      <c r="B1702" t="str">
        <v>Dark Willow</v>
      </c>
      <c r="C1702" t="str" cm="1">
        <f t="array" ref="C1702">_xlfn.XLOOKUP(1,([3]!players[name]=A1702)*([3]!players[hero_name]=B1702),[3]!players[lane_name])</f>
        <v>Hard Support</v>
      </c>
      <c r="D1702">
        <f>COUNTIFS([3]!players[name],A1702,[3]!players[hero_name],B1702)</f>
        <v>4</v>
      </c>
      <c r="E1702">
        <f>COUNTIFS([3]!players[name],A1702,[3]!players[hero_name],B1702, [3]!players[win], 1)</f>
        <v>2</v>
      </c>
      <c r="F1702" s="1">
        <f t="shared" si="26"/>
        <v>0.5</v>
      </c>
      <c r="G1702" s="2">
        <f>AVERAGEIFS([3]!players[gold_per_min], [3]!players[name],A1702,[3]!players[hero_name],B1702)</f>
        <v>276</v>
      </c>
      <c r="H1702" s="2">
        <f>AVERAGEIFS([3]!players[xp_per_min], [3]!players[name],A1702,[3]!players[hero_name],B1702)</f>
        <v>415.25</v>
      </c>
    </row>
    <row r="1703" spans="1:8" x14ac:dyDescent="0.3">
      <c r="A1703" t="str">
        <v>sayuw</v>
      </c>
      <c r="B1703" t="str">
        <v>Tusk</v>
      </c>
      <c r="C1703" t="str" cm="1">
        <f t="array" ref="C1703">_xlfn.XLOOKUP(1,([3]!players[name]=A1703)*([3]!players[hero_name]=B1703),[3]!players[lane_name])</f>
        <v>Roam</v>
      </c>
      <c r="D1703">
        <f>COUNTIFS([3]!players[name],A1703,[3]!players[hero_name],B1703)</f>
        <v>4</v>
      </c>
      <c r="E1703">
        <f>COUNTIFS([3]!players[name],A1703,[3]!players[hero_name],B1703, [3]!players[win], 1)</f>
        <v>0</v>
      </c>
      <c r="F1703" s="1">
        <f t="shared" si="26"/>
        <v>0</v>
      </c>
      <c r="G1703" s="2">
        <f>AVERAGEIFS([3]!players[gold_per_min], [3]!players[name],A1703,[3]!players[hero_name],B1703)</f>
        <v>258.25</v>
      </c>
      <c r="H1703" s="2">
        <f>AVERAGEIFS([3]!players[xp_per_min], [3]!players[name],A1703,[3]!players[hero_name],B1703)</f>
        <v>349.25</v>
      </c>
    </row>
    <row r="1704" spans="1:8" x14ac:dyDescent="0.3">
      <c r="A1704" t="str">
        <v>sayuw</v>
      </c>
      <c r="B1704" t="str">
        <v>Batrider</v>
      </c>
      <c r="C1704" t="str" cm="1">
        <f t="array" ref="C1704">_xlfn.XLOOKUP(1,([3]!players[name]=A1704)*([3]!players[hero_name]=B1704),[3]!players[lane_name])</f>
        <v>Roam</v>
      </c>
      <c r="D1704">
        <f>COUNTIFS([3]!players[name],A1704,[3]!players[hero_name],B1704)</f>
        <v>1</v>
      </c>
      <c r="E1704">
        <f>COUNTIFS([3]!players[name],A1704,[3]!players[hero_name],B1704, [3]!players[win], 1)</f>
        <v>1</v>
      </c>
      <c r="F1704" s="1">
        <f t="shared" si="26"/>
        <v>1</v>
      </c>
      <c r="G1704" s="2">
        <f>AVERAGEIFS([3]!players[gold_per_min], [3]!players[name],A1704,[3]!players[hero_name],B1704)</f>
        <v>476</v>
      </c>
      <c r="H1704" s="2">
        <f>AVERAGEIFS([3]!players[xp_per_min], [3]!players[name],A1704,[3]!players[hero_name],B1704)</f>
        <v>748</v>
      </c>
    </row>
    <row r="1705" spans="1:8" x14ac:dyDescent="0.3">
      <c r="A1705" t="str">
        <v>sayuw</v>
      </c>
      <c r="B1705" t="str">
        <v>Phoenix</v>
      </c>
      <c r="C1705" t="str" cm="1">
        <f t="array" ref="C1705">_xlfn.XLOOKUP(1,([3]!players[name]=A1705)*([3]!players[hero_name]=B1705),[3]!players[lane_name])</f>
        <v>Soft Support</v>
      </c>
      <c r="D1705">
        <f>COUNTIFS([3]!players[name],A1705,[3]!players[hero_name],B1705)</f>
        <v>2</v>
      </c>
      <c r="E1705">
        <f>COUNTIFS([3]!players[name],A1705,[3]!players[hero_name],B1705, [3]!players[win], 1)</f>
        <v>1</v>
      </c>
      <c r="F1705" s="1">
        <f t="shared" si="26"/>
        <v>0.5</v>
      </c>
      <c r="G1705" s="2">
        <f>AVERAGEIFS([3]!players[gold_per_min], [3]!players[name],A1705,[3]!players[hero_name],B1705)</f>
        <v>393.5</v>
      </c>
      <c r="H1705" s="2">
        <f>AVERAGEIFS([3]!players[xp_per_min], [3]!players[name],A1705,[3]!players[hero_name],B1705)</f>
        <v>526</v>
      </c>
    </row>
    <row r="1706" spans="1:8" x14ac:dyDescent="0.3">
      <c r="A1706" t="str">
        <v>sayuw</v>
      </c>
      <c r="B1706" t="str">
        <v>Ringmaster</v>
      </c>
      <c r="C1706" t="str" cm="1">
        <f t="array" ref="C1706">_xlfn.XLOOKUP(1,([3]!players[name]=A1706)*([3]!players[hero_name]=B1706),[3]!players[lane_name])</f>
        <v>Hard Support</v>
      </c>
      <c r="D1706">
        <f>COUNTIFS([3]!players[name],A1706,[3]!players[hero_name],B1706)</f>
        <v>5</v>
      </c>
      <c r="E1706">
        <f>COUNTIFS([3]!players[name],A1706,[3]!players[hero_name],B1706, [3]!players[win], 1)</f>
        <v>3</v>
      </c>
      <c r="F1706" s="1">
        <f t="shared" si="26"/>
        <v>0.6</v>
      </c>
      <c r="G1706" s="2">
        <f>AVERAGEIFS([3]!players[gold_per_min], [3]!players[name],A1706,[3]!players[hero_name],B1706)</f>
        <v>303</v>
      </c>
      <c r="H1706" s="2">
        <f>AVERAGEIFS([3]!players[xp_per_min], [3]!players[name],A1706,[3]!players[hero_name],B1706)</f>
        <v>412</v>
      </c>
    </row>
    <row r="1707" spans="1:8" x14ac:dyDescent="0.3">
      <c r="A1707" t="str">
        <v>sayuw</v>
      </c>
      <c r="B1707" t="str">
        <v>Techies</v>
      </c>
      <c r="C1707" t="str" cm="1">
        <f t="array" ref="C1707">_xlfn.XLOOKUP(1,([3]!players[name]=A1707)*([3]!players[hero_name]=B1707),[3]!players[lane_name])</f>
        <v>Hard Support</v>
      </c>
      <c r="D1707">
        <f>COUNTIFS([3]!players[name],A1707,[3]!players[hero_name],B1707)</f>
        <v>2</v>
      </c>
      <c r="E1707">
        <f>COUNTIFS([3]!players[name],A1707,[3]!players[hero_name],B1707, [3]!players[win], 1)</f>
        <v>2</v>
      </c>
      <c r="F1707" s="1">
        <f t="shared" si="26"/>
        <v>1</v>
      </c>
      <c r="G1707" s="2">
        <f>AVERAGEIFS([3]!players[gold_per_min], [3]!players[name],A1707,[3]!players[hero_name],B1707)</f>
        <v>359.5</v>
      </c>
      <c r="H1707" s="2">
        <f>AVERAGEIFS([3]!players[xp_per_min], [3]!players[name],A1707,[3]!players[hero_name],B1707)</f>
        <v>475</v>
      </c>
    </row>
    <row r="1708" spans="1:8" x14ac:dyDescent="0.3">
      <c r="A1708" t="str">
        <v>Scofield</v>
      </c>
      <c r="B1708" t="str">
        <v>Nyx Assassin</v>
      </c>
      <c r="C1708" t="str" cm="1">
        <f t="array" ref="C1708">_xlfn.XLOOKUP(1,([3]!players[name]=A1708)*([3]!players[hero_name]=B1708),[3]!players[lane_name])</f>
        <v>Hard Support</v>
      </c>
      <c r="D1708">
        <f>COUNTIFS([3]!players[name],A1708,[3]!players[hero_name],B1708)</f>
        <v>10</v>
      </c>
      <c r="E1708">
        <f>COUNTIFS([3]!players[name],A1708,[3]!players[hero_name],B1708, [3]!players[win], 1)</f>
        <v>7</v>
      </c>
      <c r="F1708" s="1">
        <f t="shared" si="26"/>
        <v>0.7</v>
      </c>
      <c r="G1708" s="2">
        <f>AVERAGEIFS([3]!players[gold_per_min], [3]!players[name],A1708,[3]!players[hero_name],B1708)</f>
        <v>301.89999999999998</v>
      </c>
      <c r="H1708" s="2">
        <f>AVERAGEIFS([3]!players[xp_per_min], [3]!players[name],A1708,[3]!players[hero_name],B1708)</f>
        <v>463.5</v>
      </c>
    </row>
    <row r="1709" spans="1:8" x14ac:dyDescent="0.3">
      <c r="A1709" t="str">
        <v>Scofield</v>
      </c>
      <c r="B1709" t="str">
        <v>Hoodwink</v>
      </c>
      <c r="C1709" t="str" cm="1">
        <f t="array" ref="C1709">_xlfn.XLOOKUP(1,([3]!players[name]=A1709)*([3]!players[hero_name]=B1709),[3]!players[lane_name])</f>
        <v>Hard Support</v>
      </c>
      <c r="D1709">
        <f>COUNTIFS([3]!players[name],A1709,[3]!players[hero_name],B1709)</f>
        <v>16</v>
      </c>
      <c r="E1709">
        <f>COUNTIFS([3]!players[name],A1709,[3]!players[hero_name],B1709, [3]!players[win], 1)</f>
        <v>12</v>
      </c>
      <c r="F1709" s="1">
        <f t="shared" si="26"/>
        <v>0.75</v>
      </c>
      <c r="G1709" s="2">
        <f>AVERAGEIFS([3]!players[gold_per_min], [3]!players[name],A1709,[3]!players[hero_name],B1709)</f>
        <v>361.8125</v>
      </c>
      <c r="H1709" s="2">
        <f>AVERAGEIFS([3]!players[xp_per_min], [3]!players[name],A1709,[3]!players[hero_name],B1709)</f>
        <v>523.4375</v>
      </c>
    </row>
    <row r="1710" spans="1:8" x14ac:dyDescent="0.3">
      <c r="A1710" t="str">
        <v>Scofield</v>
      </c>
      <c r="B1710" t="str">
        <v>Tusk</v>
      </c>
      <c r="C1710" t="str" cm="1">
        <f t="array" ref="C1710">_xlfn.XLOOKUP(1,([3]!players[name]=A1710)*([3]!players[hero_name]=B1710),[3]!players[lane_name])</f>
        <v>Hard Support</v>
      </c>
      <c r="D1710">
        <f>COUNTIFS([3]!players[name],A1710,[3]!players[hero_name],B1710)</f>
        <v>6</v>
      </c>
      <c r="E1710">
        <f>COUNTIFS([3]!players[name],A1710,[3]!players[hero_name],B1710, [3]!players[win], 1)</f>
        <v>3</v>
      </c>
      <c r="F1710" s="1">
        <f t="shared" si="26"/>
        <v>0.5</v>
      </c>
      <c r="G1710" s="2">
        <f>AVERAGEIFS([3]!players[gold_per_min], [3]!players[name],A1710,[3]!players[hero_name],B1710)</f>
        <v>299.83333333333331</v>
      </c>
      <c r="H1710" s="2">
        <f>AVERAGEIFS([3]!players[xp_per_min], [3]!players[name],A1710,[3]!players[hero_name],B1710)</f>
        <v>475.16666666666669</v>
      </c>
    </row>
    <row r="1711" spans="1:8" x14ac:dyDescent="0.3">
      <c r="A1711" t="str">
        <v>Scofield</v>
      </c>
      <c r="B1711" t="str">
        <v>Treant Protector</v>
      </c>
      <c r="C1711" t="str" cm="1">
        <f t="array" ref="C1711">_xlfn.XLOOKUP(1,([3]!players[name]=A1711)*([3]!players[hero_name]=B1711),[3]!players[lane_name])</f>
        <v>Roam</v>
      </c>
      <c r="D1711">
        <f>COUNTIFS([3]!players[name],A1711,[3]!players[hero_name],B1711)</f>
        <v>1</v>
      </c>
      <c r="E1711">
        <f>COUNTIFS([3]!players[name],A1711,[3]!players[hero_name],B1711, [3]!players[win], 1)</f>
        <v>1</v>
      </c>
      <c r="F1711" s="1">
        <f t="shared" si="26"/>
        <v>1</v>
      </c>
      <c r="G1711" s="2">
        <f>AVERAGEIFS([3]!players[gold_per_min], [3]!players[name],A1711,[3]!players[hero_name],B1711)</f>
        <v>320</v>
      </c>
      <c r="H1711" s="2">
        <f>AVERAGEIFS([3]!players[xp_per_min], [3]!players[name],A1711,[3]!players[hero_name],B1711)</f>
        <v>524</v>
      </c>
    </row>
    <row r="1712" spans="1:8" x14ac:dyDescent="0.3">
      <c r="A1712" t="str">
        <v>Scofield</v>
      </c>
      <c r="B1712" t="str">
        <v>Undying</v>
      </c>
      <c r="C1712" t="str" cm="1">
        <f t="array" ref="C1712">_xlfn.XLOOKUP(1,([3]!players[name]=A1712)*([3]!players[hero_name]=B1712),[3]!players[lane_name])</f>
        <v>Soft Support</v>
      </c>
      <c r="D1712">
        <f>COUNTIFS([3]!players[name],A1712,[3]!players[hero_name],B1712)</f>
        <v>2</v>
      </c>
      <c r="E1712">
        <f>COUNTIFS([3]!players[name],A1712,[3]!players[hero_name],B1712, [3]!players[win], 1)</f>
        <v>1</v>
      </c>
      <c r="F1712" s="1">
        <f t="shared" si="26"/>
        <v>0.5</v>
      </c>
      <c r="G1712" s="2">
        <f>AVERAGEIFS([3]!players[gold_per_min], [3]!players[name],A1712,[3]!players[hero_name],B1712)</f>
        <v>318</v>
      </c>
      <c r="H1712" s="2">
        <f>AVERAGEIFS([3]!players[xp_per_min], [3]!players[name],A1712,[3]!players[hero_name],B1712)</f>
        <v>411</v>
      </c>
    </row>
    <row r="1713" spans="1:8" x14ac:dyDescent="0.3">
      <c r="A1713" t="str">
        <v>Scofield</v>
      </c>
      <c r="B1713" t="str">
        <v>Snapfire</v>
      </c>
      <c r="C1713" t="str" cm="1">
        <f t="array" ref="C1713">_xlfn.XLOOKUP(1,([3]!players[name]=A1713)*([3]!players[hero_name]=B1713),[3]!players[lane_name])</f>
        <v>Hard Support</v>
      </c>
      <c r="D1713">
        <f>COUNTIFS([3]!players[name],A1713,[3]!players[hero_name],B1713)</f>
        <v>1</v>
      </c>
      <c r="E1713">
        <f>COUNTIFS([3]!players[name],A1713,[3]!players[hero_name],B1713, [3]!players[win], 1)</f>
        <v>0</v>
      </c>
      <c r="F1713" s="1">
        <f t="shared" si="26"/>
        <v>0</v>
      </c>
      <c r="G1713" s="2">
        <f>AVERAGEIFS([3]!players[gold_per_min], [3]!players[name],A1713,[3]!players[hero_name],B1713)</f>
        <v>368</v>
      </c>
      <c r="H1713" s="2">
        <f>AVERAGEIFS([3]!players[xp_per_min], [3]!players[name],A1713,[3]!players[hero_name],B1713)</f>
        <v>596</v>
      </c>
    </row>
    <row r="1714" spans="1:8" x14ac:dyDescent="0.3">
      <c r="A1714" t="str">
        <v>Scofield</v>
      </c>
      <c r="B1714" t="str">
        <v>Clockwerk</v>
      </c>
      <c r="C1714" t="str" cm="1">
        <f t="array" ref="C1714">_xlfn.XLOOKUP(1,([3]!players[name]=A1714)*([3]!players[hero_name]=B1714),[3]!players[lane_name])</f>
        <v>Roam</v>
      </c>
      <c r="D1714">
        <f>COUNTIFS([3]!players[name],A1714,[3]!players[hero_name],B1714)</f>
        <v>7</v>
      </c>
      <c r="E1714">
        <f>COUNTIFS([3]!players[name],A1714,[3]!players[hero_name],B1714, [3]!players[win], 1)</f>
        <v>5</v>
      </c>
      <c r="F1714" s="1">
        <f t="shared" si="26"/>
        <v>0.7142857142857143</v>
      </c>
      <c r="G1714" s="2">
        <f>AVERAGEIFS([3]!players[gold_per_min], [3]!players[name],A1714,[3]!players[hero_name],B1714)</f>
        <v>298.85714285714283</v>
      </c>
      <c r="H1714" s="2">
        <f>AVERAGEIFS([3]!players[xp_per_min], [3]!players[name],A1714,[3]!players[hero_name],B1714)</f>
        <v>418</v>
      </c>
    </row>
    <row r="1715" spans="1:8" x14ac:dyDescent="0.3">
      <c r="A1715" t="str">
        <v>Scofield</v>
      </c>
      <c r="B1715" t="str">
        <v>Grimstroke</v>
      </c>
      <c r="C1715" t="str" cm="1">
        <f t="array" ref="C1715">_xlfn.XLOOKUP(1,([3]!players[name]=A1715)*([3]!players[hero_name]=B1715),[3]!players[lane_name])</f>
        <v>Hard Support</v>
      </c>
      <c r="D1715">
        <f>COUNTIFS([3]!players[name],A1715,[3]!players[hero_name],B1715)</f>
        <v>12</v>
      </c>
      <c r="E1715">
        <f>COUNTIFS([3]!players[name],A1715,[3]!players[hero_name],B1715, [3]!players[win], 1)</f>
        <v>5</v>
      </c>
      <c r="F1715" s="1">
        <f t="shared" si="26"/>
        <v>0.41666666666666669</v>
      </c>
      <c r="G1715" s="2">
        <f>AVERAGEIFS([3]!players[gold_per_min], [3]!players[name],A1715,[3]!players[hero_name],B1715)</f>
        <v>284.83333333333331</v>
      </c>
      <c r="H1715" s="2">
        <f>AVERAGEIFS([3]!players[xp_per_min], [3]!players[name],A1715,[3]!players[hero_name],B1715)</f>
        <v>455.16666666666669</v>
      </c>
    </row>
    <row r="1716" spans="1:8" x14ac:dyDescent="0.3">
      <c r="A1716" t="str">
        <v>Scofield</v>
      </c>
      <c r="B1716" t="str">
        <v>Windranger</v>
      </c>
      <c r="C1716" t="str" cm="1">
        <f t="array" ref="C1716">_xlfn.XLOOKUP(1,([3]!players[name]=A1716)*([3]!players[hero_name]=B1716),[3]!players[lane_name])</f>
        <v>Roam</v>
      </c>
      <c r="D1716">
        <f>COUNTIFS([3]!players[name],A1716,[3]!players[hero_name],B1716)</f>
        <v>2</v>
      </c>
      <c r="E1716">
        <f>COUNTIFS([3]!players[name],A1716,[3]!players[hero_name],B1716, [3]!players[win], 1)</f>
        <v>1</v>
      </c>
      <c r="F1716" s="1">
        <f t="shared" si="26"/>
        <v>0.5</v>
      </c>
      <c r="G1716" s="2">
        <f>AVERAGEIFS([3]!players[gold_per_min], [3]!players[name],A1716,[3]!players[hero_name],B1716)</f>
        <v>332.5</v>
      </c>
      <c r="H1716" s="2">
        <f>AVERAGEIFS([3]!players[xp_per_min], [3]!players[name],A1716,[3]!players[hero_name],B1716)</f>
        <v>559</v>
      </c>
    </row>
    <row r="1717" spans="1:8" x14ac:dyDescent="0.3">
      <c r="A1717" t="str">
        <v>Scofield</v>
      </c>
      <c r="B1717" t="str">
        <v>Rubick</v>
      </c>
      <c r="C1717" t="str" cm="1">
        <f t="array" ref="C1717">_xlfn.XLOOKUP(1,([3]!players[name]=A1717)*([3]!players[hero_name]=B1717),[3]!players[lane_name])</f>
        <v>Soft Support</v>
      </c>
      <c r="D1717">
        <f>COUNTIFS([3]!players[name],A1717,[3]!players[hero_name],B1717)</f>
        <v>2</v>
      </c>
      <c r="E1717">
        <f>COUNTIFS([3]!players[name],A1717,[3]!players[hero_name],B1717, [3]!players[win], 1)</f>
        <v>2</v>
      </c>
      <c r="F1717" s="1">
        <f t="shared" si="26"/>
        <v>1</v>
      </c>
      <c r="G1717" s="2">
        <f>AVERAGEIFS([3]!players[gold_per_min], [3]!players[name],A1717,[3]!players[hero_name],B1717)</f>
        <v>380</v>
      </c>
      <c r="H1717" s="2">
        <f>AVERAGEIFS([3]!players[xp_per_min], [3]!players[name],A1717,[3]!players[hero_name],B1717)</f>
        <v>647.5</v>
      </c>
    </row>
    <row r="1718" spans="1:8" x14ac:dyDescent="0.3">
      <c r="A1718" t="str">
        <v>Scofield</v>
      </c>
      <c r="B1718" t="str">
        <v>Ringmaster</v>
      </c>
      <c r="C1718" t="str" cm="1">
        <f t="array" ref="C1718">_xlfn.XLOOKUP(1,([3]!players[name]=A1718)*([3]!players[hero_name]=B1718),[3]!players[lane_name])</f>
        <v>Hard Support</v>
      </c>
      <c r="D1718">
        <f>COUNTIFS([3]!players[name],A1718,[3]!players[hero_name],B1718)</f>
        <v>1</v>
      </c>
      <c r="E1718">
        <f>COUNTIFS([3]!players[name],A1718,[3]!players[hero_name],B1718, [3]!players[win], 1)</f>
        <v>1</v>
      </c>
      <c r="F1718" s="1">
        <f t="shared" si="26"/>
        <v>1</v>
      </c>
      <c r="G1718" s="2">
        <f>AVERAGEIFS([3]!players[gold_per_min], [3]!players[name],A1718,[3]!players[hero_name],B1718)</f>
        <v>313</v>
      </c>
      <c r="H1718" s="2">
        <f>AVERAGEIFS([3]!players[xp_per_min], [3]!players[name],A1718,[3]!players[hero_name],B1718)</f>
        <v>494</v>
      </c>
    </row>
    <row r="1719" spans="1:8" x14ac:dyDescent="0.3">
      <c r="A1719" t="str">
        <v>Scofield</v>
      </c>
      <c r="B1719" t="str">
        <v>Earthshaker</v>
      </c>
      <c r="C1719" t="str" cm="1">
        <f t="array" ref="C1719">_xlfn.XLOOKUP(1,([3]!players[name]=A1719)*([3]!players[hero_name]=B1719),[3]!players[lane_name])</f>
        <v>Hard Support</v>
      </c>
      <c r="D1719">
        <f>COUNTIFS([3]!players[name],A1719,[3]!players[hero_name],B1719)</f>
        <v>1</v>
      </c>
      <c r="E1719">
        <f>COUNTIFS([3]!players[name],A1719,[3]!players[hero_name],B1719, [3]!players[win], 1)</f>
        <v>1</v>
      </c>
      <c r="F1719" s="1">
        <f t="shared" si="26"/>
        <v>1</v>
      </c>
      <c r="G1719" s="2">
        <f>AVERAGEIFS([3]!players[gold_per_min], [3]!players[name],A1719,[3]!players[hero_name],B1719)</f>
        <v>358</v>
      </c>
      <c r="H1719" s="2">
        <f>AVERAGEIFS([3]!players[xp_per_min], [3]!players[name],A1719,[3]!players[hero_name],B1719)</f>
        <v>462</v>
      </c>
    </row>
    <row r="1720" spans="1:8" x14ac:dyDescent="0.3">
      <c r="A1720" t="str">
        <v>Scofield</v>
      </c>
      <c r="B1720" t="str">
        <v>Lion</v>
      </c>
      <c r="C1720" t="str" cm="1">
        <f t="array" ref="C1720">_xlfn.XLOOKUP(1,([3]!players[name]=A1720)*([3]!players[hero_name]=B1720),[3]!players[lane_name])</f>
        <v>Hard Support</v>
      </c>
      <c r="D1720">
        <f>COUNTIFS([3]!players[name],A1720,[3]!players[hero_name],B1720)</f>
        <v>1</v>
      </c>
      <c r="E1720">
        <f>COUNTIFS([3]!players[name],A1720,[3]!players[hero_name],B1720, [3]!players[win], 1)</f>
        <v>1</v>
      </c>
      <c r="F1720" s="1">
        <f t="shared" si="26"/>
        <v>1</v>
      </c>
      <c r="G1720" s="2">
        <f>AVERAGEIFS([3]!players[gold_per_min], [3]!players[name],A1720,[3]!players[hero_name],B1720)</f>
        <v>334</v>
      </c>
      <c r="H1720" s="2">
        <f>AVERAGEIFS([3]!players[xp_per_min], [3]!players[name],A1720,[3]!players[hero_name],B1720)</f>
        <v>456</v>
      </c>
    </row>
    <row r="1721" spans="1:8" x14ac:dyDescent="0.3">
      <c r="A1721" t="str">
        <v>Scofield</v>
      </c>
      <c r="B1721" t="str">
        <v>Shadow Demon</v>
      </c>
      <c r="C1721" t="str" cm="1">
        <f t="array" ref="C1721">_xlfn.XLOOKUP(1,([3]!players[name]=A1721)*([3]!players[hero_name]=B1721),[3]!players[lane_name])</f>
        <v>Hard Support</v>
      </c>
      <c r="D1721">
        <f>COUNTIFS([3]!players[name],A1721,[3]!players[hero_name],B1721)</f>
        <v>3</v>
      </c>
      <c r="E1721">
        <f>COUNTIFS([3]!players[name],A1721,[3]!players[hero_name],B1721, [3]!players[win], 1)</f>
        <v>0</v>
      </c>
      <c r="F1721" s="1">
        <f t="shared" si="26"/>
        <v>0</v>
      </c>
      <c r="G1721" s="2">
        <f>AVERAGEIFS([3]!players[gold_per_min], [3]!players[name],A1721,[3]!players[hero_name],B1721)</f>
        <v>252.66666666666666</v>
      </c>
      <c r="H1721" s="2">
        <f>AVERAGEIFS([3]!players[xp_per_min], [3]!players[name],A1721,[3]!players[hero_name],B1721)</f>
        <v>340.33333333333331</v>
      </c>
    </row>
    <row r="1722" spans="1:8" x14ac:dyDescent="0.3">
      <c r="A1722" t="str">
        <v>Scofield</v>
      </c>
      <c r="B1722" t="str">
        <v>Skywrath Mage</v>
      </c>
      <c r="C1722" t="str" cm="1">
        <f t="array" ref="C1722">_xlfn.XLOOKUP(1,([3]!players[name]=A1722)*([3]!players[hero_name]=B1722),[3]!players[lane_name])</f>
        <v>Roam</v>
      </c>
      <c r="D1722">
        <f>COUNTIFS([3]!players[name],A1722,[3]!players[hero_name],B1722)</f>
        <v>3</v>
      </c>
      <c r="E1722">
        <f>COUNTIFS([3]!players[name],A1722,[3]!players[hero_name],B1722, [3]!players[win], 1)</f>
        <v>3</v>
      </c>
      <c r="F1722" s="1">
        <f t="shared" si="26"/>
        <v>1</v>
      </c>
      <c r="G1722" s="2">
        <f>AVERAGEIFS([3]!players[gold_per_min], [3]!players[name],A1722,[3]!players[hero_name],B1722)</f>
        <v>374.33333333333331</v>
      </c>
      <c r="H1722" s="2">
        <f>AVERAGEIFS([3]!players[xp_per_min], [3]!players[name],A1722,[3]!players[hero_name],B1722)</f>
        <v>601</v>
      </c>
    </row>
    <row r="1723" spans="1:8" x14ac:dyDescent="0.3">
      <c r="A1723" t="str">
        <v>Se</v>
      </c>
      <c r="B1723" t="str">
        <v>Silencer</v>
      </c>
      <c r="C1723" t="str" cm="1">
        <f t="array" ref="C1723">_xlfn.XLOOKUP(1,([3]!players[name]=A1723)*([3]!players[hero_name]=B1723),[3]!players[lane_name])</f>
        <v>Hard Support</v>
      </c>
      <c r="D1723">
        <f>COUNTIFS([3]!players[name],A1723,[3]!players[hero_name],B1723)</f>
        <v>6</v>
      </c>
      <c r="E1723">
        <f>COUNTIFS([3]!players[name],A1723,[3]!players[hero_name],B1723, [3]!players[win], 1)</f>
        <v>3</v>
      </c>
      <c r="F1723" s="1">
        <f t="shared" si="26"/>
        <v>0.5</v>
      </c>
      <c r="G1723" s="2">
        <f>AVERAGEIFS([3]!players[gold_per_min], [3]!players[name],A1723,[3]!players[hero_name],B1723)</f>
        <v>309.16666666666669</v>
      </c>
      <c r="H1723" s="2">
        <f>AVERAGEIFS([3]!players[xp_per_min], [3]!players[name],A1723,[3]!players[hero_name],B1723)</f>
        <v>424</v>
      </c>
    </row>
    <row r="1724" spans="1:8" x14ac:dyDescent="0.3">
      <c r="A1724" t="str">
        <v>Se</v>
      </c>
      <c r="B1724" t="str">
        <v>Enchantress</v>
      </c>
      <c r="C1724" t="str" cm="1">
        <f t="array" ref="C1724">_xlfn.XLOOKUP(1,([3]!players[name]=A1724)*([3]!players[hero_name]=B1724),[3]!players[lane_name])</f>
        <v>Soft Support</v>
      </c>
      <c r="D1724">
        <f>COUNTIFS([3]!players[name],A1724,[3]!players[hero_name],B1724)</f>
        <v>5</v>
      </c>
      <c r="E1724">
        <f>COUNTIFS([3]!players[name],A1724,[3]!players[hero_name],B1724, [3]!players[win], 1)</f>
        <v>4</v>
      </c>
      <c r="F1724" s="1">
        <f t="shared" si="26"/>
        <v>0.8</v>
      </c>
      <c r="G1724" s="2">
        <f>AVERAGEIFS([3]!players[gold_per_min], [3]!players[name],A1724,[3]!players[hero_name],B1724)</f>
        <v>330.6</v>
      </c>
      <c r="H1724" s="2">
        <f>AVERAGEIFS([3]!players[xp_per_min], [3]!players[name],A1724,[3]!players[hero_name],B1724)</f>
        <v>496</v>
      </c>
    </row>
    <row r="1725" spans="1:8" x14ac:dyDescent="0.3">
      <c r="A1725" t="str">
        <v>Se</v>
      </c>
      <c r="B1725" t="str">
        <v>Nature's Prophet</v>
      </c>
      <c r="C1725" t="str" cm="1">
        <f t="array" ref="C1725">_xlfn.XLOOKUP(1,([3]!players[name]=A1725)*([3]!players[hero_name]=B1725),[3]!players[lane_name])</f>
        <v>Roam</v>
      </c>
      <c r="D1725">
        <f>COUNTIFS([3]!players[name],A1725,[3]!players[hero_name],B1725)</f>
        <v>4</v>
      </c>
      <c r="E1725">
        <f>COUNTIFS([3]!players[name],A1725,[3]!players[hero_name],B1725, [3]!players[win], 1)</f>
        <v>4</v>
      </c>
      <c r="F1725" s="1">
        <f t="shared" si="26"/>
        <v>1</v>
      </c>
      <c r="G1725" s="2">
        <f>AVERAGEIFS([3]!players[gold_per_min], [3]!players[name],A1725,[3]!players[hero_name],B1725)</f>
        <v>519.25</v>
      </c>
      <c r="H1725" s="2">
        <f>AVERAGEIFS([3]!players[xp_per_min], [3]!players[name],A1725,[3]!players[hero_name],B1725)</f>
        <v>637.75</v>
      </c>
    </row>
    <row r="1726" spans="1:8" x14ac:dyDescent="0.3">
      <c r="A1726" t="str">
        <v>Se</v>
      </c>
      <c r="B1726" t="str">
        <v>Venomancer</v>
      </c>
      <c r="C1726" t="str" cm="1">
        <f t="array" ref="C1726">_xlfn.XLOOKUP(1,([3]!players[name]=A1726)*([3]!players[hero_name]=B1726),[3]!players[lane_name])</f>
        <v>Soft Support</v>
      </c>
      <c r="D1726">
        <f>COUNTIFS([3]!players[name],A1726,[3]!players[hero_name],B1726)</f>
        <v>3</v>
      </c>
      <c r="E1726">
        <f>COUNTIFS([3]!players[name],A1726,[3]!players[hero_name],B1726, [3]!players[win], 1)</f>
        <v>2</v>
      </c>
      <c r="F1726" s="1">
        <f t="shared" si="26"/>
        <v>0.66666666666666663</v>
      </c>
      <c r="G1726" s="2">
        <f>AVERAGEIFS([3]!players[gold_per_min], [3]!players[name],A1726,[3]!players[hero_name],B1726)</f>
        <v>382</v>
      </c>
      <c r="H1726" s="2">
        <f>AVERAGEIFS([3]!players[xp_per_min], [3]!players[name],A1726,[3]!players[hero_name],B1726)</f>
        <v>467.66666666666669</v>
      </c>
    </row>
    <row r="1727" spans="1:8" x14ac:dyDescent="0.3">
      <c r="A1727" t="str">
        <v>Se</v>
      </c>
      <c r="B1727" t="str">
        <v>Rubick</v>
      </c>
      <c r="C1727" t="str" cm="1">
        <f t="array" ref="C1727">_xlfn.XLOOKUP(1,([3]!players[name]=A1727)*([3]!players[hero_name]=B1727),[3]!players[lane_name])</f>
        <v>Roam</v>
      </c>
      <c r="D1727">
        <f>COUNTIFS([3]!players[name],A1727,[3]!players[hero_name],B1727)</f>
        <v>2</v>
      </c>
      <c r="E1727">
        <f>COUNTIFS([3]!players[name],A1727,[3]!players[hero_name],B1727, [3]!players[win], 1)</f>
        <v>1</v>
      </c>
      <c r="F1727" s="1">
        <f t="shared" si="26"/>
        <v>0.5</v>
      </c>
      <c r="G1727" s="2">
        <f>AVERAGEIFS([3]!players[gold_per_min], [3]!players[name],A1727,[3]!players[hero_name],B1727)</f>
        <v>317.5</v>
      </c>
      <c r="H1727" s="2">
        <f>AVERAGEIFS([3]!players[xp_per_min], [3]!players[name],A1727,[3]!players[hero_name],B1727)</f>
        <v>428</v>
      </c>
    </row>
    <row r="1728" spans="1:8" x14ac:dyDescent="0.3">
      <c r="A1728" t="str">
        <v>Se</v>
      </c>
      <c r="B1728" t="str">
        <v>Batrider</v>
      </c>
      <c r="C1728" t="str" cm="1">
        <f t="array" ref="C1728">_xlfn.XLOOKUP(1,([3]!players[name]=A1728)*([3]!players[hero_name]=B1728),[3]!players[lane_name])</f>
        <v>Soft Support</v>
      </c>
      <c r="D1728">
        <f>COUNTIFS([3]!players[name],A1728,[3]!players[hero_name],B1728)</f>
        <v>1</v>
      </c>
      <c r="E1728">
        <f>COUNTIFS([3]!players[name],A1728,[3]!players[hero_name],B1728, [3]!players[win], 1)</f>
        <v>1</v>
      </c>
      <c r="F1728" s="1">
        <f t="shared" si="26"/>
        <v>1</v>
      </c>
      <c r="G1728" s="2">
        <f>AVERAGEIFS([3]!players[gold_per_min], [3]!players[name],A1728,[3]!players[hero_name],B1728)</f>
        <v>445</v>
      </c>
      <c r="H1728" s="2">
        <f>AVERAGEIFS([3]!players[xp_per_min], [3]!players[name],A1728,[3]!players[hero_name],B1728)</f>
        <v>744</v>
      </c>
    </row>
    <row r="1729" spans="1:8" x14ac:dyDescent="0.3">
      <c r="A1729" t="str">
        <v>Se</v>
      </c>
      <c r="B1729" t="str">
        <v>Disruptor</v>
      </c>
      <c r="C1729" t="str" cm="1">
        <f t="array" ref="C1729">_xlfn.XLOOKUP(1,([3]!players[name]=A1729)*([3]!players[hero_name]=B1729),[3]!players[lane_name])</f>
        <v>Roam</v>
      </c>
      <c r="D1729">
        <f>COUNTIFS([3]!players[name],A1729,[3]!players[hero_name],B1729)</f>
        <v>4</v>
      </c>
      <c r="E1729">
        <f>COUNTIFS([3]!players[name],A1729,[3]!players[hero_name],B1729, [3]!players[win], 1)</f>
        <v>2</v>
      </c>
      <c r="F1729" s="1">
        <f t="shared" si="26"/>
        <v>0.5</v>
      </c>
      <c r="G1729" s="2">
        <f>AVERAGEIFS([3]!players[gold_per_min], [3]!players[name],A1729,[3]!players[hero_name],B1729)</f>
        <v>316</v>
      </c>
      <c r="H1729" s="2">
        <f>AVERAGEIFS([3]!players[xp_per_min], [3]!players[name],A1729,[3]!players[hero_name],B1729)</f>
        <v>448</v>
      </c>
    </row>
    <row r="1730" spans="1:8" x14ac:dyDescent="0.3">
      <c r="A1730" t="str">
        <v>Se</v>
      </c>
      <c r="B1730" t="str">
        <v>Doom</v>
      </c>
      <c r="C1730" t="str" cm="1">
        <f t="array" ref="C1730">_xlfn.XLOOKUP(1,([3]!players[name]=A1730)*([3]!players[hero_name]=B1730),[3]!players[lane_name])</f>
        <v>Soft Support</v>
      </c>
      <c r="D1730">
        <f>COUNTIFS([3]!players[name],A1730,[3]!players[hero_name],B1730)</f>
        <v>1</v>
      </c>
      <c r="E1730">
        <f>COUNTIFS([3]!players[name],A1730,[3]!players[hero_name],B1730, [3]!players[win], 1)</f>
        <v>1</v>
      </c>
      <c r="F1730" s="1">
        <f t="shared" si="26"/>
        <v>1</v>
      </c>
      <c r="G1730" s="2">
        <f>AVERAGEIFS([3]!players[gold_per_min], [3]!players[name],A1730,[3]!players[hero_name],B1730)</f>
        <v>419</v>
      </c>
      <c r="H1730" s="2">
        <f>AVERAGEIFS([3]!players[xp_per_min], [3]!players[name],A1730,[3]!players[hero_name],B1730)</f>
        <v>508</v>
      </c>
    </row>
    <row r="1731" spans="1:8" x14ac:dyDescent="0.3">
      <c r="A1731" t="str">
        <v>Se</v>
      </c>
      <c r="B1731" t="str">
        <v>Oracle</v>
      </c>
      <c r="C1731" t="str" cm="1">
        <f t="array" ref="C1731">_xlfn.XLOOKUP(1,([3]!players[name]=A1731)*([3]!players[hero_name]=B1731),[3]!players[lane_name])</f>
        <v>Soft Support</v>
      </c>
      <c r="D1731">
        <f>COUNTIFS([3]!players[name],A1731,[3]!players[hero_name],B1731)</f>
        <v>2</v>
      </c>
      <c r="E1731">
        <f>COUNTIFS([3]!players[name],A1731,[3]!players[hero_name],B1731, [3]!players[win], 1)</f>
        <v>1</v>
      </c>
      <c r="F1731" s="1">
        <f t="shared" ref="F1731:F1794" si="27">E1731/D1731</f>
        <v>0.5</v>
      </c>
      <c r="G1731" s="2">
        <f>AVERAGEIFS([3]!players[gold_per_min], [3]!players[name],A1731,[3]!players[hero_name],B1731)</f>
        <v>294</v>
      </c>
      <c r="H1731" s="2">
        <f>AVERAGEIFS([3]!players[xp_per_min], [3]!players[name],A1731,[3]!players[hero_name],B1731)</f>
        <v>360</v>
      </c>
    </row>
    <row r="1732" spans="1:8" x14ac:dyDescent="0.3">
      <c r="A1732" t="str">
        <v>Se</v>
      </c>
      <c r="B1732" t="str">
        <v>Grimstroke</v>
      </c>
      <c r="C1732" t="str" cm="1">
        <f t="array" ref="C1732">_xlfn.XLOOKUP(1,([3]!players[name]=A1732)*([3]!players[hero_name]=B1732),[3]!players[lane_name])</f>
        <v>Soft Support</v>
      </c>
      <c r="D1732">
        <f>COUNTIFS([3]!players[name],A1732,[3]!players[hero_name],B1732)</f>
        <v>1</v>
      </c>
      <c r="E1732">
        <f>COUNTIFS([3]!players[name],A1732,[3]!players[hero_name],B1732, [3]!players[win], 1)</f>
        <v>1</v>
      </c>
      <c r="F1732" s="1">
        <f t="shared" si="27"/>
        <v>1</v>
      </c>
      <c r="G1732" s="2">
        <f>AVERAGEIFS([3]!players[gold_per_min], [3]!players[name],A1732,[3]!players[hero_name],B1732)</f>
        <v>356</v>
      </c>
      <c r="H1732" s="2">
        <f>AVERAGEIFS([3]!players[xp_per_min], [3]!players[name],A1732,[3]!players[hero_name],B1732)</f>
        <v>449</v>
      </c>
    </row>
    <row r="1733" spans="1:8" x14ac:dyDescent="0.3">
      <c r="A1733" t="str">
        <v>Se</v>
      </c>
      <c r="B1733" t="str">
        <v>Ringmaster</v>
      </c>
      <c r="C1733" t="str" cm="1">
        <f t="array" ref="C1733">_xlfn.XLOOKUP(1,([3]!players[name]=A1733)*([3]!players[hero_name]=B1733),[3]!players[lane_name])</f>
        <v>Soft Support</v>
      </c>
      <c r="D1733">
        <f>COUNTIFS([3]!players[name],A1733,[3]!players[hero_name],B1733)</f>
        <v>2</v>
      </c>
      <c r="E1733">
        <f>COUNTIFS([3]!players[name],A1733,[3]!players[hero_name],B1733, [3]!players[win], 1)</f>
        <v>2</v>
      </c>
      <c r="F1733" s="1">
        <f t="shared" si="27"/>
        <v>1</v>
      </c>
      <c r="G1733" s="2">
        <f>AVERAGEIFS([3]!players[gold_per_min], [3]!players[name],A1733,[3]!players[hero_name],B1733)</f>
        <v>374.5</v>
      </c>
      <c r="H1733" s="2">
        <f>AVERAGEIFS([3]!players[xp_per_min], [3]!players[name],A1733,[3]!players[hero_name],B1733)</f>
        <v>543</v>
      </c>
    </row>
    <row r="1734" spans="1:8" x14ac:dyDescent="0.3">
      <c r="A1734" t="str">
        <v>Se</v>
      </c>
      <c r="B1734" t="str">
        <v>Winter Wyvern</v>
      </c>
      <c r="C1734" t="str" cm="1">
        <f t="array" ref="C1734">_xlfn.XLOOKUP(1,([3]!players[name]=A1734)*([3]!players[hero_name]=B1734),[3]!players[lane_name])</f>
        <v>Roam</v>
      </c>
      <c r="D1734">
        <f>COUNTIFS([3]!players[name],A1734,[3]!players[hero_name],B1734)</f>
        <v>1</v>
      </c>
      <c r="E1734">
        <f>COUNTIFS([3]!players[name],A1734,[3]!players[hero_name],B1734, [3]!players[win], 1)</f>
        <v>1</v>
      </c>
      <c r="F1734" s="1">
        <f t="shared" si="27"/>
        <v>1</v>
      </c>
      <c r="G1734" s="2">
        <f>AVERAGEIFS([3]!players[gold_per_min], [3]!players[name],A1734,[3]!players[hero_name],B1734)</f>
        <v>376</v>
      </c>
      <c r="H1734" s="2">
        <f>AVERAGEIFS([3]!players[xp_per_min], [3]!players[name],A1734,[3]!players[hero_name],B1734)</f>
        <v>720</v>
      </c>
    </row>
    <row r="1735" spans="1:8" x14ac:dyDescent="0.3">
      <c r="A1735" t="str">
        <v>seimei</v>
      </c>
      <c r="B1735" t="str">
        <v>Tidehunter</v>
      </c>
      <c r="C1735" t="str" cm="1">
        <f t="array" ref="C1735">_xlfn.XLOOKUP(1,([3]!players[name]=A1735)*([3]!players[hero_name]=B1735),[3]!players[lane_name])</f>
        <v>Off Lane</v>
      </c>
      <c r="D1735">
        <f>COUNTIFS([3]!players[name],A1735,[3]!players[hero_name],B1735)</f>
        <v>5</v>
      </c>
      <c r="E1735">
        <f>COUNTIFS([3]!players[name],A1735,[3]!players[hero_name],B1735, [3]!players[win], 1)</f>
        <v>3</v>
      </c>
      <c r="F1735" s="1">
        <f t="shared" si="27"/>
        <v>0.6</v>
      </c>
      <c r="G1735" s="2">
        <f>AVERAGEIFS([3]!players[gold_per_min], [3]!players[name],A1735,[3]!players[hero_name],B1735)</f>
        <v>594.20000000000005</v>
      </c>
      <c r="H1735" s="2">
        <f>AVERAGEIFS([3]!players[xp_per_min], [3]!players[name],A1735,[3]!players[hero_name],B1735)</f>
        <v>751.2</v>
      </c>
    </row>
    <row r="1736" spans="1:8" x14ac:dyDescent="0.3">
      <c r="A1736" t="str">
        <v>seimei</v>
      </c>
      <c r="B1736" t="str">
        <v>Slardar</v>
      </c>
      <c r="C1736" t="str" cm="1">
        <f t="array" ref="C1736">_xlfn.XLOOKUP(1,([3]!players[name]=A1736)*([3]!players[hero_name]=B1736),[3]!players[lane_name])</f>
        <v>Off Lane</v>
      </c>
      <c r="D1736">
        <f>COUNTIFS([3]!players[name],A1736,[3]!players[hero_name],B1736)</f>
        <v>9</v>
      </c>
      <c r="E1736">
        <f>COUNTIFS([3]!players[name],A1736,[3]!players[hero_name],B1736, [3]!players[win], 1)</f>
        <v>6</v>
      </c>
      <c r="F1736" s="1">
        <f t="shared" si="27"/>
        <v>0.66666666666666663</v>
      </c>
      <c r="G1736" s="2">
        <f>AVERAGEIFS([3]!players[gold_per_min], [3]!players[name],A1736,[3]!players[hero_name],B1736)</f>
        <v>538.55555555555554</v>
      </c>
      <c r="H1736" s="2">
        <f>AVERAGEIFS([3]!players[xp_per_min], [3]!players[name],A1736,[3]!players[hero_name],B1736)</f>
        <v>752.33333333333337</v>
      </c>
    </row>
    <row r="1737" spans="1:8" x14ac:dyDescent="0.3">
      <c r="A1737" t="str">
        <v>seimei</v>
      </c>
      <c r="B1737" t="str">
        <v>Mars</v>
      </c>
      <c r="C1737" t="str" cm="1">
        <f t="array" ref="C1737">_xlfn.XLOOKUP(1,([3]!players[name]=A1737)*([3]!players[hero_name]=B1737),[3]!players[lane_name])</f>
        <v>Off Lane</v>
      </c>
      <c r="D1737">
        <f>COUNTIFS([3]!players[name],A1737,[3]!players[hero_name],B1737)</f>
        <v>6</v>
      </c>
      <c r="E1737">
        <f>COUNTIFS([3]!players[name],A1737,[3]!players[hero_name],B1737, [3]!players[win], 1)</f>
        <v>4</v>
      </c>
      <c r="F1737" s="1">
        <f t="shared" si="27"/>
        <v>0.66666666666666663</v>
      </c>
      <c r="G1737" s="2">
        <f>AVERAGEIFS([3]!players[gold_per_min], [3]!players[name],A1737,[3]!players[hero_name],B1737)</f>
        <v>539.83333333333337</v>
      </c>
      <c r="H1737" s="2">
        <f>AVERAGEIFS([3]!players[xp_per_min], [3]!players[name],A1737,[3]!players[hero_name],B1737)</f>
        <v>732.66666666666663</v>
      </c>
    </row>
    <row r="1738" spans="1:8" x14ac:dyDescent="0.3">
      <c r="A1738" t="str">
        <v>seimei</v>
      </c>
      <c r="B1738" t="str">
        <v>Brewmaster</v>
      </c>
      <c r="C1738" t="str" cm="1">
        <f t="array" ref="C1738">_xlfn.XLOOKUP(1,([3]!players[name]=A1738)*([3]!players[hero_name]=B1738),[3]!players[lane_name])</f>
        <v>Off Lane</v>
      </c>
      <c r="D1738">
        <f>COUNTIFS([3]!players[name],A1738,[3]!players[hero_name],B1738)</f>
        <v>1</v>
      </c>
      <c r="E1738">
        <f>COUNTIFS([3]!players[name],A1738,[3]!players[hero_name],B1738, [3]!players[win], 1)</f>
        <v>0</v>
      </c>
      <c r="F1738" s="1">
        <f t="shared" si="27"/>
        <v>0</v>
      </c>
      <c r="G1738" s="2">
        <f>AVERAGEIFS([3]!players[gold_per_min], [3]!players[name],A1738,[3]!players[hero_name],B1738)</f>
        <v>378</v>
      </c>
      <c r="H1738" s="2">
        <f>AVERAGEIFS([3]!players[xp_per_min], [3]!players[name],A1738,[3]!players[hero_name],B1738)</f>
        <v>376</v>
      </c>
    </row>
    <row r="1739" spans="1:8" x14ac:dyDescent="0.3">
      <c r="A1739" t="str">
        <v>seimei</v>
      </c>
      <c r="B1739" t="str">
        <v>Doom</v>
      </c>
      <c r="C1739" t="str" cm="1">
        <f t="array" ref="C1739">_xlfn.XLOOKUP(1,([3]!players[name]=A1739)*([3]!players[hero_name]=B1739),[3]!players[lane_name])</f>
        <v>Off Lane</v>
      </c>
      <c r="D1739">
        <f>COUNTIFS([3]!players[name],A1739,[3]!players[hero_name],B1739)</f>
        <v>1</v>
      </c>
      <c r="E1739">
        <f>COUNTIFS([3]!players[name],A1739,[3]!players[hero_name],B1739, [3]!players[win], 1)</f>
        <v>0</v>
      </c>
      <c r="F1739" s="1">
        <f t="shared" si="27"/>
        <v>0</v>
      </c>
      <c r="G1739" s="2">
        <f>AVERAGEIFS([3]!players[gold_per_min], [3]!players[name],A1739,[3]!players[hero_name],B1739)</f>
        <v>557</v>
      </c>
      <c r="H1739" s="2">
        <f>AVERAGEIFS([3]!players[xp_per_min], [3]!players[name],A1739,[3]!players[hero_name],B1739)</f>
        <v>623</v>
      </c>
    </row>
    <row r="1740" spans="1:8" x14ac:dyDescent="0.3">
      <c r="A1740" t="str">
        <v>seimei</v>
      </c>
      <c r="B1740" t="str">
        <v>Pangolier</v>
      </c>
      <c r="C1740" t="str" cm="1">
        <f t="array" ref="C1740">_xlfn.XLOOKUP(1,([3]!players[name]=A1740)*([3]!players[hero_name]=B1740),[3]!players[lane_name])</f>
        <v>Off Lane</v>
      </c>
      <c r="D1740">
        <f>COUNTIFS([3]!players[name],A1740,[3]!players[hero_name],B1740)</f>
        <v>1</v>
      </c>
      <c r="E1740">
        <f>COUNTIFS([3]!players[name],A1740,[3]!players[hero_name],B1740, [3]!players[win], 1)</f>
        <v>0</v>
      </c>
      <c r="F1740" s="1">
        <f t="shared" si="27"/>
        <v>0</v>
      </c>
      <c r="G1740" s="2">
        <f>AVERAGEIFS([3]!players[gold_per_min], [3]!players[name],A1740,[3]!players[hero_name],B1740)</f>
        <v>558</v>
      </c>
      <c r="H1740" s="2">
        <f>AVERAGEIFS([3]!players[xp_per_min], [3]!players[name],A1740,[3]!players[hero_name],B1740)</f>
        <v>780</v>
      </c>
    </row>
    <row r="1741" spans="1:8" x14ac:dyDescent="0.3">
      <c r="A1741" t="str">
        <v>seimei</v>
      </c>
      <c r="B1741" t="str">
        <v>Beastmaster</v>
      </c>
      <c r="C1741" t="str" cm="1">
        <f t="array" ref="C1741">_xlfn.XLOOKUP(1,([3]!players[name]=A1741)*([3]!players[hero_name]=B1741),[3]!players[lane_name])</f>
        <v>Off Lane</v>
      </c>
      <c r="D1741">
        <f>COUNTIFS([3]!players[name],A1741,[3]!players[hero_name],B1741)</f>
        <v>3</v>
      </c>
      <c r="E1741">
        <f>COUNTIFS([3]!players[name],A1741,[3]!players[hero_name],B1741, [3]!players[win], 1)</f>
        <v>3</v>
      </c>
      <c r="F1741" s="1">
        <f t="shared" si="27"/>
        <v>1</v>
      </c>
      <c r="G1741" s="2">
        <f>AVERAGEIFS([3]!players[gold_per_min], [3]!players[name],A1741,[3]!players[hero_name],B1741)</f>
        <v>697</v>
      </c>
      <c r="H1741" s="2">
        <f>AVERAGEIFS([3]!players[xp_per_min], [3]!players[name],A1741,[3]!players[hero_name],B1741)</f>
        <v>838.33333333333337</v>
      </c>
    </row>
    <row r="1742" spans="1:8" x14ac:dyDescent="0.3">
      <c r="A1742" t="str">
        <v>seimei</v>
      </c>
      <c r="B1742" t="str">
        <v>Legion Commander</v>
      </c>
      <c r="C1742" t="str" cm="1">
        <f t="array" ref="C1742">_xlfn.XLOOKUP(1,([3]!players[name]=A1742)*([3]!players[hero_name]=B1742),[3]!players[lane_name])</f>
        <v>Off Lane</v>
      </c>
      <c r="D1742">
        <f>COUNTIFS([3]!players[name],A1742,[3]!players[hero_name],B1742)</f>
        <v>1</v>
      </c>
      <c r="E1742">
        <f>COUNTIFS([3]!players[name],A1742,[3]!players[hero_name],B1742, [3]!players[win], 1)</f>
        <v>1</v>
      </c>
      <c r="F1742" s="1">
        <f t="shared" si="27"/>
        <v>1</v>
      </c>
      <c r="G1742" s="2">
        <f>AVERAGEIFS([3]!players[gold_per_min], [3]!players[name],A1742,[3]!players[hero_name],B1742)</f>
        <v>532</v>
      </c>
      <c r="H1742" s="2">
        <f>AVERAGEIFS([3]!players[xp_per_min], [3]!players[name],A1742,[3]!players[hero_name],B1742)</f>
        <v>755</v>
      </c>
    </row>
    <row r="1743" spans="1:8" x14ac:dyDescent="0.3">
      <c r="A1743" t="str">
        <v>seimei</v>
      </c>
      <c r="B1743" t="str">
        <v>Night Stalker</v>
      </c>
      <c r="C1743" t="str" cm="1">
        <f t="array" ref="C1743">_xlfn.XLOOKUP(1,([3]!players[name]=A1743)*([3]!players[hero_name]=B1743),[3]!players[lane_name])</f>
        <v>Off Lane</v>
      </c>
      <c r="D1743">
        <f>COUNTIFS([3]!players[name],A1743,[3]!players[hero_name],B1743)</f>
        <v>1</v>
      </c>
      <c r="E1743">
        <f>COUNTIFS([3]!players[name],A1743,[3]!players[hero_name],B1743, [3]!players[win], 1)</f>
        <v>0</v>
      </c>
      <c r="F1743" s="1">
        <f t="shared" si="27"/>
        <v>0</v>
      </c>
      <c r="G1743" s="2">
        <f>AVERAGEIFS([3]!players[gold_per_min], [3]!players[name],A1743,[3]!players[hero_name],B1743)</f>
        <v>463</v>
      </c>
      <c r="H1743" s="2">
        <f>AVERAGEIFS([3]!players[xp_per_min], [3]!players[name],A1743,[3]!players[hero_name],B1743)</f>
        <v>632</v>
      </c>
    </row>
    <row r="1744" spans="1:8" x14ac:dyDescent="0.3">
      <c r="A1744" t="str">
        <v>seimei</v>
      </c>
      <c r="B1744" t="str">
        <v>Centaur Warrunner</v>
      </c>
      <c r="C1744" t="str" cm="1">
        <f t="array" ref="C1744">_xlfn.XLOOKUP(1,([3]!players[name]=A1744)*([3]!players[hero_name]=B1744),[3]!players[lane_name])</f>
        <v>Off Lane</v>
      </c>
      <c r="D1744">
        <f>COUNTIFS([3]!players[name],A1744,[3]!players[hero_name],B1744)</f>
        <v>1</v>
      </c>
      <c r="E1744">
        <f>COUNTIFS([3]!players[name],A1744,[3]!players[hero_name],B1744, [3]!players[win], 1)</f>
        <v>0</v>
      </c>
      <c r="F1744" s="1">
        <f t="shared" si="27"/>
        <v>0</v>
      </c>
      <c r="G1744" s="2">
        <f>AVERAGEIFS([3]!players[gold_per_min], [3]!players[name],A1744,[3]!players[hero_name],B1744)</f>
        <v>414</v>
      </c>
      <c r="H1744" s="2">
        <f>AVERAGEIFS([3]!players[xp_per_min], [3]!players[name],A1744,[3]!players[hero_name],B1744)</f>
        <v>553</v>
      </c>
    </row>
    <row r="1745" spans="1:8" x14ac:dyDescent="0.3">
      <c r="A1745" t="str">
        <v>seimei</v>
      </c>
      <c r="B1745" t="str">
        <v>Batrider</v>
      </c>
      <c r="C1745" t="str" cm="1">
        <f t="array" ref="C1745">_xlfn.XLOOKUP(1,([3]!players[name]=A1745)*([3]!players[hero_name]=B1745),[3]!players[lane_name])</f>
        <v>Off Lane</v>
      </c>
      <c r="D1745">
        <f>COUNTIFS([3]!players[name],A1745,[3]!players[hero_name],B1745)</f>
        <v>1</v>
      </c>
      <c r="E1745">
        <f>COUNTIFS([3]!players[name],A1745,[3]!players[hero_name],B1745, [3]!players[win], 1)</f>
        <v>0</v>
      </c>
      <c r="F1745" s="1">
        <f t="shared" si="27"/>
        <v>0</v>
      </c>
      <c r="G1745" s="2">
        <f>AVERAGEIFS([3]!players[gold_per_min], [3]!players[name],A1745,[3]!players[hero_name],B1745)</f>
        <v>446</v>
      </c>
      <c r="H1745" s="2">
        <f>AVERAGEIFS([3]!players[xp_per_min], [3]!players[name],A1745,[3]!players[hero_name],B1745)</f>
        <v>483</v>
      </c>
    </row>
    <row r="1746" spans="1:8" x14ac:dyDescent="0.3">
      <c r="A1746" t="str">
        <v>selfhate</v>
      </c>
      <c r="B1746" t="str">
        <v>Monkey King</v>
      </c>
      <c r="C1746" t="str" cm="1">
        <f t="array" ref="C1746">_xlfn.XLOOKUP(1,([3]!players[name]=A1746)*([3]!players[hero_name]=B1746),[3]!players[lane_name])</f>
        <v>Carry</v>
      </c>
      <c r="D1746">
        <f>COUNTIFS([3]!players[name],A1746,[3]!players[hero_name],B1746)</f>
        <v>12</v>
      </c>
      <c r="E1746">
        <f>COUNTIFS([3]!players[name],A1746,[3]!players[hero_name],B1746, [3]!players[win], 1)</f>
        <v>8</v>
      </c>
      <c r="F1746" s="1">
        <f t="shared" si="27"/>
        <v>0.66666666666666663</v>
      </c>
      <c r="G1746" s="2">
        <f>AVERAGEIFS([3]!players[gold_per_min], [3]!players[name],A1746,[3]!players[hero_name],B1746)</f>
        <v>694.91666666666663</v>
      </c>
      <c r="H1746" s="2">
        <f>AVERAGEIFS([3]!players[xp_per_min], [3]!players[name],A1746,[3]!players[hero_name],B1746)</f>
        <v>918.5</v>
      </c>
    </row>
    <row r="1747" spans="1:8" x14ac:dyDescent="0.3">
      <c r="A1747" t="str">
        <v>selfhate</v>
      </c>
      <c r="B1747" t="str">
        <v>Terrorblade</v>
      </c>
      <c r="C1747" t="str" cm="1">
        <f t="array" ref="C1747">_xlfn.XLOOKUP(1,([3]!players[name]=A1747)*([3]!players[hero_name]=B1747),[3]!players[lane_name])</f>
        <v>Carry</v>
      </c>
      <c r="D1747">
        <f>COUNTIFS([3]!players[name],A1747,[3]!players[hero_name],B1747)</f>
        <v>9</v>
      </c>
      <c r="E1747">
        <f>COUNTIFS([3]!players[name],A1747,[3]!players[hero_name],B1747, [3]!players[win], 1)</f>
        <v>7</v>
      </c>
      <c r="F1747" s="1">
        <f t="shared" si="27"/>
        <v>0.77777777777777779</v>
      </c>
      <c r="G1747" s="2">
        <f>AVERAGEIFS([3]!players[gold_per_min], [3]!players[name],A1747,[3]!players[hero_name],B1747)</f>
        <v>750.22222222222217</v>
      </c>
      <c r="H1747" s="2">
        <f>AVERAGEIFS([3]!players[xp_per_min], [3]!players[name],A1747,[3]!players[hero_name],B1747)</f>
        <v>720</v>
      </c>
    </row>
    <row r="1748" spans="1:8" x14ac:dyDescent="0.3">
      <c r="A1748" t="str">
        <v>selfhate</v>
      </c>
      <c r="B1748" t="str">
        <v>Tiny</v>
      </c>
      <c r="C1748" t="str" cm="1">
        <f t="array" ref="C1748">_xlfn.XLOOKUP(1,([3]!players[name]=A1748)*([3]!players[hero_name]=B1748),[3]!players[lane_name])</f>
        <v>Carry</v>
      </c>
      <c r="D1748">
        <f>COUNTIFS([3]!players[name],A1748,[3]!players[hero_name],B1748)</f>
        <v>6</v>
      </c>
      <c r="E1748">
        <f>COUNTIFS([3]!players[name],A1748,[3]!players[hero_name],B1748, [3]!players[win], 1)</f>
        <v>3</v>
      </c>
      <c r="F1748" s="1">
        <f t="shared" si="27"/>
        <v>0.5</v>
      </c>
      <c r="G1748" s="2">
        <f>AVERAGEIFS([3]!players[gold_per_min], [3]!players[name],A1748,[3]!players[hero_name],B1748)</f>
        <v>612.83333333333337</v>
      </c>
      <c r="H1748" s="2">
        <f>AVERAGEIFS([3]!players[xp_per_min], [3]!players[name],A1748,[3]!players[hero_name],B1748)</f>
        <v>777.33333333333337</v>
      </c>
    </row>
    <row r="1749" spans="1:8" x14ac:dyDescent="0.3">
      <c r="A1749" t="str">
        <v>selfhate</v>
      </c>
      <c r="B1749" t="str">
        <v>Morphling</v>
      </c>
      <c r="C1749" t="str" cm="1">
        <f t="array" ref="C1749">_xlfn.XLOOKUP(1,([3]!players[name]=A1749)*([3]!players[hero_name]=B1749),[3]!players[lane_name])</f>
        <v>Carry</v>
      </c>
      <c r="D1749">
        <f>COUNTIFS([3]!players[name],A1749,[3]!players[hero_name],B1749)</f>
        <v>1</v>
      </c>
      <c r="E1749">
        <f>COUNTIFS([3]!players[name],A1749,[3]!players[hero_name],B1749, [3]!players[win], 1)</f>
        <v>0</v>
      </c>
      <c r="F1749" s="1">
        <f t="shared" si="27"/>
        <v>0</v>
      </c>
      <c r="G1749" s="2">
        <f>AVERAGEIFS([3]!players[gold_per_min], [3]!players[name],A1749,[3]!players[hero_name],B1749)</f>
        <v>502</v>
      </c>
      <c r="H1749" s="2">
        <f>AVERAGEIFS([3]!players[xp_per_min], [3]!players[name],A1749,[3]!players[hero_name],B1749)</f>
        <v>535</v>
      </c>
    </row>
    <row r="1750" spans="1:8" x14ac:dyDescent="0.3">
      <c r="A1750" t="str">
        <v>selfhate</v>
      </c>
      <c r="B1750" t="str">
        <v>Alchemist</v>
      </c>
      <c r="C1750" t="str" cm="1">
        <f t="array" ref="C1750">_xlfn.XLOOKUP(1,([3]!players[name]=A1750)*([3]!players[hero_name]=B1750),[3]!players[lane_name])</f>
        <v>Carry</v>
      </c>
      <c r="D1750">
        <f>COUNTIFS([3]!players[name],A1750,[3]!players[hero_name],B1750)</f>
        <v>4</v>
      </c>
      <c r="E1750">
        <f>COUNTIFS([3]!players[name],A1750,[3]!players[hero_name],B1750, [3]!players[win], 1)</f>
        <v>3</v>
      </c>
      <c r="F1750" s="1">
        <f t="shared" si="27"/>
        <v>0.75</v>
      </c>
      <c r="G1750" s="2">
        <f>AVERAGEIFS([3]!players[gold_per_min], [3]!players[name],A1750,[3]!players[hero_name],B1750)</f>
        <v>752.75</v>
      </c>
      <c r="H1750" s="2">
        <f>AVERAGEIFS([3]!players[xp_per_min], [3]!players[name],A1750,[3]!players[hero_name],B1750)</f>
        <v>699.5</v>
      </c>
    </row>
    <row r="1751" spans="1:8" x14ac:dyDescent="0.3">
      <c r="A1751" t="str">
        <v>selfhate</v>
      </c>
      <c r="B1751" t="str">
        <v>Slark</v>
      </c>
      <c r="C1751" t="str" cm="1">
        <f t="array" ref="C1751">_xlfn.XLOOKUP(1,([3]!players[name]=A1751)*([3]!players[hero_name]=B1751),[3]!players[lane_name])</f>
        <v>Carry</v>
      </c>
      <c r="D1751">
        <f>COUNTIFS([3]!players[name],A1751,[3]!players[hero_name],B1751)</f>
        <v>2</v>
      </c>
      <c r="E1751">
        <f>COUNTIFS([3]!players[name],A1751,[3]!players[hero_name],B1751, [3]!players[win], 1)</f>
        <v>2</v>
      </c>
      <c r="F1751" s="1">
        <f t="shared" si="27"/>
        <v>1</v>
      </c>
      <c r="G1751" s="2">
        <f>AVERAGEIFS([3]!players[gold_per_min], [3]!players[name],A1751,[3]!players[hero_name],B1751)</f>
        <v>657</v>
      </c>
      <c r="H1751" s="2">
        <f>AVERAGEIFS([3]!players[xp_per_min], [3]!players[name],A1751,[3]!players[hero_name],B1751)</f>
        <v>759.5</v>
      </c>
    </row>
    <row r="1752" spans="1:8" x14ac:dyDescent="0.3">
      <c r="A1752" t="str">
        <v>selfhate</v>
      </c>
      <c r="B1752" t="str">
        <v>Templar Assassin</v>
      </c>
      <c r="C1752" t="str" cm="1">
        <f t="array" ref="C1752">_xlfn.XLOOKUP(1,([3]!players[name]=A1752)*([3]!players[hero_name]=B1752),[3]!players[lane_name])</f>
        <v>Carry</v>
      </c>
      <c r="D1752">
        <f>COUNTIFS([3]!players[name],A1752,[3]!players[hero_name],B1752)</f>
        <v>6</v>
      </c>
      <c r="E1752">
        <f>COUNTIFS([3]!players[name],A1752,[3]!players[hero_name],B1752, [3]!players[win], 1)</f>
        <v>4</v>
      </c>
      <c r="F1752" s="1">
        <f t="shared" si="27"/>
        <v>0.66666666666666663</v>
      </c>
      <c r="G1752" s="2">
        <f>AVERAGEIFS([3]!players[gold_per_min], [3]!players[name],A1752,[3]!players[hero_name],B1752)</f>
        <v>711.33333333333337</v>
      </c>
      <c r="H1752" s="2">
        <f>AVERAGEIFS([3]!players[xp_per_min], [3]!players[name],A1752,[3]!players[hero_name],B1752)</f>
        <v>826</v>
      </c>
    </row>
    <row r="1753" spans="1:8" x14ac:dyDescent="0.3">
      <c r="A1753" t="str">
        <v>selfhate</v>
      </c>
      <c r="B1753" t="str">
        <v>Faceless Void</v>
      </c>
      <c r="C1753" t="str" cm="1">
        <f t="array" ref="C1753">_xlfn.XLOOKUP(1,([3]!players[name]=A1753)*([3]!players[hero_name]=B1753),[3]!players[lane_name])</f>
        <v>Carry</v>
      </c>
      <c r="D1753">
        <f>COUNTIFS([3]!players[name],A1753,[3]!players[hero_name],B1753)</f>
        <v>4</v>
      </c>
      <c r="E1753">
        <f>COUNTIFS([3]!players[name],A1753,[3]!players[hero_name],B1753, [3]!players[win], 1)</f>
        <v>2</v>
      </c>
      <c r="F1753" s="1">
        <f t="shared" si="27"/>
        <v>0.5</v>
      </c>
      <c r="G1753" s="2">
        <f>AVERAGEIFS([3]!players[gold_per_min], [3]!players[name],A1753,[3]!players[hero_name],B1753)</f>
        <v>595.5</v>
      </c>
      <c r="H1753" s="2">
        <f>AVERAGEIFS([3]!players[xp_per_min], [3]!players[name],A1753,[3]!players[hero_name],B1753)</f>
        <v>803.75</v>
      </c>
    </row>
    <row r="1754" spans="1:8" x14ac:dyDescent="0.3">
      <c r="A1754" t="str">
        <v>selfhate</v>
      </c>
      <c r="B1754" t="str">
        <v>Muerta</v>
      </c>
      <c r="C1754" t="str" cm="1">
        <f t="array" ref="C1754">_xlfn.XLOOKUP(1,([3]!players[name]=A1754)*([3]!players[hero_name]=B1754),[3]!players[lane_name])</f>
        <v>Carry</v>
      </c>
      <c r="D1754">
        <f>COUNTIFS([3]!players[name],A1754,[3]!players[hero_name],B1754)</f>
        <v>5</v>
      </c>
      <c r="E1754">
        <f>COUNTIFS([3]!players[name],A1754,[3]!players[hero_name],B1754, [3]!players[win], 1)</f>
        <v>2</v>
      </c>
      <c r="F1754" s="1">
        <f t="shared" si="27"/>
        <v>0.4</v>
      </c>
      <c r="G1754" s="2">
        <f>AVERAGEIFS([3]!players[gold_per_min], [3]!players[name],A1754,[3]!players[hero_name],B1754)</f>
        <v>629</v>
      </c>
      <c r="H1754" s="2">
        <f>AVERAGEIFS([3]!players[xp_per_min], [3]!players[name],A1754,[3]!players[hero_name],B1754)</f>
        <v>733.8</v>
      </c>
    </row>
    <row r="1755" spans="1:8" x14ac:dyDescent="0.3">
      <c r="A1755" t="str">
        <v>selfhate</v>
      </c>
      <c r="B1755" t="str">
        <v>Ursa</v>
      </c>
      <c r="C1755" t="str" cm="1">
        <f t="array" ref="C1755">_xlfn.XLOOKUP(1,([3]!players[name]=A1755)*([3]!players[hero_name]=B1755),[3]!players[lane_name])</f>
        <v>Carry</v>
      </c>
      <c r="D1755">
        <f>COUNTIFS([3]!players[name],A1755,[3]!players[hero_name],B1755)</f>
        <v>3</v>
      </c>
      <c r="E1755">
        <f>COUNTIFS([3]!players[name],A1755,[3]!players[hero_name],B1755, [3]!players[win], 1)</f>
        <v>2</v>
      </c>
      <c r="F1755" s="1">
        <f t="shared" si="27"/>
        <v>0.66666666666666663</v>
      </c>
      <c r="G1755" s="2">
        <f>AVERAGEIFS([3]!players[gold_per_min], [3]!players[name],A1755,[3]!players[hero_name],B1755)</f>
        <v>593</v>
      </c>
      <c r="H1755" s="2">
        <f>AVERAGEIFS([3]!players[xp_per_min], [3]!players[name],A1755,[3]!players[hero_name],B1755)</f>
        <v>646.33333333333337</v>
      </c>
    </row>
    <row r="1756" spans="1:8" x14ac:dyDescent="0.3">
      <c r="A1756" t="str">
        <v>selfhate</v>
      </c>
      <c r="B1756" t="str">
        <v>Phantom Assassin</v>
      </c>
      <c r="C1756" t="str" cm="1">
        <f t="array" ref="C1756">_xlfn.XLOOKUP(1,([3]!players[name]=A1756)*([3]!players[hero_name]=B1756),[3]!players[lane_name])</f>
        <v>Carry</v>
      </c>
      <c r="D1756">
        <f>COUNTIFS([3]!players[name],A1756,[3]!players[hero_name],B1756)</f>
        <v>1</v>
      </c>
      <c r="E1756">
        <f>COUNTIFS([3]!players[name],A1756,[3]!players[hero_name],B1756, [3]!players[win], 1)</f>
        <v>0</v>
      </c>
      <c r="F1756" s="1">
        <f t="shared" si="27"/>
        <v>0</v>
      </c>
      <c r="G1756" s="2">
        <f>AVERAGEIFS([3]!players[gold_per_min], [3]!players[name],A1756,[3]!players[hero_name],B1756)</f>
        <v>598</v>
      </c>
      <c r="H1756" s="2">
        <f>AVERAGEIFS([3]!players[xp_per_min], [3]!players[name],A1756,[3]!players[hero_name],B1756)</f>
        <v>806</v>
      </c>
    </row>
    <row r="1757" spans="1:8" x14ac:dyDescent="0.3">
      <c r="A1757" t="str">
        <v>selfhate</v>
      </c>
      <c r="B1757" t="str">
        <v>Lifestealer</v>
      </c>
      <c r="C1757" t="str" cm="1">
        <f t="array" ref="C1757">_xlfn.XLOOKUP(1,([3]!players[name]=A1757)*([3]!players[hero_name]=B1757),[3]!players[lane_name])</f>
        <v>Carry</v>
      </c>
      <c r="D1757">
        <f>COUNTIFS([3]!players[name],A1757,[3]!players[hero_name],B1757)</f>
        <v>4</v>
      </c>
      <c r="E1757">
        <f>COUNTIFS([3]!players[name],A1757,[3]!players[hero_name],B1757, [3]!players[win], 1)</f>
        <v>3</v>
      </c>
      <c r="F1757" s="1">
        <f t="shared" si="27"/>
        <v>0.75</v>
      </c>
      <c r="G1757" s="2">
        <f>AVERAGEIFS([3]!players[gold_per_min], [3]!players[name],A1757,[3]!players[hero_name],B1757)</f>
        <v>694.75</v>
      </c>
      <c r="H1757" s="2">
        <f>AVERAGEIFS([3]!players[xp_per_min], [3]!players[name],A1757,[3]!players[hero_name],B1757)</f>
        <v>862</v>
      </c>
    </row>
    <row r="1758" spans="1:8" x14ac:dyDescent="0.3">
      <c r="A1758" t="str">
        <v>selfhate</v>
      </c>
      <c r="B1758" t="str">
        <v>Kunkka</v>
      </c>
      <c r="C1758" t="str" cm="1">
        <f t="array" ref="C1758">_xlfn.XLOOKUP(1,([3]!players[name]=A1758)*([3]!players[hero_name]=B1758),[3]!players[lane_name])</f>
        <v>Carry</v>
      </c>
      <c r="D1758">
        <f>COUNTIFS([3]!players[name],A1758,[3]!players[hero_name],B1758)</f>
        <v>1</v>
      </c>
      <c r="E1758">
        <f>COUNTIFS([3]!players[name],A1758,[3]!players[hero_name],B1758, [3]!players[win], 1)</f>
        <v>1</v>
      </c>
      <c r="F1758" s="1">
        <f t="shared" si="27"/>
        <v>1</v>
      </c>
      <c r="G1758" s="2">
        <f>AVERAGEIFS([3]!players[gold_per_min], [3]!players[name],A1758,[3]!players[hero_name],B1758)</f>
        <v>799</v>
      </c>
      <c r="H1758" s="2">
        <f>AVERAGEIFS([3]!players[xp_per_min], [3]!players[name],A1758,[3]!players[hero_name],B1758)</f>
        <v>1005</v>
      </c>
    </row>
    <row r="1759" spans="1:8" x14ac:dyDescent="0.3">
      <c r="A1759" t="str">
        <v>selfhate</v>
      </c>
      <c r="B1759" t="str">
        <v>Shadow Fiend</v>
      </c>
      <c r="C1759" t="str" cm="1">
        <f t="array" ref="C1759">_xlfn.XLOOKUP(1,([3]!players[name]=A1759)*([3]!players[hero_name]=B1759),[3]!players[lane_name])</f>
        <v>Carry</v>
      </c>
      <c r="D1759">
        <f>COUNTIFS([3]!players[name],A1759,[3]!players[hero_name],B1759)</f>
        <v>1</v>
      </c>
      <c r="E1759">
        <f>COUNTIFS([3]!players[name],A1759,[3]!players[hero_name],B1759, [3]!players[win], 1)</f>
        <v>0</v>
      </c>
      <c r="F1759" s="1">
        <f t="shared" si="27"/>
        <v>0</v>
      </c>
      <c r="G1759" s="2">
        <f>AVERAGEIFS([3]!players[gold_per_min], [3]!players[name],A1759,[3]!players[hero_name],B1759)</f>
        <v>602</v>
      </c>
      <c r="H1759" s="2">
        <f>AVERAGEIFS([3]!players[xp_per_min], [3]!players[name],A1759,[3]!players[hero_name],B1759)</f>
        <v>718</v>
      </c>
    </row>
    <row r="1760" spans="1:8" x14ac:dyDescent="0.3">
      <c r="A1760" t="str">
        <v>selfhate</v>
      </c>
      <c r="B1760" t="str">
        <v>Beastmaster</v>
      </c>
      <c r="C1760" t="str" cm="1">
        <f t="array" ref="C1760">_xlfn.XLOOKUP(1,([3]!players[name]=A1760)*([3]!players[hero_name]=B1760),[3]!players[lane_name])</f>
        <v>Carry</v>
      </c>
      <c r="D1760">
        <f>COUNTIFS([3]!players[name],A1760,[3]!players[hero_name],B1760)</f>
        <v>3</v>
      </c>
      <c r="E1760">
        <f>COUNTIFS([3]!players[name],A1760,[3]!players[hero_name],B1760, [3]!players[win], 1)</f>
        <v>1</v>
      </c>
      <c r="F1760" s="1">
        <f t="shared" si="27"/>
        <v>0.33333333333333331</v>
      </c>
      <c r="G1760" s="2">
        <f>AVERAGEIFS([3]!players[gold_per_min], [3]!players[name],A1760,[3]!players[hero_name],B1760)</f>
        <v>781.66666666666663</v>
      </c>
      <c r="H1760" s="2">
        <f>AVERAGEIFS([3]!players[xp_per_min], [3]!players[name],A1760,[3]!players[hero_name],B1760)</f>
        <v>982</v>
      </c>
    </row>
    <row r="1761" spans="1:8" x14ac:dyDescent="0.3">
      <c r="A1761" t="str">
        <v>selfhate</v>
      </c>
      <c r="B1761" t="str">
        <v>Phantom Lancer</v>
      </c>
      <c r="C1761" t="str" cm="1">
        <f t="array" ref="C1761">_xlfn.XLOOKUP(1,([3]!players[name]=A1761)*([3]!players[hero_name]=B1761),[3]!players[lane_name])</f>
        <v>Carry</v>
      </c>
      <c r="D1761">
        <f>COUNTIFS([3]!players[name],A1761,[3]!players[hero_name],B1761)</f>
        <v>2</v>
      </c>
      <c r="E1761">
        <f>COUNTIFS([3]!players[name],A1761,[3]!players[hero_name],B1761, [3]!players[win], 1)</f>
        <v>0</v>
      </c>
      <c r="F1761" s="1">
        <f t="shared" si="27"/>
        <v>0</v>
      </c>
      <c r="G1761" s="2">
        <f>AVERAGEIFS([3]!players[gold_per_min], [3]!players[name],A1761,[3]!players[hero_name],B1761)</f>
        <v>603</v>
      </c>
      <c r="H1761" s="2">
        <f>AVERAGEIFS([3]!players[xp_per_min], [3]!players[name],A1761,[3]!players[hero_name],B1761)</f>
        <v>606.5</v>
      </c>
    </row>
    <row r="1762" spans="1:8" x14ac:dyDescent="0.3">
      <c r="A1762" t="str">
        <v>selfhate</v>
      </c>
      <c r="B1762" t="str">
        <v>Lone Druid</v>
      </c>
      <c r="C1762" t="str" cm="1">
        <f t="array" ref="C1762">_xlfn.XLOOKUP(1,([3]!players[name]=A1762)*([3]!players[hero_name]=B1762),[3]!players[lane_name])</f>
        <v>Carry</v>
      </c>
      <c r="D1762">
        <f>COUNTIFS([3]!players[name],A1762,[3]!players[hero_name],B1762)</f>
        <v>1</v>
      </c>
      <c r="E1762">
        <f>COUNTIFS([3]!players[name],A1762,[3]!players[hero_name],B1762, [3]!players[win], 1)</f>
        <v>1</v>
      </c>
      <c r="F1762" s="1">
        <f t="shared" si="27"/>
        <v>1</v>
      </c>
      <c r="G1762" s="2">
        <f>AVERAGEIFS([3]!players[gold_per_min], [3]!players[name],A1762,[3]!players[hero_name],B1762)</f>
        <v>742</v>
      </c>
      <c r="H1762" s="2">
        <f>AVERAGEIFS([3]!players[xp_per_min], [3]!players[name],A1762,[3]!players[hero_name],B1762)</f>
        <v>700</v>
      </c>
    </row>
    <row r="1763" spans="1:8" x14ac:dyDescent="0.3">
      <c r="A1763" t="str">
        <v>Serenada</v>
      </c>
      <c r="B1763" t="str">
        <v>Primal Beast</v>
      </c>
      <c r="C1763" t="str" cm="1">
        <f t="array" ref="C1763">_xlfn.XLOOKUP(1,([3]!players[name]=A1763)*([3]!players[hero_name]=B1763),[3]!players[lane_name])</f>
        <v>Mid</v>
      </c>
      <c r="D1763">
        <f>COUNTIFS([3]!players[name],A1763,[3]!players[hero_name],B1763)</f>
        <v>2</v>
      </c>
      <c r="E1763">
        <f>COUNTIFS([3]!players[name],A1763,[3]!players[hero_name],B1763, [3]!players[win], 1)</f>
        <v>0</v>
      </c>
      <c r="F1763" s="1">
        <f t="shared" si="27"/>
        <v>0</v>
      </c>
      <c r="G1763" s="2">
        <f>AVERAGEIFS([3]!players[gold_per_min], [3]!players[name],A1763,[3]!players[hero_name],B1763)</f>
        <v>418</v>
      </c>
      <c r="H1763" s="2">
        <f>AVERAGEIFS([3]!players[xp_per_min], [3]!players[name],A1763,[3]!players[hero_name],B1763)</f>
        <v>498</v>
      </c>
    </row>
    <row r="1764" spans="1:8" x14ac:dyDescent="0.3">
      <c r="A1764" t="str">
        <v>Serenada</v>
      </c>
      <c r="B1764" t="str">
        <v>Pangolier</v>
      </c>
      <c r="C1764" t="str" cm="1">
        <f t="array" ref="C1764">_xlfn.XLOOKUP(1,([3]!players[name]=A1764)*([3]!players[hero_name]=B1764),[3]!players[lane_name])</f>
        <v>Mid</v>
      </c>
      <c r="D1764">
        <f>COUNTIFS([3]!players[name],A1764,[3]!players[hero_name],B1764)</f>
        <v>1</v>
      </c>
      <c r="E1764">
        <f>COUNTIFS([3]!players[name],A1764,[3]!players[hero_name],B1764, [3]!players[win], 1)</f>
        <v>0</v>
      </c>
      <c r="F1764" s="1">
        <f t="shared" si="27"/>
        <v>0</v>
      </c>
      <c r="G1764" s="2">
        <f>AVERAGEIFS([3]!players[gold_per_min], [3]!players[name],A1764,[3]!players[hero_name],B1764)</f>
        <v>477</v>
      </c>
      <c r="H1764" s="2">
        <f>AVERAGEIFS([3]!players[xp_per_min], [3]!players[name],A1764,[3]!players[hero_name],B1764)</f>
        <v>521</v>
      </c>
    </row>
    <row r="1765" spans="1:8" x14ac:dyDescent="0.3">
      <c r="A1765" t="str">
        <v>Serenada</v>
      </c>
      <c r="B1765" t="str">
        <v>Puck</v>
      </c>
      <c r="C1765" t="str" cm="1">
        <f t="array" ref="C1765">_xlfn.XLOOKUP(1,([3]!players[name]=A1765)*([3]!players[hero_name]=B1765),[3]!players[lane_name])</f>
        <v>Mid</v>
      </c>
      <c r="D1765">
        <f>COUNTIFS([3]!players[name],A1765,[3]!players[hero_name],B1765)</f>
        <v>4</v>
      </c>
      <c r="E1765">
        <f>COUNTIFS([3]!players[name],A1765,[3]!players[hero_name],B1765, [3]!players[win], 1)</f>
        <v>2</v>
      </c>
      <c r="F1765" s="1">
        <f t="shared" si="27"/>
        <v>0.5</v>
      </c>
      <c r="G1765" s="2">
        <f>AVERAGEIFS([3]!players[gold_per_min], [3]!players[name],A1765,[3]!players[hero_name],B1765)</f>
        <v>486.5</v>
      </c>
      <c r="H1765" s="2">
        <f>AVERAGEIFS([3]!players[xp_per_min], [3]!players[name],A1765,[3]!players[hero_name],B1765)</f>
        <v>632.75</v>
      </c>
    </row>
    <row r="1766" spans="1:8" x14ac:dyDescent="0.3">
      <c r="A1766" t="str">
        <v>Serenada</v>
      </c>
      <c r="B1766" t="str">
        <v>Void Spirit</v>
      </c>
      <c r="C1766" t="str" cm="1">
        <f t="array" ref="C1766">_xlfn.XLOOKUP(1,([3]!players[name]=A1766)*([3]!players[hero_name]=B1766),[3]!players[lane_name])</f>
        <v>Mid</v>
      </c>
      <c r="D1766">
        <f>COUNTIFS([3]!players[name],A1766,[3]!players[hero_name],B1766)</f>
        <v>4</v>
      </c>
      <c r="E1766">
        <f>COUNTIFS([3]!players[name],A1766,[3]!players[hero_name],B1766, [3]!players[win], 1)</f>
        <v>1</v>
      </c>
      <c r="F1766" s="1">
        <f t="shared" si="27"/>
        <v>0.25</v>
      </c>
      <c r="G1766" s="2">
        <f>AVERAGEIFS([3]!players[gold_per_min], [3]!players[name],A1766,[3]!players[hero_name],B1766)</f>
        <v>607.5</v>
      </c>
      <c r="H1766" s="2">
        <f>AVERAGEIFS([3]!players[xp_per_min], [3]!players[name],A1766,[3]!players[hero_name],B1766)</f>
        <v>811</v>
      </c>
    </row>
    <row r="1767" spans="1:8" x14ac:dyDescent="0.3">
      <c r="A1767" t="str">
        <v>Serenada</v>
      </c>
      <c r="B1767" t="str">
        <v>Ember Spirit</v>
      </c>
      <c r="C1767" t="str" cm="1">
        <f t="array" ref="C1767">_xlfn.XLOOKUP(1,([3]!players[name]=A1767)*([3]!players[hero_name]=B1767),[3]!players[lane_name])</f>
        <v>Mid</v>
      </c>
      <c r="D1767">
        <f>COUNTIFS([3]!players[name],A1767,[3]!players[hero_name],B1767)</f>
        <v>1</v>
      </c>
      <c r="E1767">
        <f>COUNTIFS([3]!players[name],A1767,[3]!players[hero_name],B1767, [3]!players[win], 1)</f>
        <v>0</v>
      </c>
      <c r="F1767" s="1">
        <f t="shared" si="27"/>
        <v>0</v>
      </c>
      <c r="G1767" s="2">
        <f>AVERAGEIFS([3]!players[gold_per_min], [3]!players[name],A1767,[3]!players[hero_name],B1767)</f>
        <v>393</v>
      </c>
      <c r="H1767" s="2">
        <f>AVERAGEIFS([3]!players[xp_per_min], [3]!players[name],A1767,[3]!players[hero_name],B1767)</f>
        <v>453</v>
      </c>
    </row>
    <row r="1768" spans="1:8" x14ac:dyDescent="0.3">
      <c r="A1768" t="str">
        <v>Serenada</v>
      </c>
      <c r="B1768" t="str">
        <v>Death Prophet</v>
      </c>
      <c r="C1768" t="str" cm="1">
        <f t="array" ref="C1768">_xlfn.XLOOKUP(1,([3]!players[name]=A1768)*([3]!players[hero_name]=B1768),[3]!players[lane_name])</f>
        <v>Mid</v>
      </c>
      <c r="D1768">
        <f>COUNTIFS([3]!players[name],A1768,[3]!players[hero_name],B1768)</f>
        <v>1</v>
      </c>
      <c r="E1768">
        <f>COUNTIFS([3]!players[name],A1768,[3]!players[hero_name],B1768, [3]!players[win], 1)</f>
        <v>0</v>
      </c>
      <c r="F1768" s="1">
        <f t="shared" si="27"/>
        <v>0</v>
      </c>
      <c r="G1768" s="2">
        <f>AVERAGEIFS([3]!players[gold_per_min], [3]!players[name],A1768,[3]!players[hero_name],B1768)</f>
        <v>481</v>
      </c>
      <c r="H1768" s="2">
        <f>AVERAGEIFS([3]!players[xp_per_min], [3]!players[name],A1768,[3]!players[hero_name],B1768)</f>
        <v>542</v>
      </c>
    </row>
    <row r="1769" spans="1:8" x14ac:dyDescent="0.3">
      <c r="A1769" t="str">
        <v>Serenada</v>
      </c>
      <c r="B1769" t="str">
        <v>Sand King</v>
      </c>
      <c r="C1769" t="str" cm="1">
        <f t="array" ref="C1769">_xlfn.XLOOKUP(1,([3]!players[name]=A1769)*([3]!players[hero_name]=B1769),[3]!players[lane_name])</f>
        <v>Mid</v>
      </c>
      <c r="D1769">
        <f>COUNTIFS([3]!players[name],A1769,[3]!players[hero_name],B1769)</f>
        <v>1</v>
      </c>
      <c r="E1769">
        <f>COUNTIFS([3]!players[name],A1769,[3]!players[hero_name],B1769, [3]!players[win], 1)</f>
        <v>1</v>
      </c>
      <c r="F1769" s="1">
        <f t="shared" si="27"/>
        <v>1</v>
      </c>
      <c r="G1769" s="2">
        <f>AVERAGEIFS([3]!players[gold_per_min], [3]!players[name],A1769,[3]!players[hero_name],B1769)</f>
        <v>630</v>
      </c>
      <c r="H1769" s="2">
        <f>AVERAGEIFS([3]!players[xp_per_min], [3]!players[name],A1769,[3]!players[hero_name],B1769)</f>
        <v>894</v>
      </c>
    </row>
    <row r="1770" spans="1:8" x14ac:dyDescent="0.3">
      <c r="A1770" t="str">
        <v>Serenada</v>
      </c>
      <c r="B1770" t="str">
        <v>Huskar</v>
      </c>
      <c r="C1770" t="str" cm="1">
        <f t="array" ref="C1770">_xlfn.XLOOKUP(1,([3]!players[name]=A1770)*([3]!players[hero_name]=B1770),[3]!players[lane_name])</f>
        <v>Mid</v>
      </c>
      <c r="D1770">
        <f>COUNTIFS([3]!players[name],A1770,[3]!players[hero_name],B1770)</f>
        <v>2</v>
      </c>
      <c r="E1770">
        <f>COUNTIFS([3]!players[name],A1770,[3]!players[hero_name],B1770, [3]!players[win], 1)</f>
        <v>0</v>
      </c>
      <c r="F1770" s="1">
        <f t="shared" si="27"/>
        <v>0</v>
      </c>
      <c r="G1770" s="2">
        <f>AVERAGEIFS([3]!players[gold_per_min], [3]!players[name],A1770,[3]!players[hero_name],B1770)</f>
        <v>424</v>
      </c>
      <c r="H1770" s="2">
        <f>AVERAGEIFS([3]!players[xp_per_min], [3]!players[name],A1770,[3]!players[hero_name],B1770)</f>
        <v>487</v>
      </c>
    </row>
    <row r="1771" spans="1:8" x14ac:dyDescent="0.3">
      <c r="A1771" t="str">
        <v>Serenada</v>
      </c>
      <c r="B1771" t="str">
        <v>Queen of Pain</v>
      </c>
      <c r="C1771" t="str" cm="1">
        <f t="array" ref="C1771">_xlfn.XLOOKUP(1,([3]!players[name]=A1771)*([3]!players[hero_name]=B1771),[3]!players[lane_name])</f>
        <v>Mid</v>
      </c>
      <c r="D1771">
        <f>COUNTIFS([3]!players[name],A1771,[3]!players[hero_name],B1771)</f>
        <v>1</v>
      </c>
      <c r="E1771">
        <f>COUNTIFS([3]!players[name],A1771,[3]!players[hero_name],B1771, [3]!players[win], 1)</f>
        <v>0</v>
      </c>
      <c r="F1771" s="1">
        <f t="shared" si="27"/>
        <v>0</v>
      </c>
      <c r="G1771" s="2">
        <f>AVERAGEIFS([3]!players[gold_per_min], [3]!players[name],A1771,[3]!players[hero_name],B1771)</f>
        <v>582</v>
      </c>
      <c r="H1771" s="2">
        <f>AVERAGEIFS([3]!players[xp_per_min], [3]!players[name],A1771,[3]!players[hero_name],B1771)</f>
        <v>1013</v>
      </c>
    </row>
    <row r="1772" spans="1:8" x14ac:dyDescent="0.3">
      <c r="A1772" t="str">
        <v>setuna</v>
      </c>
      <c r="B1772" t="str">
        <v>Phoenix</v>
      </c>
      <c r="C1772" t="str" cm="1">
        <f t="array" ref="C1772">_xlfn.XLOOKUP(1,([3]!players[name]=A1772)*([3]!players[hero_name]=B1772),[3]!players[lane_name])</f>
        <v>Soft Support</v>
      </c>
      <c r="D1772">
        <f>COUNTIFS([3]!players[name],A1772,[3]!players[hero_name],B1772)</f>
        <v>1</v>
      </c>
      <c r="E1772">
        <f>COUNTIFS([3]!players[name],A1772,[3]!players[hero_name],B1772, [3]!players[win], 1)</f>
        <v>0</v>
      </c>
      <c r="F1772" s="1">
        <f t="shared" si="27"/>
        <v>0</v>
      </c>
      <c r="G1772" s="2">
        <f>AVERAGEIFS([3]!players[gold_per_min], [3]!players[name],A1772,[3]!players[hero_name],B1772)</f>
        <v>298</v>
      </c>
      <c r="H1772" s="2">
        <f>AVERAGEIFS([3]!players[xp_per_min], [3]!players[name],A1772,[3]!players[hero_name],B1772)</f>
        <v>326</v>
      </c>
    </row>
    <row r="1773" spans="1:8" x14ac:dyDescent="0.3">
      <c r="A1773" t="str">
        <v>setuna</v>
      </c>
      <c r="B1773" t="str">
        <v>Winter Wyvern</v>
      </c>
      <c r="C1773" t="str" cm="1">
        <f t="array" ref="C1773">_xlfn.XLOOKUP(1,([3]!players[name]=A1773)*([3]!players[hero_name]=B1773),[3]!players[lane_name])</f>
        <v>Roam</v>
      </c>
      <c r="D1773">
        <f>COUNTIFS([3]!players[name],A1773,[3]!players[hero_name],B1773)</f>
        <v>1</v>
      </c>
      <c r="E1773">
        <f>COUNTIFS([3]!players[name],A1773,[3]!players[hero_name],B1773, [3]!players[win], 1)</f>
        <v>0</v>
      </c>
      <c r="F1773" s="1">
        <f t="shared" si="27"/>
        <v>0</v>
      </c>
      <c r="G1773" s="2">
        <f>AVERAGEIFS([3]!players[gold_per_min], [3]!players[name],A1773,[3]!players[hero_name],B1773)</f>
        <v>214</v>
      </c>
      <c r="H1773" s="2">
        <f>AVERAGEIFS([3]!players[xp_per_min], [3]!players[name],A1773,[3]!players[hero_name],B1773)</f>
        <v>236</v>
      </c>
    </row>
    <row r="1774" spans="1:8" x14ac:dyDescent="0.3">
      <c r="A1774" t="str">
        <v>SHEOL</v>
      </c>
      <c r="B1774" t="str">
        <v>Pangolier</v>
      </c>
      <c r="C1774" t="str" cm="1">
        <f t="array" ref="C1774">_xlfn.XLOOKUP(1,([3]!players[name]=A1774)*([3]!players[hero_name]=B1774),[3]!players[lane_name])</f>
        <v>Mid</v>
      </c>
      <c r="D1774">
        <f>COUNTIFS([3]!players[name],A1774,[3]!players[hero_name],B1774)</f>
        <v>2</v>
      </c>
      <c r="E1774">
        <f>COUNTIFS([3]!players[name],A1774,[3]!players[hero_name],B1774, [3]!players[win], 1)</f>
        <v>1</v>
      </c>
      <c r="F1774" s="1">
        <f t="shared" si="27"/>
        <v>0.5</v>
      </c>
      <c r="G1774" s="2">
        <f>AVERAGEIFS([3]!players[gold_per_min], [3]!players[name],A1774,[3]!players[hero_name],B1774)</f>
        <v>480</v>
      </c>
      <c r="H1774" s="2">
        <f>AVERAGEIFS([3]!players[xp_per_min], [3]!players[name],A1774,[3]!players[hero_name],B1774)</f>
        <v>573</v>
      </c>
    </row>
    <row r="1775" spans="1:8" x14ac:dyDescent="0.3">
      <c r="A1775" t="str">
        <v>SHEOL</v>
      </c>
      <c r="B1775" t="str">
        <v>Ember Spirit</v>
      </c>
      <c r="C1775" t="str" cm="1">
        <f t="array" ref="C1775">_xlfn.XLOOKUP(1,([3]!players[name]=A1775)*([3]!players[hero_name]=B1775),[3]!players[lane_name])</f>
        <v>Mid</v>
      </c>
      <c r="D1775">
        <f>COUNTIFS([3]!players[name],A1775,[3]!players[hero_name],B1775)</f>
        <v>4</v>
      </c>
      <c r="E1775">
        <f>COUNTIFS([3]!players[name],A1775,[3]!players[hero_name],B1775, [3]!players[win], 1)</f>
        <v>3</v>
      </c>
      <c r="F1775" s="1">
        <f t="shared" si="27"/>
        <v>0.75</v>
      </c>
      <c r="G1775" s="2">
        <f>AVERAGEIFS([3]!players[gold_per_min], [3]!players[name],A1775,[3]!players[hero_name],B1775)</f>
        <v>555.75</v>
      </c>
      <c r="H1775" s="2">
        <f>AVERAGEIFS([3]!players[xp_per_min], [3]!players[name],A1775,[3]!players[hero_name],B1775)</f>
        <v>763</v>
      </c>
    </row>
    <row r="1776" spans="1:8" x14ac:dyDescent="0.3">
      <c r="A1776" t="str">
        <v>SHEOL</v>
      </c>
      <c r="B1776" t="str">
        <v>Queen of Pain</v>
      </c>
      <c r="C1776" t="str" cm="1">
        <f t="array" ref="C1776">_xlfn.XLOOKUP(1,([3]!players[name]=A1776)*([3]!players[hero_name]=B1776),[3]!players[lane_name])</f>
        <v>Mid</v>
      </c>
      <c r="D1776">
        <f>COUNTIFS([3]!players[name],A1776,[3]!players[hero_name],B1776)</f>
        <v>3</v>
      </c>
      <c r="E1776">
        <f>COUNTIFS([3]!players[name],A1776,[3]!players[hero_name],B1776, [3]!players[win], 1)</f>
        <v>2</v>
      </c>
      <c r="F1776" s="1">
        <f t="shared" si="27"/>
        <v>0.66666666666666663</v>
      </c>
      <c r="G1776" s="2">
        <f>AVERAGEIFS([3]!players[gold_per_min], [3]!players[name],A1776,[3]!players[hero_name],B1776)</f>
        <v>628</v>
      </c>
      <c r="H1776" s="2">
        <f>AVERAGEIFS([3]!players[xp_per_min], [3]!players[name],A1776,[3]!players[hero_name],B1776)</f>
        <v>741.66666666666663</v>
      </c>
    </row>
    <row r="1777" spans="1:8" x14ac:dyDescent="0.3">
      <c r="A1777" t="str">
        <v>SHEOL</v>
      </c>
      <c r="B1777" t="str">
        <v>Void Spirit</v>
      </c>
      <c r="C1777" t="str" cm="1">
        <f t="array" ref="C1777">_xlfn.XLOOKUP(1,([3]!players[name]=A1777)*([3]!players[hero_name]=B1777),[3]!players[lane_name])</f>
        <v>Mid</v>
      </c>
      <c r="D1777">
        <f>COUNTIFS([3]!players[name],A1777,[3]!players[hero_name],B1777)</f>
        <v>3</v>
      </c>
      <c r="E1777">
        <f>COUNTIFS([3]!players[name],A1777,[3]!players[hero_name],B1777, [3]!players[win], 1)</f>
        <v>1</v>
      </c>
      <c r="F1777" s="1">
        <f t="shared" si="27"/>
        <v>0.33333333333333331</v>
      </c>
      <c r="G1777" s="2">
        <f>AVERAGEIFS([3]!players[gold_per_min], [3]!players[name],A1777,[3]!players[hero_name],B1777)</f>
        <v>568</v>
      </c>
      <c r="H1777" s="2">
        <f>AVERAGEIFS([3]!players[xp_per_min], [3]!players[name],A1777,[3]!players[hero_name],B1777)</f>
        <v>737.66666666666663</v>
      </c>
    </row>
    <row r="1778" spans="1:8" x14ac:dyDescent="0.3">
      <c r="A1778" t="str">
        <v>SHEOL</v>
      </c>
      <c r="B1778" t="str">
        <v>Sand King</v>
      </c>
      <c r="C1778" t="str" cm="1">
        <f t="array" ref="C1778">_xlfn.XLOOKUP(1,([3]!players[name]=A1778)*([3]!players[hero_name]=B1778),[3]!players[lane_name])</f>
        <v>Mid</v>
      </c>
      <c r="D1778">
        <f>COUNTIFS([3]!players[name],A1778,[3]!players[hero_name],B1778)</f>
        <v>2</v>
      </c>
      <c r="E1778">
        <f>COUNTIFS([3]!players[name],A1778,[3]!players[hero_name],B1778, [3]!players[win], 1)</f>
        <v>1</v>
      </c>
      <c r="F1778" s="1">
        <f t="shared" si="27"/>
        <v>0.5</v>
      </c>
      <c r="G1778" s="2">
        <f>AVERAGEIFS([3]!players[gold_per_min], [3]!players[name],A1778,[3]!players[hero_name],B1778)</f>
        <v>527</v>
      </c>
      <c r="H1778" s="2">
        <f>AVERAGEIFS([3]!players[xp_per_min], [3]!players[name],A1778,[3]!players[hero_name],B1778)</f>
        <v>644</v>
      </c>
    </row>
    <row r="1779" spans="1:8" x14ac:dyDescent="0.3">
      <c r="A1779" t="str">
        <v>SHEOL</v>
      </c>
      <c r="B1779" t="str">
        <v>Storm Spirit</v>
      </c>
      <c r="C1779" t="str" cm="1">
        <f t="array" ref="C1779">_xlfn.XLOOKUP(1,([3]!players[name]=A1779)*([3]!players[hero_name]=B1779),[3]!players[lane_name])</f>
        <v>Mid</v>
      </c>
      <c r="D1779">
        <f>COUNTIFS([3]!players[name],A1779,[3]!players[hero_name],B1779)</f>
        <v>1</v>
      </c>
      <c r="E1779">
        <f>COUNTIFS([3]!players[name],A1779,[3]!players[hero_name],B1779, [3]!players[win], 1)</f>
        <v>1</v>
      </c>
      <c r="F1779" s="1">
        <f t="shared" si="27"/>
        <v>1</v>
      </c>
      <c r="G1779" s="2">
        <f>AVERAGEIFS([3]!players[gold_per_min], [3]!players[name],A1779,[3]!players[hero_name],B1779)</f>
        <v>591</v>
      </c>
      <c r="H1779" s="2">
        <f>AVERAGEIFS([3]!players[xp_per_min], [3]!players[name],A1779,[3]!players[hero_name],B1779)</f>
        <v>622</v>
      </c>
    </row>
    <row r="1780" spans="1:8" x14ac:dyDescent="0.3">
      <c r="A1780" t="str">
        <v>SHEOL</v>
      </c>
      <c r="B1780" t="str">
        <v>Beastmaster</v>
      </c>
      <c r="C1780" t="str" cm="1">
        <f t="array" ref="C1780">_xlfn.XLOOKUP(1,([3]!players[name]=A1780)*([3]!players[hero_name]=B1780),[3]!players[lane_name])</f>
        <v>Mid</v>
      </c>
      <c r="D1780">
        <f>COUNTIFS([3]!players[name],A1780,[3]!players[hero_name],B1780)</f>
        <v>1</v>
      </c>
      <c r="E1780">
        <f>COUNTIFS([3]!players[name],A1780,[3]!players[hero_name],B1780, [3]!players[win], 1)</f>
        <v>1</v>
      </c>
      <c r="F1780" s="1">
        <f t="shared" si="27"/>
        <v>1</v>
      </c>
      <c r="G1780" s="2">
        <f>AVERAGEIFS([3]!players[gold_per_min], [3]!players[name],A1780,[3]!players[hero_name],B1780)</f>
        <v>797</v>
      </c>
      <c r="H1780" s="2">
        <f>AVERAGEIFS([3]!players[xp_per_min], [3]!players[name],A1780,[3]!players[hero_name],B1780)</f>
        <v>811</v>
      </c>
    </row>
    <row r="1781" spans="1:8" x14ac:dyDescent="0.3">
      <c r="A1781" t="str">
        <v>shigetsu</v>
      </c>
      <c r="B1781" t="str">
        <v>Luna</v>
      </c>
      <c r="C1781" t="str" cm="1">
        <f t="array" ref="C1781">_xlfn.XLOOKUP(1,([3]!players[name]=A1781)*([3]!players[hero_name]=B1781),[3]!players[lane_name])</f>
        <v>Carry</v>
      </c>
      <c r="D1781">
        <f>COUNTIFS([3]!players[name],A1781,[3]!players[hero_name],B1781)</f>
        <v>8</v>
      </c>
      <c r="E1781">
        <f>COUNTIFS([3]!players[name],A1781,[3]!players[hero_name],B1781, [3]!players[win], 1)</f>
        <v>7</v>
      </c>
      <c r="F1781" s="1">
        <f t="shared" si="27"/>
        <v>0.875</v>
      </c>
      <c r="G1781" s="2">
        <f>AVERAGEIFS([3]!players[gold_per_min], [3]!players[name],A1781,[3]!players[hero_name],B1781)</f>
        <v>868</v>
      </c>
      <c r="H1781" s="2">
        <f>AVERAGEIFS([3]!players[xp_per_min], [3]!players[name],A1781,[3]!players[hero_name],B1781)</f>
        <v>978.25</v>
      </c>
    </row>
    <row r="1782" spans="1:8" x14ac:dyDescent="0.3">
      <c r="A1782" t="str">
        <v>shigetsu</v>
      </c>
      <c r="B1782" t="str">
        <v>Lifestealer</v>
      </c>
      <c r="C1782" t="str" cm="1">
        <f t="array" ref="C1782">_xlfn.XLOOKUP(1,([3]!players[name]=A1782)*([3]!players[hero_name]=B1782),[3]!players[lane_name])</f>
        <v>Carry</v>
      </c>
      <c r="D1782">
        <f>COUNTIFS([3]!players[name],A1782,[3]!players[hero_name],B1782)</f>
        <v>1</v>
      </c>
      <c r="E1782">
        <f>COUNTIFS([3]!players[name],A1782,[3]!players[hero_name],B1782, [3]!players[win], 1)</f>
        <v>1</v>
      </c>
      <c r="F1782" s="1">
        <f t="shared" si="27"/>
        <v>1</v>
      </c>
      <c r="G1782" s="2">
        <f>AVERAGEIFS([3]!players[gold_per_min], [3]!players[name],A1782,[3]!players[hero_name],B1782)</f>
        <v>737</v>
      </c>
      <c r="H1782" s="2">
        <f>AVERAGEIFS([3]!players[xp_per_min], [3]!players[name],A1782,[3]!players[hero_name],B1782)</f>
        <v>1075</v>
      </c>
    </row>
    <row r="1783" spans="1:8" x14ac:dyDescent="0.3">
      <c r="A1783" t="str">
        <v>shigetsu</v>
      </c>
      <c r="B1783" t="str">
        <v>Faceless Void</v>
      </c>
      <c r="C1783" t="str" cm="1">
        <f t="array" ref="C1783">_xlfn.XLOOKUP(1,([3]!players[name]=A1783)*([3]!players[hero_name]=B1783),[3]!players[lane_name])</f>
        <v>Carry</v>
      </c>
      <c r="D1783">
        <f>COUNTIFS([3]!players[name],A1783,[3]!players[hero_name],B1783)</f>
        <v>5</v>
      </c>
      <c r="E1783">
        <f>COUNTIFS([3]!players[name],A1783,[3]!players[hero_name],B1783, [3]!players[win], 1)</f>
        <v>3</v>
      </c>
      <c r="F1783" s="1">
        <f t="shared" si="27"/>
        <v>0.6</v>
      </c>
      <c r="G1783" s="2">
        <f>AVERAGEIFS([3]!players[gold_per_min], [3]!players[name],A1783,[3]!players[hero_name],B1783)</f>
        <v>698.8</v>
      </c>
      <c r="H1783" s="2">
        <f>AVERAGEIFS([3]!players[xp_per_min], [3]!players[name],A1783,[3]!players[hero_name],B1783)</f>
        <v>873.6</v>
      </c>
    </row>
    <row r="1784" spans="1:8" x14ac:dyDescent="0.3">
      <c r="A1784" t="str">
        <v>shigetsu</v>
      </c>
      <c r="B1784" t="str">
        <v>Muerta</v>
      </c>
      <c r="C1784" t="str" cm="1">
        <f t="array" ref="C1784">_xlfn.XLOOKUP(1,([3]!players[name]=A1784)*([3]!players[hero_name]=B1784),[3]!players[lane_name])</f>
        <v>Carry</v>
      </c>
      <c r="D1784">
        <f>COUNTIFS([3]!players[name],A1784,[3]!players[hero_name],B1784)</f>
        <v>3</v>
      </c>
      <c r="E1784">
        <f>COUNTIFS([3]!players[name],A1784,[3]!players[hero_name],B1784, [3]!players[win], 1)</f>
        <v>2</v>
      </c>
      <c r="F1784" s="1">
        <f t="shared" si="27"/>
        <v>0.66666666666666663</v>
      </c>
      <c r="G1784" s="2">
        <f>AVERAGEIFS([3]!players[gold_per_min], [3]!players[name],A1784,[3]!players[hero_name],B1784)</f>
        <v>774</v>
      </c>
      <c r="H1784" s="2">
        <f>AVERAGEIFS([3]!players[xp_per_min], [3]!players[name],A1784,[3]!players[hero_name],B1784)</f>
        <v>860.33333333333337</v>
      </c>
    </row>
    <row r="1785" spans="1:8" x14ac:dyDescent="0.3">
      <c r="A1785" t="str">
        <v>shigetsu</v>
      </c>
      <c r="B1785" t="str">
        <v>Alchemist</v>
      </c>
      <c r="C1785" t="str" cm="1">
        <f t="array" ref="C1785">_xlfn.XLOOKUP(1,([3]!players[name]=A1785)*([3]!players[hero_name]=B1785),[3]!players[lane_name])</f>
        <v>Carry</v>
      </c>
      <c r="D1785">
        <f>COUNTIFS([3]!players[name],A1785,[3]!players[hero_name],B1785)</f>
        <v>2</v>
      </c>
      <c r="E1785">
        <f>COUNTIFS([3]!players[name],A1785,[3]!players[hero_name],B1785, [3]!players[win], 1)</f>
        <v>2</v>
      </c>
      <c r="F1785" s="1">
        <f t="shared" si="27"/>
        <v>1</v>
      </c>
      <c r="G1785" s="2">
        <f>AVERAGEIFS([3]!players[gold_per_min], [3]!players[name],A1785,[3]!players[hero_name],B1785)</f>
        <v>1074</v>
      </c>
      <c r="H1785" s="2">
        <f>AVERAGEIFS([3]!players[xp_per_min], [3]!players[name],A1785,[3]!players[hero_name],B1785)</f>
        <v>1118</v>
      </c>
    </row>
    <row r="1786" spans="1:8" x14ac:dyDescent="0.3">
      <c r="A1786" t="str">
        <v>shigetsu</v>
      </c>
      <c r="B1786" t="str">
        <v>Dragon Knight</v>
      </c>
      <c r="C1786" t="str" cm="1">
        <f t="array" ref="C1786">_xlfn.XLOOKUP(1,([3]!players[name]=A1786)*([3]!players[hero_name]=B1786),[3]!players[lane_name])</f>
        <v>Carry</v>
      </c>
      <c r="D1786">
        <f>COUNTIFS([3]!players[name],A1786,[3]!players[hero_name],B1786)</f>
        <v>1</v>
      </c>
      <c r="E1786">
        <f>COUNTIFS([3]!players[name],A1786,[3]!players[hero_name],B1786, [3]!players[win], 1)</f>
        <v>1</v>
      </c>
      <c r="F1786" s="1">
        <f t="shared" si="27"/>
        <v>1</v>
      </c>
      <c r="G1786" s="2">
        <f>AVERAGEIFS([3]!players[gold_per_min], [3]!players[name],A1786,[3]!players[hero_name],B1786)</f>
        <v>811</v>
      </c>
      <c r="H1786" s="2">
        <f>AVERAGEIFS([3]!players[xp_per_min], [3]!players[name],A1786,[3]!players[hero_name],B1786)</f>
        <v>854</v>
      </c>
    </row>
    <row r="1787" spans="1:8" x14ac:dyDescent="0.3">
      <c r="A1787" t="str">
        <v>shigetsu</v>
      </c>
      <c r="B1787" t="str">
        <v>Terrorblade</v>
      </c>
      <c r="C1787" t="str" cm="1">
        <f t="array" ref="C1787">_xlfn.XLOOKUP(1,([3]!players[name]=A1787)*([3]!players[hero_name]=B1787),[3]!players[lane_name])</f>
        <v>Carry</v>
      </c>
      <c r="D1787">
        <f>COUNTIFS([3]!players[name],A1787,[3]!players[hero_name],B1787)</f>
        <v>1</v>
      </c>
      <c r="E1787">
        <f>COUNTIFS([3]!players[name],A1787,[3]!players[hero_name],B1787, [3]!players[win], 1)</f>
        <v>0</v>
      </c>
      <c r="F1787" s="1">
        <f t="shared" si="27"/>
        <v>0</v>
      </c>
      <c r="G1787" s="2">
        <f>AVERAGEIFS([3]!players[gold_per_min], [3]!players[name],A1787,[3]!players[hero_name],B1787)</f>
        <v>902</v>
      </c>
      <c r="H1787" s="2">
        <f>AVERAGEIFS([3]!players[xp_per_min], [3]!players[name],A1787,[3]!players[hero_name],B1787)</f>
        <v>672</v>
      </c>
    </row>
    <row r="1788" spans="1:8" x14ac:dyDescent="0.3">
      <c r="A1788" t="str">
        <v>shigetsu</v>
      </c>
      <c r="B1788" t="str">
        <v>Ursa</v>
      </c>
      <c r="C1788" t="str" cm="1">
        <f t="array" ref="C1788">_xlfn.XLOOKUP(1,([3]!players[name]=A1788)*([3]!players[hero_name]=B1788),[3]!players[lane_name])</f>
        <v>Carry</v>
      </c>
      <c r="D1788">
        <f>COUNTIFS([3]!players[name],A1788,[3]!players[hero_name],B1788)</f>
        <v>1</v>
      </c>
      <c r="E1788">
        <f>COUNTIFS([3]!players[name],A1788,[3]!players[hero_name],B1788, [3]!players[win], 1)</f>
        <v>0</v>
      </c>
      <c r="F1788" s="1">
        <f t="shared" si="27"/>
        <v>0</v>
      </c>
      <c r="G1788" s="2">
        <f>AVERAGEIFS([3]!players[gold_per_min], [3]!players[name],A1788,[3]!players[hero_name],B1788)</f>
        <v>760</v>
      </c>
      <c r="H1788" s="2">
        <f>AVERAGEIFS([3]!players[xp_per_min], [3]!players[name],A1788,[3]!players[hero_name],B1788)</f>
        <v>965</v>
      </c>
    </row>
    <row r="1789" spans="1:8" x14ac:dyDescent="0.3">
      <c r="A1789" t="str">
        <v>shigetsu</v>
      </c>
      <c r="B1789" t="str">
        <v>Doom</v>
      </c>
      <c r="C1789" t="str" cm="1">
        <f t="array" ref="C1789">_xlfn.XLOOKUP(1,([3]!players[name]=A1789)*([3]!players[hero_name]=B1789),[3]!players[lane_name])</f>
        <v>Carry</v>
      </c>
      <c r="D1789">
        <f>COUNTIFS([3]!players[name],A1789,[3]!players[hero_name],B1789)</f>
        <v>1</v>
      </c>
      <c r="E1789">
        <f>COUNTIFS([3]!players[name],A1789,[3]!players[hero_name],B1789, [3]!players[win], 1)</f>
        <v>1</v>
      </c>
      <c r="F1789" s="1">
        <f t="shared" si="27"/>
        <v>1</v>
      </c>
      <c r="G1789" s="2">
        <f>AVERAGEIFS([3]!players[gold_per_min], [3]!players[name],A1789,[3]!players[hero_name],B1789)</f>
        <v>825</v>
      </c>
      <c r="H1789" s="2">
        <f>AVERAGEIFS([3]!players[xp_per_min], [3]!players[name],A1789,[3]!players[hero_name],B1789)</f>
        <v>880</v>
      </c>
    </row>
    <row r="1790" spans="1:8" x14ac:dyDescent="0.3">
      <c r="A1790" t="str">
        <v>shigetsu</v>
      </c>
      <c r="B1790" t="str">
        <v>Bristleback</v>
      </c>
      <c r="C1790" t="str" cm="1">
        <f t="array" ref="C1790">_xlfn.XLOOKUP(1,([3]!players[name]=A1790)*([3]!players[hero_name]=B1790),[3]!players[lane_name])</f>
        <v>Carry</v>
      </c>
      <c r="D1790">
        <f>COUNTIFS([3]!players[name],A1790,[3]!players[hero_name],B1790)</f>
        <v>1</v>
      </c>
      <c r="E1790">
        <f>COUNTIFS([3]!players[name],A1790,[3]!players[hero_name],B1790, [3]!players[win], 1)</f>
        <v>0</v>
      </c>
      <c r="F1790" s="1">
        <f t="shared" si="27"/>
        <v>0</v>
      </c>
      <c r="G1790" s="2">
        <f>AVERAGEIFS([3]!players[gold_per_min], [3]!players[name],A1790,[3]!players[hero_name],B1790)</f>
        <v>581</v>
      </c>
      <c r="H1790" s="2">
        <f>AVERAGEIFS([3]!players[xp_per_min], [3]!players[name],A1790,[3]!players[hero_name],B1790)</f>
        <v>667</v>
      </c>
    </row>
    <row r="1791" spans="1:8" x14ac:dyDescent="0.3">
      <c r="A1791" t="str">
        <v>shigetsu</v>
      </c>
      <c r="B1791" t="str">
        <v>Weaver</v>
      </c>
      <c r="C1791" t="str" cm="1">
        <f t="array" ref="C1791">_xlfn.XLOOKUP(1,([3]!players[name]=A1791)*([3]!players[hero_name]=B1791),[3]!players[lane_name])</f>
        <v>Carry</v>
      </c>
      <c r="D1791">
        <f>COUNTIFS([3]!players[name],A1791,[3]!players[hero_name],B1791)</f>
        <v>2</v>
      </c>
      <c r="E1791">
        <f>COUNTIFS([3]!players[name],A1791,[3]!players[hero_name],B1791, [3]!players[win], 1)</f>
        <v>1</v>
      </c>
      <c r="F1791" s="1">
        <f t="shared" si="27"/>
        <v>0.5</v>
      </c>
      <c r="G1791" s="2">
        <f>AVERAGEIFS([3]!players[gold_per_min], [3]!players[name],A1791,[3]!players[hero_name],B1791)</f>
        <v>769.5</v>
      </c>
      <c r="H1791" s="2">
        <f>AVERAGEIFS([3]!players[xp_per_min], [3]!players[name],A1791,[3]!players[hero_name],B1791)</f>
        <v>1000</v>
      </c>
    </row>
    <row r="1792" spans="1:8" x14ac:dyDescent="0.3">
      <c r="A1792" t="str">
        <v>shigetsu</v>
      </c>
      <c r="B1792" t="str">
        <v>Monkey King</v>
      </c>
      <c r="C1792" t="str" cm="1">
        <f t="array" ref="C1792">_xlfn.XLOOKUP(1,([3]!players[name]=A1792)*([3]!players[hero_name]=B1792),[3]!players[lane_name])</f>
        <v>Carry</v>
      </c>
      <c r="D1792">
        <f>COUNTIFS([3]!players[name],A1792,[3]!players[hero_name],B1792)</f>
        <v>1</v>
      </c>
      <c r="E1792">
        <f>COUNTIFS([3]!players[name],A1792,[3]!players[hero_name],B1792, [3]!players[win], 1)</f>
        <v>1</v>
      </c>
      <c r="F1792" s="1">
        <f t="shared" si="27"/>
        <v>1</v>
      </c>
      <c r="G1792" s="2">
        <f>AVERAGEIFS([3]!players[gold_per_min], [3]!players[name],A1792,[3]!players[hero_name],B1792)</f>
        <v>690</v>
      </c>
      <c r="H1792" s="2">
        <f>AVERAGEIFS([3]!players[xp_per_min], [3]!players[name],A1792,[3]!players[hero_name],B1792)</f>
        <v>629</v>
      </c>
    </row>
    <row r="1793" spans="1:8" x14ac:dyDescent="0.3">
      <c r="A1793" t="str">
        <v>shigetsu</v>
      </c>
      <c r="B1793" t="str">
        <v>Templar Assassin</v>
      </c>
      <c r="C1793" t="str" cm="1">
        <f t="array" ref="C1793">_xlfn.XLOOKUP(1,([3]!players[name]=A1793)*([3]!players[hero_name]=B1793),[3]!players[lane_name])</f>
        <v>Carry</v>
      </c>
      <c r="D1793">
        <f>COUNTIFS([3]!players[name],A1793,[3]!players[hero_name],B1793)</f>
        <v>2</v>
      </c>
      <c r="E1793">
        <f>COUNTIFS([3]!players[name],A1793,[3]!players[hero_name],B1793, [3]!players[win], 1)</f>
        <v>1</v>
      </c>
      <c r="F1793" s="1">
        <f t="shared" si="27"/>
        <v>0.5</v>
      </c>
      <c r="G1793" s="2">
        <f>AVERAGEIFS([3]!players[gold_per_min], [3]!players[name],A1793,[3]!players[hero_name],B1793)</f>
        <v>715.5</v>
      </c>
      <c r="H1793" s="2">
        <f>AVERAGEIFS([3]!players[xp_per_min], [3]!players[name],A1793,[3]!players[hero_name],B1793)</f>
        <v>850.5</v>
      </c>
    </row>
    <row r="1794" spans="1:8" x14ac:dyDescent="0.3">
      <c r="A1794" t="str">
        <v>shiro</v>
      </c>
      <c r="B1794" t="str">
        <v>Faceless Void</v>
      </c>
      <c r="C1794" t="str" cm="1">
        <f t="array" ref="C1794">_xlfn.XLOOKUP(1,([3]!players[name]=A1794)*([3]!players[hero_name]=B1794),[3]!players[lane_name])</f>
        <v>Carry</v>
      </c>
      <c r="D1794">
        <f>COUNTIFS([3]!players[name],A1794,[3]!players[hero_name],B1794)</f>
        <v>2</v>
      </c>
      <c r="E1794">
        <f>COUNTIFS([3]!players[name],A1794,[3]!players[hero_name],B1794, [3]!players[win], 1)</f>
        <v>2</v>
      </c>
      <c r="F1794" s="1">
        <f t="shared" si="27"/>
        <v>1</v>
      </c>
      <c r="G1794" s="2">
        <f>AVERAGEIFS([3]!players[gold_per_min], [3]!players[name],A1794,[3]!players[hero_name],B1794)</f>
        <v>796</v>
      </c>
      <c r="H1794" s="2">
        <f>AVERAGEIFS([3]!players[xp_per_min], [3]!players[name],A1794,[3]!players[hero_name],B1794)</f>
        <v>782.5</v>
      </c>
    </row>
    <row r="1795" spans="1:8" x14ac:dyDescent="0.3">
      <c r="A1795" t="str">
        <v>shiro</v>
      </c>
      <c r="B1795" t="str">
        <v>Terrorblade</v>
      </c>
      <c r="C1795" t="str" cm="1">
        <f t="array" ref="C1795">_xlfn.XLOOKUP(1,([3]!players[name]=A1795)*([3]!players[hero_name]=B1795),[3]!players[lane_name])</f>
        <v>Carry</v>
      </c>
      <c r="D1795">
        <f>COUNTIFS([3]!players[name],A1795,[3]!players[hero_name],B1795)</f>
        <v>1</v>
      </c>
      <c r="E1795">
        <f>COUNTIFS([3]!players[name],A1795,[3]!players[hero_name],B1795, [3]!players[win], 1)</f>
        <v>1</v>
      </c>
      <c r="F1795" s="1">
        <f t="shared" ref="F1795:F1858" si="28">E1795/D1795</f>
        <v>1</v>
      </c>
      <c r="G1795" s="2">
        <f>AVERAGEIFS([3]!players[gold_per_min], [3]!players[name],A1795,[3]!players[hero_name],B1795)</f>
        <v>747</v>
      </c>
      <c r="H1795" s="2">
        <f>AVERAGEIFS([3]!players[xp_per_min], [3]!players[name],A1795,[3]!players[hero_name],B1795)</f>
        <v>860</v>
      </c>
    </row>
    <row r="1796" spans="1:8" x14ac:dyDescent="0.3">
      <c r="A1796" t="str">
        <v>shiro</v>
      </c>
      <c r="B1796" t="str">
        <v>Templar Assassin</v>
      </c>
      <c r="C1796" t="str" cm="1">
        <f t="array" ref="C1796">_xlfn.XLOOKUP(1,([3]!players[name]=A1796)*([3]!players[hero_name]=B1796),[3]!players[lane_name])</f>
        <v>Carry</v>
      </c>
      <c r="D1796">
        <f>COUNTIFS([3]!players[name],A1796,[3]!players[hero_name],B1796)</f>
        <v>1</v>
      </c>
      <c r="E1796">
        <f>COUNTIFS([3]!players[name],A1796,[3]!players[hero_name],B1796, [3]!players[win], 1)</f>
        <v>0</v>
      </c>
      <c r="F1796" s="1">
        <f t="shared" si="28"/>
        <v>0</v>
      </c>
      <c r="G1796" s="2">
        <f>AVERAGEIFS([3]!players[gold_per_min], [3]!players[name],A1796,[3]!players[hero_name],B1796)</f>
        <v>822</v>
      </c>
      <c r="H1796" s="2">
        <f>AVERAGEIFS([3]!players[xp_per_min], [3]!players[name],A1796,[3]!players[hero_name],B1796)</f>
        <v>995</v>
      </c>
    </row>
    <row r="1797" spans="1:8" x14ac:dyDescent="0.3">
      <c r="A1797" t="str">
        <v>shiro</v>
      </c>
      <c r="B1797" t="str">
        <v>Windranger</v>
      </c>
      <c r="C1797" t="str" cm="1">
        <f t="array" ref="C1797">_xlfn.XLOOKUP(1,([3]!players[name]=A1797)*([3]!players[hero_name]=B1797),[3]!players[lane_name])</f>
        <v>Carry</v>
      </c>
      <c r="D1797">
        <f>COUNTIFS([3]!players[name],A1797,[3]!players[hero_name],B1797)</f>
        <v>4</v>
      </c>
      <c r="E1797">
        <f>COUNTIFS([3]!players[name],A1797,[3]!players[hero_name],B1797, [3]!players[win], 1)</f>
        <v>1</v>
      </c>
      <c r="F1797" s="1">
        <f t="shared" si="28"/>
        <v>0.25</v>
      </c>
      <c r="G1797" s="2">
        <f>AVERAGEIFS([3]!players[gold_per_min], [3]!players[name],A1797,[3]!players[hero_name],B1797)</f>
        <v>568</v>
      </c>
      <c r="H1797" s="2">
        <f>AVERAGEIFS([3]!players[xp_per_min], [3]!players[name],A1797,[3]!players[hero_name],B1797)</f>
        <v>616</v>
      </c>
    </row>
    <row r="1798" spans="1:8" x14ac:dyDescent="0.3">
      <c r="A1798" t="str">
        <v>shiro</v>
      </c>
      <c r="B1798" t="str">
        <v>Beastmaster</v>
      </c>
      <c r="C1798" t="str" cm="1">
        <f t="array" ref="C1798">_xlfn.XLOOKUP(1,([3]!players[name]=A1798)*([3]!players[hero_name]=B1798),[3]!players[lane_name])</f>
        <v>Carry</v>
      </c>
      <c r="D1798">
        <f>COUNTIFS([3]!players[name],A1798,[3]!players[hero_name],B1798)</f>
        <v>2</v>
      </c>
      <c r="E1798">
        <f>COUNTIFS([3]!players[name],A1798,[3]!players[hero_name],B1798, [3]!players[win], 1)</f>
        <v>1</v>
      </c>
      <c r="F1798" s="1">
        <f t="shared" si="28"/>
        <v>0.5</v>
      </c>
      <c r="G1798" s="2">
        <f>AVERAGEIFS([3]!players[gold_per_min], [3]!players[name],A1798,[3]!players[hero_name],B1798)</f>
        <v>710.5</v>
      </c>
      <c r="H1798" s="2">
        <f>AVERAGEIFS([3]!players[xp_per_min], [3]!players[name],A1798,[3]!players[hero_name],B1798)</f>
        <v>826.5</v>
      </c>
    </row>
    <row r="1799" spans="1:8" x14ac:dyDescent="0.3">
      <c r="A1799" t="str">
        <v>shiro</v>
      </c>
      <c r="B1799" t="str">
        <v>Tiny</v>
      </c>
      <c r="C1799" t="str" cm="1">
        <f t="array" ref="C1799">_xlfn.XLOOKUP(1,([3]!players[name]=A1799)*([3]!players[hero_name]=B1799),[3]!players[lane_name])</f>
        <v>Carry</v>
      </c>
      <c r="D1799">
        <f>COUNTIFS([3]!players[name],A1799,[3]!players[hero_name],B1799)</f>
        <v>4</v>
      </c>
      <c r="E1799">
        <f>COUNTIFS([3]!players[name],A1799,[3]!players[hero_name],B1799, [3]!players[win], 1)</f>
        <v>3</v>
      </c>
      <c r="F1799" s="1">
        <f t="shared" si="28"/>
        <v>0.75</v>
      </c>
      <c r="G1799" s="2">
        <f>AVERAGEIFS([3]!players[gold_per_min], [3]!players[name],A1799,[3]!players[hero_name],B1799)</f>
        <v>679.5</v>
      </c>
      <c r="H1799" s="2">
        <f>AVERAGEIFS([3]!players[xp_per_min], [3]!players[name],A1799,[3]!players[hero_name],B1799)</f>
        <v>882.5</v>
      </c>
    </row>
    <row r="1800" spans="1:8" x14ac:dyDescent="0.3">
      <c r="A1800" t="str">
        <v>shiro</v>
      </c>
      <c r="B1800" t="str">
        <v>Monkey King</v>
      </c>
      <c r="C1800" t="str" cm="1">
        <f t="array" ref="C1800">_xlfn.XLOOKUP(1,([3]!players[name]=A1800)*([3]!players[hero_name]=B1800),[3]!players[lane_name])</f>
        <v>Carry</v>
      </c>
      <c r="D1800">
        <f>COUNTIFS([3]!players[name],A1800,[3]!players[hero_name],B1800)</f>
        <v>4</v>
      </c>
      <c r="E1800">
        <f>COUNTIFS([3]!players[name],A1800,[3]!players[hero_name],B1800, [3]!players[win], 1)</f>
        <v>3</v>
      </c>
      <c r="F1800" s="1">
        <f t="shared" si="28"/>
        <v>0.75</v>
      </c>
      <c r="G1800" s="2">
        <f>AVERAGEIFS([3]!players[gold_per_min], [3]!players[name],A1800,[3]!players[hero_name],B1800)</f>
        <v>585.5</v>
      </c>
      <c r="H1800" s="2">
        <f>AVERAGEIFS([3]!players[xp_per_min], [3]!players[name],A1800,[3]!players[hero_name],B1800)</f>
        <v>710</v>
      </c>
    </row>
    <row r="1801" spans="1:8" x14ac:dyDescent="0.3">
      <c r="A1801" t="str">
        <v>shiro</v>
      </c>
      <c r="B1801" t="str">
        <v>Muerta</v>
      </c>
      <c r="C1801" t="str" cm="1">
        <f t="array" ref="C1801">_xlfn.XLOOKUP(1,([3]!players[name]=A1801)*([3]!players[hero_name]=B1801),[3]!players[lane_name])</f>
        <v>Carry</v>
      </c>
      <c r="D1801">
        <f>COUNTIFS([3]!players[name],A1801,[3]!players[hero_name],B1801)</f>
        <v>2</v>
      </c>
      <c r="E1801">
        <f>COUNTIFS([3]!players[name],A1801,[3]!players[hero_name],B1801, [3]!players[win], 1)</f>
        <v>2</v>
      </c>
      <c r="F1801" s="1">
        <f t="shared" si="28"/>
        <v>1</v>
      </c>
      <c r="G1801" s="2">
        <f>AVERAGEIFS([3]!players[gold_per_min], [3]!players[name],A1801,[3]!players[hero_name],B1801)</f>
        <v>727.5</v>
      </c>
      <c r="H1801" s="2">
        <f>AVERAGEIFS([3]!players[xp_per_min], [3]!players[name],A1801,[3]!players[hero_name],B1801)</f>
        <v>784.5</v>
      </c>
    </row>
    <row r="1802" spans="1:8" x14ac:dyDescent="0.3">
      <c r="A1802" t="str">
        <v>shiro</v>
      </c>
      <c r="B1802" t="str">
        <v>Kez</v>
      </c>
      <c r="C1802" t="str" cm="1">
        <f t="array" ref="C1802">_xlfn.XLOOKUP(1,([3]!players[name]=A1802)*([3]!players[hero_name]=B1802),[3]!players[lane_name])</f>
        <v>Carry</v>
      </c>
      <c r="D1802">
        <f>COUNTIFS([3]!players[name],A1802,[3]!players[hero_name],B1802)</f>
        <v>1</v>
      </c>
      <c r="E1802">
        <f>COUNTIFS([3]!players[name],A1802,[3]!players[hero_name],B1802, [3]!players[win], 1)</f>
        <v>1</v>
      </c>
      <c r="F1802" s="1">
        <f t="shared" si="28"/>
        <v>1</v>
      </c>
      <c r="G1802" s="2">
        <f>AVERAGEIFS([3]!players[gold_per_min], [3]!players[name],A1802,[3]!players[hero_name],B1802)</f>
        <v>688</v>
      </c>
      <c r="H1802" s="2">
        <f>AVERAGEIFS([3]!players[xp_per_min], [3]!players[name],A1802,[3]!players[hero_name],B1802)</f>
        <v>989</v>
      </c>
    </row>
    <row r="1803" spans="1:8" x14ac:dyDescent="0.3">
      <c r="A1803" t="str">
        <v>shiro</v>
      </c>
      <c r="B1803" t="str">
        <v>Gyrocopter</v>
      </c>
      <c r="C1803" t="str" cm="1">
        <f t="array" ref="C1803">_xlfn.XLOOKUP(1,([3]!players[name]=A1803)*([3]!players[hero_name]=B1803),[3]!players[lane_name])</f>
        <v>Carry</v>
      </c>
      <c r="D1803">
        <f>COUNTIFS([3]!players[name],A1803,[3]!players[hero_name],B1803)</f>
        <v>1</v>
      </c>
      <c r="E1803">
        <f>COUNTIFS([3]!players[name],A1803,[3]!players[hero_name],B1803, [3]!players[win], 1)</f>
        <v>0</v>
      </c>
      <c r="F1803" s="1">
        <f t="shared" si="28"/>
        <v>0</v>
      </c>
      <c r="G1803" s="2">
        <f>AVERAGEIFS([3]!players[gold_per_min], [3]!players[name],A1803,[3]!players[hero_name],B1803)</f>
        <v>494</v>
      </c>
      <c r="H1803" s="2">
        <f>AVERAGEIFS([3]!players[xp_per_min], [3]!players[name],A1803,[3]!players[hero_name],B1803)</f>
        <v>555</v>
      </c>
    </row>
    <row r="1804" spans="1:8" x14ac:dyDescent="0.3">
      <c r="A1804" t="str">
        <v>shiro</v>
      </c>
      <c r="B1804" t="str">
        <v>Alchemist</v>
      </c>
      <c r="C1804" t="str" cm="1">
        <f t="array" ref="C1804">_xlfn.XLOOKUP(1,([3]!players[name]=A1804)*([3]!players[hero_name]=B1804),[3]!players[lane_name])</f>
        <v>Carry</v>
      </c>
      <c r="D1804">
        <f>COUNTIFS([3]!players[name],A1804,[3]!players[hero_name],B1804)</f>
        <v>1</v>
      </c>
      <c r="E1804">
        <f>COUNTIFS([3]!players[name],A1804,[3]!players[hero_name],B1804, [3]!players[win], 1)</f>
        <v>0</v>
      </c>
      <c r="F1804" s="1">
        <f t="shared" si="28"/>
        <v>0</v>
      </c>
      <c r="G1804" s="2">
        <f>AVERAGEIFS([3]!players[gold_per_min], [3]!players[name],A1804,[3]!players[hero_name],B1804)</f>
        <v>641</v>
      </c>
      <c r="H1804" s="2">
        <f>AVERAGEIFS([3]!players[xp_per_min], [3]!players[name],A1804,[3]!players[hero_name],B1804)</f>
        <v>567</v>
      </c>
    </row>
    <row r="1805" spans="1:8" x14ac:dyDescent="0.3">
      <c r="A1805" t="str">
        <v>shy</v>
      </c>
      <c r="B1805" t="str">
        <v>Tiny</v>
      </c>
      <c r="C1805" t="str" cm="1">
        <f t="array" ref="C1805">_xlfn.XLOOKUP(1,([3]!players[name]=A1805)*([3]!players[hero_name]=B1805),[3]!players[lane_name])</f>
        <v>Carry</v>
      </c>
      <c r="D1805">
        <f>COUNTIFS([3]!players[name],A1805,[3]!players[hero_name],B1805)</f>
        <v>1</v>
      </c>
      <c r="E1805">
        <f>COUNTIFS([3]!players[name],A1805,[3]!players[hero_name],B1805, [3]!players[win], 1)</f>
        <v>1</v>
      </c>
      <c r="F1805" s="1">
        <f t="shared" si="28"/>
        <v>1</v>
      </c>
      <c r="G1805" s="2">
        <f>AVERAGEIFS([3]!players[gold_per_min], [3]!players[name],A1805,[3]!players[hero_name],B1805)</f>
        <v>751</v>
      </c>
      <c r="H1805" s="2">
        <f>AVERAGEIFS([3]!players[xp_per_min], [3]!players[name],A1805,[3]!players[hero_name],B1805)</f>
        <v>900</v>
      </c>
    </row>
    <row r="1806" spans="1:8" x14ac:dyDescent="0.3">
      <c r="A1806" t="str">
        <v>shy</v>
      </c>
      <c r="B1806" t="str">
        <v>Drow Ranger</v>
      </c>
      <c r="C1806" t="str" cm="1">
        <f t="array" ref="C1806">_xlfn.XLOOKUP(1,([3]!players[name]=A1806)*([3]!players[hero_name]=B1806),[3]!players[lane_name])</f>
        <v>Carry</v>
      </c>
      <c r="D1806">
        <f>COUNTIFS([3]!players[name],A1806,[3]!players[hero_name],B1806)</f>
        <v>1</v>
      </c>
      <c r="E1806">
        <f>COUNTIFS([3]!players[name],A1806,[3]!players[hero_name],B1806, [3]!players[win], 1)</f>
        <v>1</v>
      </c>
      <c r="F1806" s="1">
        <f t="shared" si="28"/>
        <v>1</v>
      </c>
      <c r="G1806" s="2">
        <f>AVERAGEIFS([3]!players[gold_per_min], [3]!players[name],A1806,[3]!players[hero_name],B1806)</f>
        <v>843</v>
      </c>
      <c r="H1806" s="2">
        <f>AVERAGEIFS([3]!players[xp_per_min], [3]!players[name],A1806,[3]!players[hero_name],B1806)</f>
        <v>801</v>
      </c>
    </row>
    <row r="1807" spans="1:8" x14ac:dyDescent="0.3">
      <c r="A1807" t="str">
        <v>shy</v>
      </c>
      <c r="B1807" t="str">
        <v>Slark</v>
      </c>
      <c r="C1807" t="str" cm="1">
        <f t="array" ref="C1807">_xlfn.XLOOKUP(1,([3]!players[name]=A1807)*([3]!players[hero_name]=B1807),[3]!players[lane_name])</f>
        <v>Carry</v>
      </c>
      <c r="D1807">
        <f>COUNTIFS([3]!players[name],A1807,[3]!players[hero_name],B1807)</f>
        <v>1</v>
      </c>
      <c r="E1807">
        <f>COUNTIFS([3]!players[name],A1807,[3]!players[hero_name],B1807, [3]!players[win], 1)</f>
        <v>0</v>
      </c>
      <c r="F1807" s="1">
        <f t="shared" si="28"/>
        <v>0</v>
      </c>
      <c r="G1807" s="2">
        <f>AVERAGEIFS([3]!players[gold_per_min], [3]!players[name],A1807,[3]!players[hero_name],B1807)</f>
        <v>676</v>
      </c>
      <c r="H1807" s="2">
        <f>AVERAGEIFS([3]!players[xp_per_min], [3]!players[name],A1807,[3]!players[hero_name],B1807)</f>
        <v>911</v>
      </c>
    </row>
    <row r="1808" spans="1:8" x14ac:dyDescent="0.3">
      <c r="A1808" t="str">
        <v>shy</v>
      </c>
      <c r="B1808" t="str">
        <v>Kez</v>
      </c>
      <c r="C1808" t="str" cm="1">
        <f t="array" ref="C1808">_xlfn.XLOOKUP(1,([3]!players[name]=A1808)*([3]!players[hero_name]=B1808),[3]!players[lane_name])</f>
        <v>Carry</v>
      </c>
      <c r="D1808">
        <f>COUNTIFS([3]!players[name],A1808,[3]!players[hero_name],B1808)</f>
        <v>2</v>
      </c>
      <c r="E1808">
        <f>COUNTIFS([3]!players[name],A1808,[3]!players[hero_name],B1808, [3]!players[win], 1)</f>
        <v>1</v>
      </c>
      <c r="F1808" s="1">
        <f t="shared" si="28"/>
        <v>0.5</v>
      </c>
      <c r="G1808" s="2">
        <f>AVERAGEIFS([3]!players[gold_per_min], [3]!players[name],A1808,[3]!players[hero_name],B1808)</f>
        <v>756.5</v>
      </c>
      <c r="H1808" s="2">
        <f>AVERAGEIFS([3]!players[xp_per_min], [3]!players[name],A1808,[3]!players[hero_name],B1808)</f>
        <v>950.5</v>
      </c>
    </row>
    <row r="1809" spans="1:8" x14ac:dyDescent="0.3">
      <c r="A1809" t="str">
        <v>shy</v>
      </c>
      <c r="B1809" t="str">
        <v>Alchemist</v>
      </c>
      <c r="C1809" t="str" cm="1">
        <f t="array" ref="C1809">_xlfn.XLOOKUP(1,([3]!players[name]=A1809)*([3]!players[hero_name]=B1809),[3]!players[lane_name])</f>
        <v>Carry</v>
      </c>
      <c r="D1809">
        <f>COUNTIFS([3]!players[name],A1809,[3]!players[hero_name],B1809)</f>
        <v>2</v>
      </c>
      <c r="E1809">
        <f>COUNTIFS([3]!players[name],A1809,[3]!players[hero_name],B1809, [3]!players[win], 1)</f>
        <v>1</v>
      </c>
      <c r="F1809" s="1">
        <f t="shared" si="28"/>
        <v>0.5</v>
      </c>
      <c r="G1809" s="2">
        <f>AVERAGEIFS([3]!players[gold_per_min], [3]!players[name],A1809,[3]!players[hero_name],B1809)</f>
        <v>854.5</v>
      </c>
      <c r="H1809" s="2">
        <f>AVERAGEIFS([3]!players[xp_per_min], [3]!players[name],A1809,[3]!players[hero_name],B1809)</f>
        <v>837.5</v>
      </c>
    </row>
    <row r="1810" spans="1:8" x14ac:dyDescent="0.3">
      <c r="A1810" t="str">
        <v>shy</v>
      </c>
      <c r="B1810" t="str">
        <v>Muerta</v>
      </c>
      <c r="C1810" t="str" cm="1">
        <f t="array" ref="C1810">_xlfn.XLOOKUP(1,([3]!players[name]=A1810)*([3]!players[hero_name]=B1810),[3]!players[lane_name])</f>
        <v>Carry</v>
      </c>
      <c r="D1810">
        <f>COUNTIFS([3]!players[name],A1810,[3]!players[hero_name],B1810)</f>
        <v>2</v>
      </c>
      <c r="E1810">
        <f>COUNTIFS([3]!players[name],A1810,[3]!players[hero_name],B1810, [3]!players[win], 1)</f>
        <v>2</v>
      </c>
      <c r="F1810" s="1">
        <f t="shared" si="28"/>
        <v>1</v>
      </c>
      <c r="G1810" s="2">
        <f>AVERAGEIFS([3]!players[gold_per_min], [3]!players[name],A1810,[3]!players[hero_name],B1810)</f>
        <v>772</v>
      </c>
      <c r="H1810" s="2">
        <f>AVERAGEIFS([3]!players[xp_per_min], [3]!players[name],A1810,[3]!players[hero_name],B1810)</f>
        <v>980</v>
      </c>
    </row>
    <row r="1811" spans="1:8" x14ac:dyDescent="0.3">
      <c r="A1811" t="str">
        <v>shy</v>
      </c>
      <c r="B1811" t="str">
        <v>Luna</v>
      </c>
      <c r="C1811" t="str" cm="1">
        <f t="array" ref="C1811">_xlfn.XLOOKUP(1,([3]!players[name]=A1811)*([3]!players[hero_name]=B1811),[3]!players[lane_name])</f>
        <v>Carry</v>
      </c>
      <c r="D1811">
        <f>COUNTIFS([3]!players[name],A1811,[3]!players[hero_name],B1811)</f>
        <v>1</v>
      </c>
      <c r="E1811">
        <f>COUNTIFS([3]!players[name],A1811,[3]!players[hero_name],B1811, [3]!players[win], 1)</f>
        <v>0</v>
      </c>
      <c r="F1811" s="1">
        <f t="shared" si="28"/>
        <v>0</v>
      </c>
      <c r="G1811" s="2">
        <f>AVERAGEIFS([3]!players[gold_per_min], [3]!players[name],A1811,[3]!players[hero_name],B1811)</f>
        <v>470</v>
      </c>
      <c r="H1811" s="2">
        <f>AVERAGEIFS([3]!players[xp_per_min], [3]!players[name],A1811,[3]!players[hero_name],B1811)</f>
        <v>521</v>
      </c>
    </row>
    <row r="1812" spans="1:8" x14ac:dyDescent="0.3">
      <c r="A1812" t="str">
        <v>shy</v>
      </c>
      <c r="B1812" t="str">
        <v>Shadow Fiend</v>
      </c>
      <c r="C1812" t="str" cm="1">
        <f t="array" ref="C1812">_xlfn.XLOOKUP(1,([3]!players[name]=A1812)*([3]!players[hero_name]=B1812),[3]!players[lane_name])</f>
        <v>Carry</v>
      </c>
      <c r="D1812">
        <f>COUNTIFS([3]!players[name],A1812,[3]!players[hero_name],B1812)</f>
        <v>1</v>
      </c>
      <c r="E1812">
        <f>COUNTIFS([3]!players[name],A1812,[3]!players[hero_name],B1812, [3]!players[win], 1)</f>
        <v>0</v>
      </c>
      <c r="F1812" s="1">
        <f t="shared" si="28"/>
        <v>0</v>
      </c>
      <c r="G1812" s="2">
        <f>AVERAGEIFS([3]!players[gold_per_min], [3]!players[name],A1812,[3]!players[hero_name],B1812)</f>
        <v>798</v>
      </c>
      <c r="H1812" s="2">
        <f>AVERAGEIFS([3]!players[xp_per_min], [3]!players[name],A1812,[3]!players[hero_name],B1812)</f>
        <v>932</v>
      </c>
    </row>
    <row r="1813" spans="1:8" x14ac:dyDescent="0.3">
      <c r="A1813" t="str">
        <v>skiter</v>
      </c>
      <c r="B1813" t="str">
        <v>Tiny</v>
      </c>
      <c r="C1813" t="str" cm="1">
        <f t="array" ref="C1813">_xlfn.XLOOKUP(1,([3]!players[name]=A1813)*([3]!players[hero_name]=B1813),[3]!players[lane_name])</f>
        <v>Carry</v>
      </c>
      <c r="D1813">
        <f>COUNTIFS([3]!players[name],A1813,[3]!players[hero_name],B1813)</f>
        <v>8</v>
      </c>
      <c r="E1813">
        <f>COUNTIFS([3]!players[name],A1813,[3]!players[hero_name],B1813, [3]!players[win], 1)</f>
        <v>7</v>
      </c>
      <c r="F1813" s="1">
        <f t="shared" si="28"/>
        <v>0.875</v>
      </c>
      <c r="G1813" s="2">
        <f>AVERAGEIFS([3]!players[gold_per_min], [3]!players[name],A1813,[3]!players[hero_name],B1813)</f>
        <v>695.25</v>
      </c>
      <c r="H1813" s="2">
        <f>AVERAGEIFS([3]!players[xp_per_min], [3]!players[name],A1813,[3]!players[hero_name],B1813)</f>
        <v>911.875</v>
      </c>
    </row>
    <row r="1814" spans="1:8" x14ac:dyDescent="0.3">
      <c r="A1814" t="str">
        <v>skiter</v>
      </c>
      <c r="B1814" t="str">
        <v>Lone Druid</v>
      </c>
      <c r="C1814" t="str" cm="1">
        <f t="array" ref="C1814">_xlfn.XLOOKUP(1,([3]!players[name]=A1814)*([3]!players[hero_name]=B1814),[3]!players[lane_name])</f>
        <v>Carry</v>
      </c>
      <c r="D1814">
        <f>COUNTIFS([3]!players[name],A1814,[3]!players[hero_name],B1814)</f>
        <v>4</v>
      </c>
      <c r="E1814">
        <f>COUNTIFS([3]!players[name],A1814,[3]!players[hero_name],B1814, [3]!players[win], 1)</f>
        <v>2</v>
      </c>
      <c r="F1814" s="1">
        <f t="shared" si="28"/>
        <v>0.5</v>
      </c>
      <c r="G1814" s="2">
        <f>AVERAGEIFS([3]!players[gold_per_min], [3]!players[name],A1814,[3]!players[hero_name],B1814)</f>
        <v>714.5</v>
      </c>
      <c r="H1814" s="2">
        <f>AVERAGEIFS([3]!players[xp_per_min], [3]!players[name],A1814,[3]!players[hero_name],B1814)</f>
        <v>672</v>
      </c>
    </row>
    <row r="1815" spans="1:8" x14ac:dyDescent="0.3">
      <c r="A1815" t="str">
        <v>skiter</v>
      </c>
      <c r="B1815" t="str">
        <v>Alchemist</v>
      </c>
      <c r="C1815" t="str" cm="1">
        <f t="array" ref="C1815">_xlfn.XLOOKUP(1,([3]!players[name]=A1815)*([3]!players[hero_name]=B1815),[3]!players[lane_name])</f>
        <v>Carry</v>
      </c>
      <c r="D1815">
        <f>COUNTIFS([3]!players[name],A1815,[3]!players[hero_name],B1815)</f>
        <v>4</v>
      </c>
      <c r="E1815">
        <f>COUNTIFS([3]!players[name],A1815,[3]!players[hero_name],B1815, [3]!players[win], 1)</f>
        <v>2</v>
      </c>
      <c r="F1815" s="1">
        <f t="shared" si="28"/>
        <v>0.5</v>
      </c>
      <c r="G1815" s="2">
        <f>AVERAGEIFS([3]!players[gold_per_min], [3]!players[name],A1815,[3]!players[hero_name],B1815)</f>
        <v>910</v>
      </c>
      <c r="H1815" s="2">
        <f>AVERAGEIFS([3]!players[xp_per_min], [3]!players[name],A1815,[3]!players[hero_name],B1815)</f>
        <v>947.25</v>
      </c>
    </row>
    <row r="1816" spans="1:8" x14ac:dyDescent="0.3">
      <c r="A1816" t="str">
        <v>skiter</v>
      </c>
      <c r="B1816" t="str">
        <v>Weaver</v>
      </c>
      <c r="C1816" t="str" cm="1">
        <f t="array" ref="C1816">_xlfn.XLOOKUP(1,([3]!players[name]=A1816)*([3]!players[hero_name]=B1816),[3]!players[lane_name])</f>
        <v>Carry</v>
      </c>
      <c r="D1816">
        <f>COUNTIFS([3]!players[name],A1816,[3]!players[hero_name],B1816)</f>
        <v>2</v>
      </c>
      <c r="E1816">
        <f>COUNTIFS([3]!players[name],A1816,[3]!players[hero_name],B1816, [3]!players[win], 1)</f>
        <v>2</v>
      </c>
      <c r="F1816" s="1">
        <f t="shared" si="28"/>
        <v>1</v>
      </c>
      <c r="G1816" s="2">
        <f>AVERAGEIFS([3]!players[gold_per_min], [3]!players[name],A1816,[3]!players[hero_name],B1816)</f>
        <v>705</v>
      </c>
      <c r="H1816" s="2">
        <f>AVERAGEIFS([3]!players[xp_per_min], [3]!players[name],A1816,[3]!players[hero_name],B1816)</f>
        <v>838</v>
      </c>
    </row>
    <row r="1817" spans="1:8" x14ac:dyDescent="0.3">
      <c r="A1817" t="str">
        <v>skiter</v>
      </c>
      <c r="B1817" t="str">
        <v>Monkey King</v>
      </c>
      <c r="C1817" t="str" cm="1">
        <f t="array" ref="C1817">_xlfn.XLOOKUP(1,([3]!players[name]=A1817)*([3]!players[hero_name]=B1817),[3]!players[lane_name])</f>
        <v>Carry</v>
      </c>
      <c r="D1817">
        <f>COUNTIFS([3]!players[name],A1817,[3]!players[hero_name],B1817)</f>
        <v>1</v>
      </c>
      <c r="E1817">
        <f>COUNTIFS([3]!players[name],A1817,[3]!players[hero_name],B1817, [3]!players[win], 1)</f>
        <v>0</v>
      </c>
      <c r="F1817" s="1">
        <f t="shared" si="28"/>
        <v>0</v>
      </c>
      <c r="G1817" s="2">
        <f>AVERAGEIFS([3]!players[gold_per_min], [3]!players[name],A1817,[3]!players[hero_name],B1817)</f>
        <v>465</v>
      </c>
      <c r="H1817" s="2">
        <f>AVERAGEIFS([3]!players[xp_per_min], [3]!players[name],A1817,[3]!players[hero_name],B1817)</f>
        <v>597</v>
      </c>
    </row>
    <row r="1818" spans="1:8" x14ac:dyDescent="0.3">
      <c r="A1818" t="str">
        <v>skiter</v>
      </c>
      <c r="B1818" t="str">
        <v>Wraith King</v>
      </c>
      <c r="C1818" t="str" cm="1">
        <f t="array" ref="C1818">_xlfn.XLOOKUP(1,([3]!players[name]=A1818)*([3]!players[hero_name]=B1818),[3]!players[lane_name])</f>
        <v>Carry</v>
      </c>
      <c r="D1818">
        <f>COUNTIFS([3]!players[name],A1818,[3]!players[hero_name],B1818)</f>
        <v>1</v>
      </c>
      <c r="E1818">
        <f>COUNTIFS([3]!players[name],A1818,[3]!players[hero_name],B1818, [3]!players[win], 1)</f>
        <v>0</v>
      </c>
      <c r="F1818" s="1">
        <f t="shared" si="28"/>
        <v>0</v>
      </c>
      <c r="G1818" s="2">
        <f>AVERAGEIFS([3]!players[gold_per_min], [3]!players[name],A1818,[3]!players[hero_name],B1818)</f>
        <v>495</v>
      </c>
      <c r="H1818" s="2">
        <f>AVERAGEIFS([3]!players[xp_per_min], [3]!players[name],A1818,[3]!players[hero_name],B1818)</f>
        <v>525</v>
      </c>
    </row>
    <row r="1819" spans="1:8" x14ac:dyDescent="0.3">
      <c r="A1819" t="str">
        <v>skiter</v>
      </c>
      <c r="B1819" t="str">
        <v>Kez</v>
      </c>
      <c r="C1819" t="str" cm="1">
        <f t="array" ref="C1819">_xlfn.XLOOKUP(1,([3]!players[name]=A1819)*([3]!players[hero_name]=B1819),[3]!players[lane_name])</f>
        <v>Carry</v>
      </c>
      <c r="D1819">
        <f>COUNTIFS([3]!players[name],A1819,[3]!players[hero_name],B1819)</f>
        <v>1</v>
      </c>
      <c r="E1819">
        <f>COUNTIFS([3]!players[name],A1819,[3]!players[hero_name],B1819, [3]!players[win], 1)</f>
        <v>0</v>
      </c>
      <c r="F1819" s="1">
        <f t="shared" si="28"/>
        <v>0</v>
      </c>
      <c r="G1819" s="2">
        <f>AVERAGEIFS([3]!players[gold_per_min], [3]!players[name],A1819,[3]!players[hero_name],B1819)</f>
        <v>719</v>
      </c>
      <c r="H1819" s="2">
        <f>AVERAGEIFS([3]!players[xp_per_min], [3]!players[name],A1819,[3]!players[hero_name],B1819)</f>
        <v>832</v>
      </c>
    </row>
    <row r="1820" spans="1:8" x14ac:dyDescent="0.3">
      <c r="A1820" t="str">
        <v>SLATEM$</v>
      </c>
      <c r="B1820" t="str">
        <v>Storm Spirit</v>
      </c>
      <c r="C1820" t="str" cm="1">
        <f t="array" ref="C1820">_xlfn.XLOOKUP(1,([3]!players[name]=A1820)*([3]!players[hero_name]=B1820),[3]!players[lane_name])</f>
        <v>Mid</v>
      </c>
      <c r="D1820">
        <f>COUNTIFS([3]!players[name],A1820,[3]!players[hero_name],B1820)</f>
        <v>7</v>
      </c>
      <c r="E1820">
        <f>COUNTIFS([3]!players[name],A1820,[3]!players[hero_name],B1820, [3]!players[win], 1)</f>
        <v>5</v>
      </c>
      <c r="F1820" s="1">
        <f t="shared" si="28"/>
        <v>0.7142857142857143</v>
      </c>
      <c r="G1820" s="2">
        <f>AVERAGEIFS([3]!players[gold_per_min], [3]!players[name],A1820,[3]!players[hero_name],B1820)</f>
        <v>550.42857142857144</v>
      </c>
      <c r="H1820" s="2">
        <f>AVERAGEIFS([3]!players[xp_per_min], [3]!players[name],A1820,[3]!players[hero_name],B1820)</f>
        <v>753.42857142857144</v>
      </c>
    </row>
    <row r="1821" spans="1:8" x14ac:dyDescent="0.3">
      <c r="A1821" t="str">
        <v>SLATEM$</v>
      </c>
      <c r="B1821" t="str">
        <v>Meepo</v>
      </c>
      <c r="C1821" t="str" cm="1">
        <f t="array" ref="C1821">_xlfn.XLOOKUP(1,([3]!players[name]=A1821)*([3]!players[hero_name]=B1821),[3]!players[lane_name])</f>
        <v>Mid</v>
      </c>
      <c r="D1821">
        <f>COUNTIFS([3]!players[name],A1821,[3]!players[hero_name],B1821)</f>
        <v>1</v>
      </c>
      <c r="E1821">
        <f>COUNTIFS([3]!players[name],A1821,[3]!players[hero_name],B1821, [3]!players[win], 1)</f>
        <v>0</v>
      </c>
      <c r="F1821" s="1">
        <f t="shared" si="28"/>
        <v>0</v>
      </c>
      <c r="G1821" s="2">
        <f>AVERAGEIFS([3]!players[gold_per_min], [3]!players[name],A1821,[3]!players[hero_name],B1821)</f>
        <v>511</v>
      </c>
      <c r="H1821" s="2">
        <f>AVERAGEIFS([3]!players[xp_per_min], [3]!players[name],A1821,[3]!players[hero_name],B1821)</f>
        <v>623</v>
      </c>
    </row>
    <row r="1822" spans="1:8" x14ac:dyDescent="0.3">
      <c r="A1822" t="str">
        <v>SLATEM$</v>
      </c>
      <c r="B1822" t="str">
        <v>Kunkka</v>
      </c>
      <c r="C1822" t="str" cm="1">
        <f t="array" ref="C1822">_xlfn.XLOOKUP(1,([3]!players[name]=A1822)*([3]!players[hero_name]=B1822),[3]!players[lane_name])</f>
        <v>Mid</v>
      </c>
      <c r="D1822">
        <f>COUNTIFS([3]!players[name],A1822,[3]!players[hero_name],B1822)</f>
        <v>4</v>
      </c>
      <c r="E1822">
        <f>COUNTIFS([3]!players[name],A1822,[3]!players[hero_name],B1822, [3]!players[win], 1)</f>
        <v>3</v>
      </c>
      <c r="F1822" s="1">
        <f t="shared" si="28"/>
        <v>0.75</v>
      </c>
      <c r="G1822" s="2">
        <f>AVERAGEIFS([3]!players[gold_per_min], [3]!players[name],A1822,[3]!players[hero_name],B1822)</f>
        <v>603.75</v>
      </c>
      <c r="H1822" s="2">
        <f>AVERAGEIFS([3]!players[xp_per_min], [3]!players[name],A1822,[3]!players[hero_name],B1822)</f>
        <v>796</v>
      </c>
    </row>
    <row r="1823" spans="1:8" x14ac:dyDescent="0.3">
      <c r="A1823" t="str">
        <v>SLATEM$</v>
      </c>
      <c r="B1823" t="str">
        <v>Puck</v>
      </c>
      <c r="C1823" t="str" cm="1">
        <f t="array" ref="C1823">_xlfn.XLOOKUP(1,([3]!players[name]=A1823)*([3]!players[hero_name]=B1823),[3]!players[lane_name])</f>
        <v>Mid</v>
      </c>
      <c r="D1823">
        <f>COUNTIFS([3]!players[name],A1823,[3]!players[hero_name],B1823)</f>
        <v>2</v>
      </c>
      <c r="E1823">
        <f>COUNTIFS([3]!players[name],A1823,[3]!players[hero_name],B1823, [3]!players[win], 1)</f>
        <v>1</v>
      </c>
      <c r="F1823" s="1">
        <f t="shared" si="28"/>
        <v>0.5</v>
      </c>
      <c r="G1823" s="2">
        <f>AVERAGEIFS([3]!players[gold_per_min], [3]!players[name],A1823,[3]!players[hero_name],B1823)</f>
        <v>501</v>
      </c>
      <c r="H1823" s="2">
        <f>AVERAGEIFS([3]!players[xp_per_min], [3]!players[name],A1823,[3]!players[hero_name],B1823)</f>
        <v>694.5</v>
      </c>
    </row>
    <row r="1824" spans="1:8" x14ac:dyDescent="0.3">
      <c r="A1824" t="str">
        <v>SLATEM$</v>
      </c>
      <c r="B1824" t="str">
        <v>Beastmaster</v>
      </c>
      <c r="C1824" t="str" cm="1">
        <f t="array" ref="C1824">_xlfn.XLOOKUP(1,([3]!players[name]=A1824)*([3]!players[hero_name]=B1824),[3]!players[lane_name])</f>
        <v>Mid</v>
      </c>
      <c r="D1824">
        <f>COUNTIFS([3]!players[name],A1824,[3]!players[hero_name],B1824)</f>
        <v>5</v>
      </c>
      <c r="E1824">
        <f>COUNTIFS([3]!players[name],A1824,[3]!players[hero_name],B1824, [3]!players[win], 1)</f>
        <v>2</v>
      </c>
      <c r="F1824" s="1">
        <f t="shared" si="28"/>
        <v>0.4</v>
      </c>
      <c r="G1824" s="2">
        <f>AVERAGEIFS([3]!players[gold_per_min], [3]!players[name],A1824,[3]!players[hero_name],B1824)</f>
        <v>573.79999999999995</v>
      </c>
      <c r="H1824" s="2">
        <f>AVERAGEIFS([3]!players[xp_per_min], [3]!players[name],A1824,[3]!players[hero_name],B1824)</f>
        <v>657.4</v>
      </c>
    </row>
    <row r="1825" spans="1:8" x14ac:dyDescent="0.3">
      <c r="A1825" t="str">
        <v>SLATEM$</v>
      </c>
      <c r="B1825" t="str">
        <v>Void Spirit</v>
      </c>
      <c r="C1825" t="str" cm="1">
        <f t="array" ref="C1825">_xlfn.XLOOKUP(1,([3]!players[name]=A1825)*([3]!players[hero_name]=B1825),[3]!players[lane_name])</f>
        <v>Mid</v>
      </c>
      <c r="D1825">
        <f>COUNTIFS([3]!players[name],A1825,[3]!players[hero_name],B1825)</f>
        <v>1</v>
      </c>
      <c r="E1825">
        <f>COUNTIFS([3]!players[name],A1825,[3]!players[hero_name],B1825, [3]!players[win], 1)</f>
        <v>0</v>
      </c>
      <c r="F1825" s="1">
        <f t="shared" si="28"/>
        <v>0</v>
      </c>
      <c r="G1825" s="2">
        <f>AVERAGEIFS([3]!players[gold_per_min], [3]!players[name],A1825,[3]!players[hero_name],B1825)</f>
        <v>373</v>
      </c>
      <c r="H1825" s="2">
        <f>AVERAGEIFS([3]!players[xp_per_min], [3]!players[name],A1825,[3]!players[hero_name],B1825)</f>
        <v>325</v>
      </c>
    </row>
    <row r="1826" spans="1:8" x14ac:dyDescent="0.3">
      <c r="A1826" t="str">
        <v>SLATEM$</v>
      </c>
      <c r="B1826" t="str">
        <v>Sand King</v>
      </c>
      <c r="C1826" t="str" cm="1">
        <f t="array" ref="C1826">_xlfn.XLOOKUP(1,([3]!players[name]=A1826)*([3]!players[hero_name]=B1826),[3]!players[lane_name])</f>
        <v>Mid</v>
      </c>
      <c r="D1826">
        <f>COUNTIFS([3]!players[name],A1826,[3]!players[hero_name],B1826)</f>
        <v>4</v>
      </c>
      <c r="E1826">
        <f>COUNTIFS([3]!players[name],A1826,[3]!players[hero_name],B1826, [3]!players[win], 1)</f>
        <v>2</v>
      </c>
      <c r="F1826" s="1">
        <f t="shared" si="28"/>
        <v>0.5</v>
      </c>
      <c r="G1826" s="2">
        <f>AVERAGEIFS([3]!players[gold_per_min], [3]!players[name],A1826,[3]!players[hero_name],B1826)</f>
        <v>537.25</v>
      </c>
      <c r="H1826" s="2">
        <f>AVERAGEIFS([3]!players[xp_per_min], [3]!players[name],A1826,[3]!players[hero_name],B1826)</f>
        <v>695.25</v>
      </c>
    </row>
    <row r="1827" spans="1:8" x14ac:dyDescent="0.3">
      <c r="A1827" t="str">
        <v>SLATEM$</v>
      </c>
      <c r="B1827" t="str">
        <v>Queen of Pain</v>
      </c>
      <c r="C1827" t="str" cm="1">
        <f t="array" ref="C1827">_xlfn.XLOOKUP(1,([3]!players[name]=A1827)*([3]!players[hero_name]=B1827),[3]!players[lane_name])</f>
        <v>Mid</v>
      </c>
      <c r="D1827">
        <f>COUNTIFS([3]!players[name],A1827,[3]!players[hero_name],B1827)</f>
        <v>3</v>
      </c>
      <c r="E1827">
        <f>COUNTIFS([3]!players[name],A1827,[3]!players[hero_name],B1827, [3]!players[win], 1)</f>
        <v>1</v>
      </c>
      <c r="F1827" s="1">
        <f t="shared" si="28"/>
        <v>0.33333333333333331</v>
      </c>
      <c r="G1827" s="2">
        <f>AVERAGEIFS([3]!players[gold_per_min], [3]!players[name],A1827,[3]!players[hero_name],B1827)</f>
        <v>558.66666666666663</v>
      </c>
      <c r="H1827" s="2">
        <f>AVERAGEIFS([3]!players[xp_per_min], [3]!players[name],A1827,[3]!players[hero_name],B1827)</f>
        <v>720.66666666666663</v>
      </c>
    </row>
    <row r="1828" spans="1:8" x14ac:dyDescent="0.3">
      <c r="A1828" t="str">
        <v>SLATEM$</v>
      </c>
      <c r="B1828" t="str">
        <v>Keeper of the Light</v>
      </c>
      <c r="C1828" t="str" cm="1">
        <f t="array" ref="C1828">_xlfn.XLOOKUP(1,([3]!players[name]=A1828)*([3]!players[hero_name]=B1828),[3]!players[lane_name])</f>
        <v>Mid</v>
      </c>
      <c r="D1828">
        <f>COUNTIFS([3]!players[name],A1828,[3]!players[hero_name],B1828)</f>
        <v>1</v>
      </c>
      <c r="E1828">
        <f>COUNTIFS([3]!players[name],A1828,[3]!players[hero_name],B1828, [3]!players[win], 1)</f>
        <v>1</v>
      </c>
      <c r="F1828" s="1">
        <f t="shared" si="28"/>
        <v>1</v>
      </c>
      <c r="G1828" s="2">
        <f>AVERAGEIFS([3]!players[gold_per_min], [3]!players[name],A1828,[3]!players[hero_name],B1828)</f>
        <v>715</v>
      </c>
      <c r="H1828" s="2">
        <f>AVERAGEIFS([3]!players[xp_per_min], [3]!players[name],A1828,[3]!players[hero_name],B1828)</f>
        <v>1039</v>
      </c>
    </row>
    <row r="1829" spans="1:8" x14ac:dyDescent="0.3">
      <c r="A1829" t="str">
        <v>SLATEM$</v>
      </c>
      <c r="B1829" t="str">
        <v>Monkey King</v>
      </c>
      <c r="C1829" t="str" cm="1">
        <f t="array" ref="C1829">_xlfn.XLOOKUP(1,([3]!players[name]=A1829)*([3]!players[hero_name]=B1829),[3]!players[lane_name])</f>
        <v>Mid</v>
      </c>
      <c r="D1829">
        <f>COUNTIFS([3]!players[name],A1829,[3]!players[hero_name],B1829)</f>
        <v>3</v>
      </c>
      <c r="E1829">
        <f>COUNTIFS([3]!players[name],A1829,[3]!players[hero_name],B1829, [3]!players[win], 1)</f>
        <v>2</v>
      </c>
      <c r="F1829" s="1">
        <f t="shared" si="28"/>
        <v>0.66666666666666663</v>
      </c>
      <c r="G1829" s="2">
        <f>AVERAGEIFS([3]!players[gold_per_min], [3]!players[name],A1829,[3]!players[hero_name],B1829)</f>
        <v>523.66666666666663</v>
      </c>
      <c r="H1829" s="2">
        <f>AVERAGEIFS([3]!players[xp_per_min], [3]!players[name],A1829,[3]!players[hero_name],B1829)</f>
        <v>717.66666666666663</v>
      </c>
    </row>
    <row r="1830" spans="1:8" x14ac:dyDescent="0.3">
      <c r="A1830" t="str">
        <v>SLATEM$</v>
      </c>
      <c r="B1830" t="str">
        <v>Ember Spirit</v>
      </c>
      <c r="C1830" t="str" cm="1">
        <f t="array" ref="C1830">_xlfn.XLOOKUP(1,([3]!players[name]=A1830)*([3]!players[hero_name]=B1830),[3]!players[lane_name])</f>
        <v>Soft Support</v>
      </c>
      <c r="D1830">
        <f>COUNTIFS([3]!players[name],A1830,[3]!players[hero_name],B1830)</f>
        <v>3</v>
      </c>
      <c r="E1830">
        <f>COUNTIFS([3]!players[name],A1830,[3]!players[hero_name],B1830, [3]!players[win], 1)</f>
        <v>2</v>
      </c>
      <c r="F1830" s="1">
        <f t="shared" si="28"/>
        <v>0.66666666666666663</v>
      </c>
      <c r="G1830" s="2">
        <f>AVERAGEIFS([3]!players[gold_per_min], [3]!players[name],A1830,[3]!players[hero_name],B1830)</f>
        <v>545</v>
      </c>
      <c r="H1830" s="2">
        <f>AVERAGEIFS([3]!players[xp_per_min], [3]!players[name],A1830,[3]!players[hero_name],B1830)</f>
        <v>738.33333333333337</v>
      </c>
    </row>
    <row r="1831" spans="1:8" x14ac:dyDescent="0.3">
      <c r="A1831" t="str">
        <v>SLATEM$</v>
      </c>
      <c r="B1831" t="str">
        <v>Pangolier</v>
      </c>
      <c r="C1831" t="str" cm="1">
        <f t="array" ref="C1831">_xlfn.XLOOKUP(1,([3]!players[name]=A1831)*([3]!players[hero_name]=B1831),[3]!players[lane_name])</f>
        <v>Mid</v>
      </c>
      <c r="D1831">
        <f>COUNTIFS([3]!players[name],A1831,[3]!players[hero_name],B1831)</f>
        <v>2</v>
      </c>
      <c r="E1831">
        <f>COUNTIFS([3]!players[name],A1831,[3]!players[hero_name],B1831, [3]!players[win], 1)</f>
        <v>1</v>
      </c>
      <c r="F1831" s="1">
        <f t="shared" si="28"/>
        <v>0.5</v>
      </c>
      <c r="G1831" s="2">
        <f>AVERAGEIFS([3]!players[gold_per_min], [3]!players[name],A1831,[3]!players[hero_name],B1831)</f>
        <v>691.5</v>
      </c>
      <c r="H1831" s="2">
        <f>AVERAGEIFS([3]!players[xp_per_min], [3]!players[name],A1831,[3]!players[hero_name],B1831)</f>
        <v>924.5</v>
      </c>
    </row>
    <row r="1832" spans="1:8" x14ac:dyDescent="0.3">
      <c r="A1832" t="str">
        <v>SLATEM$</v>
      </c>
      <c r="B1832" t="str">
        <v>Slardar</v>
      </c>
      <c r="C1832" t="str" cm="1">
        <f t="array" ref="C1832">_xlfn.XLOOKUP(1,([3]!players[name]=A1832)*([3]!players[hero_name]=B1832),[3]!players[lane_name])</f>
        <v>Mid</v>
      </c>
      <c r="D1832">
        <f>COUNTIFS([3]!players[name],A1832,[3]!players[hero_name],B1832)</f>
        <v>1</v>
      </c>
      <c r="E1832">
        <f>COUNTIFS([3]!players[name],A1832,[3]!players[hero_name],B1832, [3]!players[win], 1)</f>
        <v>0</v>
      </c>
      <c r="F1832" s="1">
        <f t="shared" si="28"/>
        <v>0</v>
      </c>
      <c r="G1832" s="2">
        <f>AVERAGEIFS([3]!players[gold_per_min], [3]!players[name],A1832,[3]!players[hero_name],B1832)</f>
        <v>461</v>
      </c>
      <c r="H1832" s="2">
        <f>AVERAGEIFS([3]!players[xp_per_min], [3]!players[name],A1832,[3]!players[hero_name],B1832)</f>
        <v>675</v>
      </c>
    </row>
    <row r="1833" spans="1:8" x14ac:dyDescent="0.3">
      <c r="A1833" t="str">
        <v>Sneyking</v>
      </c>
      <c r="B1833" t="str">
        <v>Venomancer</v>
      </c>
      <c r="C1833" t="str" cm="1">
        <f t="array" ref="C1833">_xlfn.XLOOKUP(1,([3]!players[name]=A1833)*([3]!players[hero_name]=B1833),[3]!players[lane_name])</f>
        <v>Soft Support</v>
      </c>
      <c r="D1833">
        <f>COUNTIFS([3]!players[name],A1833,[3]!players[hero_name],B1833)</f>
        <v>1</v>
      </c>
      <c r="E1833">
        <f>COUNTIFS([3]!players[name],A1833,[3]!players[hero_name],B1833, [3]!players[win], 1)</f>
        <v>1</v>
      </c>
      <c r="F1833" s="1">
        <f t="shared" si="28"/>
        <v>1</v>
      </c>
      <c r="G1833" s="2">
        <f>AVERAGEIFS([3]!players[gold_per_min], [3]!players[name],A1833,[3]!players[hero_name],B1833)</f>
        <v>527</v>
      </c>
      <c r="H1833" s="2">
        <f>AVERAGEIFS([3]!players[xp_per_min], [3]!players[name],A1833,[3]!players[hero_name],B1833)</f>
        <v>615</v>
      </c>
    </row>
    <row r="1834" spans="1:8" x14ac:dyDescent="0.3">
      <c r="A1834" t="str">
        <v>Sneyking</v>
      </c>
      <c r="B1834" t="str">
        <v>Phoenix</v>
      </c>
      <c r="C1834" t="str" cm="1">
        <f t="array" ref="C1834">_xlfn.XLOOKUP(1,([3]!players[name]=A1834)*([3]!players[hero_name]=B1834),[3]!players[lane_name])</f>
        <v>Roam</v>
      </c>
      <c r="D1834">
        <f>COUNTIFS([3]!players[name],A1834,[3]!players[hero_name],B1834)</f>
        <v>8</v>
      </c>
      <c r="E1834">
        <f>COUNTIFS([3]!players[name],A1834,[3]!players[hero_name],B1834, [3]!players[win], 1)</f>
        <v>5</v>
      </c>
      <c r="F1834" s="1">
        <f t="shared" si="28"/>
        <v>0.625</v>
      </c>
      <c r="G1834" s="2">
        <f>AVERAGEIFS([3]!players[gold_per_min], [3]!players[name],A1834,[3]!players[hero_name],B1834)</f>
        <v>405.5</v>
      </c>
      <c r="H1834" s="2">
        <f>AVERAGEIFS([3]!players[xp_per_min], [3]!players[name],A1834,[3]!players[hero_name],B1834)</f>
        <v>524.75</v>
      </c>
    </row>
    <row r="1835" spans="1:8" x14ac:dyDescent="0.3">
      <c r="A1835" t="str">
        <v>Sneyking</v>
      </c>
      <c r="B1835" t="str">
        <v>Enchantress</v>
      </c>
      <c r="C1835" t="str" cm="1">
        <f t="array" ref="C1835">_xlfn.XLOOKUP(1,([3]!players[name]=A1835)*([3]!players[hero_name]=B1835),[3]!players[lane_name])</f>
        <v>Soft Support</v>
      </c>
      <c r="D1835">
        <f>COUNTIFS([3]!players[name],A1835,[3]!players[hero_name],B1835)</f>
        <v>3</v>
      </c>
      <c r="E1835">
        <f>COUNTIFS([3]!players[name],A1835,[3]!players[hero_name],B1835, [3]!players[win], 1)</f>
        <v>1</v>
      </c>
      <c r="F1835" s="1">
        <f t="shared" si="28"/>
        <v>0.33333333333333331</v>
      </c>
      <c r="G1835" s="2">
        <f>AVERAGEIFS([3]!players[gold_per_min], [3]!players[name],A1835,[3]!players[hero_name],B1835)</f>
        <v>384</v>
      </c>
      <c r="H1835" s="2">
        <f>AVERAGEIFS([3]!players[xp_per_min], [3]!players[name],A1835,[3]!players[hero_name],B1835)</f>
        <v>526.66666666666663</v>
      </c>
    </row>
    <row r="1836" spans="1:8" x14ac:dyDescent="0.3">
      <c r="A1836" t="str">
        <v>Sneyking</v>
      </c>
      <c r="B1836" t="str">
        <v>Silencer</v>
      </c>
      <c r="C1836" t="str" cm="1">
        <f t="array" ref="C1836">_xlfn.XLOOKUP(1,([3]!players[name]=A1836)*([3]!players[hero_name]=B1836),[3]!players[lane_name])</f>
        <v>Hard Support</v>
      </c>
      <c r="D1836">
        <f>COUNTIFS([3]!players[name],A1836,[3]!players[hero_name],B1836)</f>
        <v>7</v>
      </c>
      <c r="E1836">
        <f>COUNTIFS([3]!players[name],A1836,[3]!players[hero_name],B1836, [3]!players[win], 1)</f>
        <v>4</v>
      </c>
      <c r="F1836" s="1">
        <f t="shared" si="28"/>
        <v>0.5714285714285714</v>
      </c>
      <c r="G1836" s="2">
        <f>AVERAGEIFS([3]!players[gold_per_min], [3]!players[name],A1836,[3]!players[hero_name],B1836)</f>
        <v>334.14285714285717</v>
      </c>
      <c r="H1836" s="2">
        <f>AVERAGEIFS([3]!players[xp_per_min], [3]!players[name],A1836,[3]!players[hero_name],B1836)</f>
        <v>501.57142857142856</v>
      </c>
    </row>
    <row r="1837" spans="1:8" x14ac:dyDescent="0.3">
      <c r="A1837" t="str">
        <v>Sneyking</v>
      </c>
      <c r="B1837" t="str">
        <v>Chen</v>
      </c>
      <c r="C1837" t="str" cm="1">
        <f t="array" ref="C1837">_xlfn.XLOOKUP(1,([3]!players[name]=A1837)*([3]!players[hero_name]=B1837),[3]!players[lane_name])</f>
        <v>Soft Support</v>
      </c>
      <c r="D1837">
        <f>COUNTIFS([3]!players[name],A1837,[3]!players[hero_name],B1837)</f>
        <v>1</v>
      </c>
      <c r="E1837">
        <f>COUNTIFS([3]!players[name],A1837,[3]!players[hero_name],B1837, [3]!players[win], 1)</f>
        <v>1</v>
      </c>
      <c r="F1837" s="1">
        <f t="shared" si="28"/>
        <v>1</v>
      </c>
      <c r="G1837" s="2">
        <f>AVERAGEIFS([3]!players[gold_per_min], [3]!players[name],A1837,[3]!players[hero_name],B1837)</f>
        <v>445</v>
      </c>
      <c r="H1837" s="2">
        <f>AVERAGEIFS([3]!players[xp_per_min], [3]!players[name],A1837,[3]!players[hero_name],B1837)</f>
        <v>510</v>
      </c>
    </row>
    <row r="1838" spans="1:8" x14ac:dyDescent="0.3">
      <c r="A1838" t="str">
        <v>Sneyking</v>
      </c>
      <c r="B1838" t="str">
        <v>Mirana</v>
      </c>
      <c r="C1838" t="str" cm="1">
        <f t="array" ref="C1838">_xlfn.XLOOKUP(1,([3]!players[name]=A1838)*([3]!players[hero_name]=B1838),[3]!players[lane_name])</f>
        <v>Soft Support</v>
      </c>
      <c r="D1838">
        <f>COUNTIFS([3]!players[name],A1838,[3]!players[hero_name],B1838)</f>
        <v>1</v>
      </c>
      <c r="E1838">
        <f>COUNTIFS([3]!players[name],A1838,[3]!players[hero_name],B1838, [3]!players[win], 1)</f>
        <v>1</v>
      </c>
      <c r="F1838" s="1">
        <f t="shared" si="28"/>
        <v>1</v>
      </c>
      <c r="G1838" s="2">
        <f>AVERAGEIFS([3]!players[gold_per_min], [3]!players[name],A1838,[3]!players[hero_name],B1838)</f>
        <v>528</v>
      </c>
      <c r="H1838" s="2">
        <f>AVERAGEIFS([3]!players[xp_per_min], [3]!players[name],A1838,[3]!players[hero_name],B1838)</f>
        <v>902</v>
      </c>
    </row>
    <row r="1839" spans="1:8" x14ac:dyDescent="0.3">
      <c r="A1839" t="str">
        <v>Speeed</v>
      </c>
      <c r="B1839" t="str">
        <v>Phoenix</v>
      </c>
      <c r="C1839" t="str" cm="1">
        <f t="array" ref="C1839">_xlfn.XLOOKUP(1,([3]!players[name]=A1839)*([3]!players[hero_name]=B1839),[3]!players[lane_name])</f>
        <v>Soft Support</v>
      </c>
      <c r="D1839">
        <f>COUNTIFS([3]!players[name],A1839,[3]!players[hero_name],B1839)</f>
        <v>9</v>
      </c>
      <c r="E1839">
        <f>COUNTIFS([3]!players[name],A1839,[3]!players[hero_name],B1839, [3]!players[win], 1)</f>
        <v>7</v>
      </c>
      <c r="F1839" s="1">
        <f t="shared" si="28"/>
        <v>0.77777777777777779</v>
      </c>
      <c r="G1839" s="2">
        <f>AVERAGEIFS([3]!players[gold_per_min], [3]!players[name],A1839,[3]!players[hero_name],B1839)</f>
        <v>363.55555555555554</v>
      </c>
      <c r="H1839" s="2">
        <f>AVERAGEIFS([3]!players[xp_per_min], [3]!players[name],A1839,[3]!players[hero_name],B1839)</f>
        <v>470.77777777777777</v>
      </c>
    </row>
    <row r="1840" spans="1:8" x14ac:dyDescent="0.3">
      <c r="A1840" t="str">
        <v>Speeed</v>
      </c>
      <c r="B1840" t="str">
        <v>Rubick</v>
      </c>
      <c r="C1840" t="str" cm="1">
        <f t="array" ref="C1840">_xlfn.XLOOKUP(1,([3]!players[name]=A1840)*([3]!players[hero_name]=B1840),[3]!players[lane_name])</f>
        <v>Soft Support</v>
      </c>
      <c r="D1840">
        <f>COUNTIFS([3]!players[name],A1840,[3]!players[hero_name],B1840)</f>
        <v>2</v>
      </c>
      <c r="E1840">
        <f>COUNTIFS([3]!players[name],A1840,[3]!players[hero_name],B1840, [3]!players[win], 1)</f>
        <v>1</v>
      </c>
      <c r="F1840" s="1">
        <f t="shared" si="28"/>
        <v>0.5</v>
      </c>
      <c r="G1840" s="2">
        <f>AVERAGEIFS([3]!players[gold_per_min], [3]!players[name],A1840,[3]!players[hero_name],B1840)</f>
        <v>401</v>
      </c>
      <c r="H1840" s="2">
        <f>AVERAGEIFS([3]!players[xp_per_min], [3]!players[name],A1840,[3]!players[hero_name],B1840)</f>
        <v>600</v>
      </c>
    </row>
    <row r="1841" spans="1:8" x14ac:dyDescent="0.3">
      <c r="A1841" t="str">
        <v>Speeed</v>
      </c>
      <c r="B1841" t="str">
        <v>Batrider</v>
      </c>
      <c r="C1841" t="str" cm="1">
        <f t="array" ref="C1841">_xlfn.XLOOKUP(1,([3]!players[name]=A1841)*([3]!players[hero_name]=B1841),[3]!players[lane_name])</f>
        <v>Soft Support</v>
      </c>
      <c r="D1841">
        <f>COUNTIFS([3]!players[name],A1841,[3]!players[hero_name],B1841)</f>
        <v>2</v>
      </c>
      <c r="E1841">
        <f>COUNTIFS([3]!players[name],A1841,[3]!players[hero_name],B1841, [3]!players[win], 1)</f>
        <v>1</v>
      </c>
      <c r="F1841" s="1">
        <f t="shared" si="28"/>
        <v>0.5</v>
      </c>
      <c r="G1841" s="2">
        <f>AVERAGEIFS([3]!players[gold_per_min], [3]!players[name],A1841,[3]!players[hero_name],B1841)</f>
        <v>341</v>
      </c>
      <c r="H1841" s="2">
        <f>AVERAGEIFS([3]!players[xp_per_min], [3]!players[name],A1841,[3]!players[hero_name],B1841)</f>
        <v>493</v>
      </c>
    </row>
    <row r="1842" spans="1:8" x14ac:dyDescent="0.3">
      <c r="A1842" t="str">
        <v>Speeed</v>
      </c>
      <c r="B1842" t="str">
        <v>Bounty Hunter</v>
      </c>
      <c r="C1842" t="str" cm="1">
        <f t="array" ref="C1842">_xlfn.XLOOKUP(1,([3]!players[name]=A1842)*([3]!players[hero_name]=B1842),[3]!players[lane_name])</f>
        <v>Hard Support</v>
      </c>
      <c r="D1842">
        <f>COUNTIFS([3]!players[name],A1842,[3]!players[hero_name],B1842)</f>
        <v>1</v>
      </c>
      <c r="E1842">
        <f>COUNTIFS([3]!players[name],A1842,[3]!players[hero_name],B1842, [3]!players[win], 1)</f>
        <v>1</v>
      </c>
      <c r="F1842" s="1">
        <f t="shared" si="28"/>
        <v>1</v>
      </c>
      <c r="G1842" s="2">
        <f>AVERAGEIFS([3]!players[gold_per_min], [3]!players[name],A1842,[3]!players[hero_name],B1842)</f>
        <v>346</v>
      </c>
      <c r="H1842" s="2">
        <f>AVERAGEIFS([3]!players[xp_per_min], [3]!players[name],A1842,[3]!players[hero_name],B1842)</f>
        <v>554</v>
      </c>
    </row>
    <row r="1843" spans="1:8" x14ac:dyDescent="0.3">
      <c r="A1843" t="str">
        <v>Speeed</v>
      </c>
      <c r="B1843" t="str">
        <v>Shadow Demon</v>
      </c>
      <c r="C1843" t="str" cm="1">
        <f t="array" ref="C1843">_xlfn.XLOOKUP(1,([3]!players[name]=A1843)*([3]!players[hero_name]=B1843),[3]!players[lane_name])</f>
        <v>Soft Support</v>
      </c>
      <c r="D1843">
        <f>COUNTIFS([3]!players[name],A1843,[3]!players[hero_name],B1843)</f>
        <v>1</v>
      </c>
      <c r="E1843">
        <f>COUNTIFS([3]!players[name],A1843,[3]!players[hero_name],B1843, [3]!players[win], 1)</f>
        <v>0</v>
      </c>
      <c r="F1843" s="1">
        <f t="shared" si="28"/>
        <v>0</v>
      </c>
      <c r="G1843" s="2">
        <f>AVERAGEIFS([3]!players[gold_per_min], [3]!players[name],A1843,[3]!players[hero_name],B1843)</f>
        <v>300</v>
      </c>
      <c r="H1843" s="2">
        <f>AVERAGEIFS([3]!players[xp_per_min], [3]!players[name],A1843,[3]!players[hero_name],B1843)</f>
        <v>364</v>
      </c>
    </row>
    <row r="1844" spans="1:8" x14ac:dyDescent="0.3">
      <c r="A1844" t="str">
        <v>Speeed</v>
      </c>
      <c r="B1844" t="str">
        <v>Venomancer</v>
      </c>
      <c r="C1844" t="str" cm="1">
        <f t="array" ref="C1844">_xlfn.XLOOKUP(1,([3]!players[name]=A1844)*([3]!players[hero_name]=B1844),[3]!players[lane_name])</f>
        <v>Soft Support</v>
      </c>
      <c r="D1844">
        <f>COUNTIFS([3]!players[name],A1844,[3]!players[hero_name],B1844)</f>
        <v>9</v>
      </c>
      <c r="E1844">
        <f>COUNTIFS([3]!players[name],A1844,[3]!players[hero_name],B1844, [3]!players[win], 1)</f>
        <v>6</v>
      </c>
      <c r="F1844" s="1">
        <f t="shared" si="28"/>
        <v>0.66666666666666663</v>
      </c>
      <c r="G1844" s="2">
        <f>AVERAGEIFS([3]!players[gold_per_min], [3]!players[name],A1844,[3]!players[hero_name],B1844)</f>
        <v>406.55555555555554</v>
      </c>
      <c r="H1844" s="2">
        <f>AVERAGEIFS([3]!players[xp_per_min], [3]!players[name],A1844,[3]!players[hero_name],B1844)</f>
        <v>465.66666666666669</v>
      </c>
    </row>
    <row r="1845" spans="1:8" x14ac:dyDescent="0.3">
      <c r="A1845" t="str">
        <v>Speeed</v>
      </c>
      <c r="B1845" t="str">
        <v>Keeper of the Light</v>
      </c>
      <c r="C1845" t="str" cm="1">
        <f t="array" ref="C1845">_xlfn.XLOOKUP(1,([3]!players[name]=A1845)*([3]!players[hero_name]=B1845),[3]!players[lane_name])</f>
        <v>Soft Support</v>
      </c>
      <c r="D1845">
        <f>COUNTIFS([3]!players[name],A1845,[3]!players[hero_name],B1845)</f>
        <v>1</v>
      </c>
      <c r="E1845">
        <f>COUNTIFS([3]!players[name],A1845,[3]!players[hero_name],B1845, [3]!players[win], 1)</f>
        <v>0</v>
      </c>
      <c r="F1845" s="1">
        <f t="shared" si="28"/>
        <v>0</v>
      </c>
      <c r="G1845" s="2">
        <f>AVERAGEIFS([3]!players[gold_per_min], [3]!players[name],A1845,[3]!players[hero_name],B1845)</f>
        <v>293</v>
      </c>
      <c r="H1845" s="2">
        <f>AVERAGEIFS([3]!players[xp_per_min], [3]!players[name],A1845,[3]!players[hero_name],B1845)</f>
        <v>389</v>
      </c>
    </row>
    <row r="1846" spans="1:8" x14ac:dyDescent="0.3">
      <c r="A1846" t="str">
        <v>Speeed</v>
      </c>
      <c r="B1846" t="str">
        <v>Tusk</v>
      </c>
      <c r="C1846" t="str" cm="1">
        <f t="array" ref="C1846">_xlfn.XLOOKUP(1,([3]!players[name]=A1846)*([3]!players[hero_name]=B1846),[3]!players[lane_name])</f>
        <v>Hard Support</v>
      </c>
      <c r="D1846">
        <f>COUNTIFS([3]!players[name],A1846,[3]!players[hero_name],B1846)</f>
        <v>5</v>
      </c>
      <c r="E1846">
        <f>COUNTIFS([3]!players[name],A1846,[3]!players[hero_name],B1846, [3]!players[win], 1)</f>
        <v>5</v>
      </c>
      <c r="F1846" s="1">
        <f t="shared" si="28"/>
        <v>1</v>
      </c>
      <c r="G1846" s="2">
        <f>AVERAGEIFS([3]!players[gold_per_min], [3]!players[name],A1846,[3]!players[hero_name],B1846)</f>
        <v>318.8</v>
      </c>
      <c r="H1846" s="2">
        <f>AVERAGEIFS([3]!players[xp_per_min], [3]!players[name],A1846,[3]!players[hero_name],B1846)</f>
        <v>464.6</v>
      </c>
    </row>
    <row r="1847" spans="1:8" x14ac:dyDescent="0.3">
      <c r="A1847" t="str">
        <v>Speeed</v>
      </c>
      <c r="B1847" t="str">
        <v>Grimstroke</v>
      </c>
      <c r="C1847" t="str" cm="1">
        <f t="array" ref="C1847">_xlfn.XLOOKUP(1,([3]!players[name]=A1847)*([3]!players[hero_name]=B1847),[3]!players[lane_name])</f>
        <v>Hard Support</v>
      </c>
      <c r="D1847">
        <f>COUNTIFS([3]!players[name],A1847,[3]!players[hero_name],B1847)</f>
        <v>2</v>
      </c>
      <c r="E1847">
        <f>COUNTIFS([3]!players[name],A1847,[3]!players[hero_name],B1847, [3]!players[win], 1)</f>
        <v>1</v>
      </c>
      <c r="F1847" s="1">
        <f t="shared" si="28"/>
        <v>0.5</v>
      </c>
      <c r="G1847" s="2">
        <f>AVERAGEIFS([3]!players[gold_per_min], [3]!players[name],A1847,[3]!players[hero_name],B1847)</f>
        <v>356.5</v>
      </c>
      <c r="H1847" s="2">
        <f>AVERAGEIFS([3]!players[xp_per_min], [3]!players[name],A1847,[3]!players[hero_name],B1847)</f>
        <v>518</v>
      </c>
    </row>
    <row r="1848" spans="1:8" x14ac:dyDescent="0.3">
      <c r="A1848" t="str">
        <v>Speeed</v>
      </c>
      <c r="B1848" t="str">
        <v>Chen</v>
      </c>
      <c r="C1848" t="str" cm="1">
        <f t="array" ref="C1848">_xlfn.XLOOKUP(1,([3]!players[name]=A1848)*([3]!players[hero_name]=B1848),[3]!players[lane_name])</f>
        <v>Soft Support</v>
      </c>
      <c r="D1848">
        <f>COUNTIFS([3]!players[name],A1848,[3]!players[hero_name],B1848)</f>
        <v>3</v>
      </c>
      <c r="E1848">
        <f>COUNTIFS([3]!players[name],A1848,[3]!players[hero_name],B1848, [3]!players[win], 1)</f>
        <v>1</v>
      </c>
      <c r="F1848" s="1">
        <f t="shared" si="28"/>
        <v>0.33333333333333331</v>
      </c>
      <c r="G1848" s="2">
        <f>AVERAGEIFS([3]!players[gold_per_min], [3]!players[name],A1848,[3]!players[hero_name],B1848)</f>
        <v>448.33333333333331</v>
      </c>
      <c r="H1848" s="2">
        <f>AVERAGEIFS([3]!players[xp_per_min], [3]!players[name],A1848,[3]!players[hero_name],B1848)</f>
        <v>442.33333333333331</v>
      </c>
    </row>
    <row r="1849" spans="1:8" x14ac:dyDescent="0.3">
      <c r="A1849" t="str">
        <v>Speeed</v>
      </c>
      <c r="B1849" t="str">
        <v>Clockwerk</v>
      </c>
      <c r="C1849" t="str" cm="1">
        <f t="array" ref="C1849">_xlfn.XLOOKUP(1,([3]!players[name]=A1849)*([3]!players[hero_name]=B1849),[3]!players[lane_name])</f>
        <v>Hard Support</v>
      </c>
      <c r="D1849">
        <f>COUNTIFS([3]!players[name],A1849,[3]!players[hero_name],B1849)</f>
        <v>1</v>
      </c>
      <c r="E1849">
        <f>COUNTIFS([3]!players[name],A1849,[3]!players[hero_name],B1849, [3]!players[win], 1)</f>
        <v>0</v>
      </c>
      <c r="F1849" s="1">
        <f t="shared" si="28"/>
        <v>0</v>
      </c>
      <c r="G1849" s="2">
        <f>AVERAGEIFS([3]!players[gold_per_min], [3]!players[name],A1849,[3]!players[hero_name],B1849)</f>
        <v>277</v>
      </c>
      <c r="H1849" s="2">
        <f>AVERAGEIFS([3]!players[xp_per_min], [3]!players[name],A1849,[3]!players[hero_name],B1849)</f>
        <v>412</v>
      </c>
    </row>
    <row r="1850" spans="1:8" x14ac:dyDescent="0.3">
      <c r="A1850" t="str">
        <v>Speeed</v>
      </c>
      <c r="B1850" t="str">
        <v>Silencer</v>
      </c>
      <c r="C1850" t="str" cm="1">
        <f t="array" ref="C1850">_xlfn.XLOOKUP(1,([3]!players[name]=A1850)*([3]!players[hero_name]=B1850),[3]!players[lane_name])</f>
        <v>Hard Support</v>
      </c>
      <c r="D1850">
        <f>COUNTIFS([3]!players[name],A1850,[3]!players[hero_name],B1850)</f>
        <v>1</v>
      </c>
      <c r="E1850">
        <f>COUNTIFS([3]!players[name],A1850,[3]!players[hero_name],B1850, [3]!players[win], 1)</f>
        <v>0</v>
      </c>
      <c r="F1850" s="1">
        <f t="shared" si="28"/>
        <v>0</v>
      </c>
      <c r="G1850" s="2">
        <f>AVERAGEIFS([3]!players[gold_per_min], [3]!players[name],A1850,[3]!players[hero_name],B1850)</f>
        <v>269</v>
      </c>
      <c r="H1850" s="2">
        <f>AVERAGEIFS([3]!players[xp_per_min], [3]!players[name],A1850,[3]!players[hero_name],B1850)</f>
        <v>296</v>
      </c>
    </row>
    <row r="1851" spans="1:8" x14ac:dyDescent="0.3">
      <c r="A1851" t="str">
        <v>squad1x</v>
      </c>
      <c r="B1851" t="str">
        <v>Pangolier</v>
      </c>
      <c r="C1851" t="str" cm="1">
        <f t="array" ref="C1851">_xlfn.XLOOKUP(1,([3]!players[name]=A1851)*([3]!players[hero_name]=B1851),[3]!players[lane_name])</f>
        <v>Mid</v>
      </c>
      <c r="D1851">
        <f>COUNTIFS([3]!players[name],A1851,[3]!players[hero_name],B1851)</f>
        <v>2</v>
      </c>
      <c r="E1851">
        <f>COUNTIFS([3]!players[name],A1851,[3]!players[hero_name],B1851, [3]!players[win], 1)</f>
        <v>1</v>
      </c>
      <c r="F1851" s="1">
        <f t="shared" si="28"/>
        <v>0.5</v>
      </c>
      <c r="G1851" s="2">
        <f>AVERAGEIFS([3]!players[gold_per_min], [3]!players[name],A1851,[3]!players[hero_name],B1851)</f>
        <v>608.5</v>
      </c>
      <c r="H1851" s="2">
        <f>AVERAGEIFS([3]!players[xp_per_min], [3]!players[name],A1851,[3]!players[hero_name],B1851)</f>
        <v>730.5</v>
      </c>
    </row>
    <row r="1852" spans="1:8" x14ac:dyDescent="0.3">
      <c r="A1852" t="str">
        <v>squad1x</v>
      </c>
      <c r="B1852" t="str">
        <v>Ember Spirit</v>
      </c>
      <c r="C1852" t="str" cm="1">
        <f t="array" ref="C1852">_xlfn.XLOOKUP(1,([3]!players[name]=A1852)*([3]!players[hero_name]=B1852),[3]!players[lane_name])</f>
        <v>Mid</v>
      </c>
      <c r="D1852">
        <f>COUNTIFS([3]!players[name],A1852,[3]!players[hero_name],B1852)</f>
        <v>6</v>
      </c>
      <c r="E1852">
        <f>COUNTIFS([3]!players[name],A1852,[3]!players[hero_name],B1852, [3]!players[win], 1)</f>
        <v>3</v>
      </c>
      <c r="F1852" s="1">
        <f t="shared" si="28"/>
        <v>0.5</v>
      </c>
      <c r="G1852" s="2">
        <f>AVERAGEIFS([3]!players[gold_per_min], [3]!players[name],A1852,[3]!players[hero_name],B1852)</f>
        <v>642</v>
      </c>
      <c r="H1852" s="2">
        <f>AVERAGEIFS([3]!players[xp_per_min], [3]!players[name],A1852,[3]!players[hero_name],B1852)</f>
        <v>840.66666666666663</v>
      </c>
    </row>
    <row r="1853" spans="1:8" x14ac:dyDescent="0.3">
      <c r="A1853" t="str">
        <v>squad1x</v>
      </c>
      <c r="B1853" t="str">
        <v>Storm Spirit</v>
      </c>
      <c r="C1853" t="str" cm="1">
        <f t="array" ref="C1853">_xlfn.XLOOKUP(1,([3]!players[name]=A1853)*([3]!players[hero_name]=B1853),[3]!players[lane_name])</f>
        <v>Mid</v>
      </c>
      <c r="D1853">
        <f>COUNTIFS([3]!players[name],A1853,[3]!players[hero_name],B1853)</f>
        <v>7</v>
      </c>
      <c r="E1853">
        <f>COUNTIFS([3]!players[name],A1853,[3]!players[hero_name],B1853, [3]!players[win], 1)</f>
        <v>3</v>
      </c>
      <c r="F1853" s="1">
        <f t="shared" si="28"/>
        <v>0.42857142857142855</v>
      </c>
      <c r="G1853" s="2">
        <f>AVERAGEIFS([3]!players[gold_per_min], [3]!players[name],A1853,[3]!players[hero_name],B1853)</f>
        <v>572.28571428571433</v>
      </c>
      <c r="H1853" s="2">
        <f>AVERAGEIFS([3]!players[xp_per_min], [3]!players[name],A1853,[3]!players[hero_name],B1853)</f>
        <v>688.28571428571433</v>
      </c>
    </row>
    <row r="1854" spans="1:8" x14ac:dyDescent="0.3">
      <c r="A1854" t="str">
        <v>squad1x</v>
      </c>
      <c r="B1854" t="str">
        <v>Puck</v>
      </c>
      <c r="C1854" t="str" cm="1">
        <f t="array" ref="C1854">_xlfn.XLOOKUP(1,([3]!players[name]=A1854)*([3]!players[hero_name]=B1854),[3]!players[lane_name])</f>
        <v>Mid</v>
      </c>
      <c r="D1854">
        <f>COUNTIFS([3]!players[name],A1854,[3]!players[hero_name],B1854)</f>
        <v>14</v>
      </c>
      <c r="E1854">
        <f>COUNTIFS([3]!players[name],A1854,[3]!players[hero_name],B1854, [3]!players[win], 1)</f>
        <v>7</v>
      </c>
      <c r="F1854" s="1">
        <f t="shared" si="28"/>
        <v>0.5</v>
      </c>
      <c r="G1854" s="2">
        <f>AVERAGEIFS([3]!players[gold_per_min], [3]!players[name],A1854,[3]!players[hero_name],B1854)</f>
        <v>593.5</v>
      </c>
      <c r="H1854" s="2">
        <f>AVERAGEIFS([3]!players[xp_per_min], [3]!players[name],A1854,[3]!players[hero_name],B1854)</f>
        <v>753.42857142857144</v>
      </c>
    </row>
    <row r="1855" spans="1:8" x14ac:dyDescent="0.3">
      <c r="A1855" t="str">
        <v>squad1x</v>
      </c>
      <c r="B1855" t="str">
        <v>Void Spirit</v>
      </c>
      <c r="C1855" t="str" cm="1">
        <f t="array" ref="C1855">_xlfn.XLOOKUP(1,([3]!players[name]=A1855)*([3]!players[hero_name]=B1855),[3]!players[lane_name])</f>
        <v>Mid</v>
      </c>
      <c r="D1855">
        <f>COUNTIFS([3]!players[name],A1855,[3]!players[hero_name],B1855)</f>
        <v>7</v>
      </c>
      <c r="E1855">
        <f>COUNTIFS([3]!players[name],A1855,[3]!players[hero_name],B1855, [3]!players[win], 1)</f>
        <v>3</v>
      </c>
      <c r="F1855" s="1">
        <f t="shared" si="28"/>
        <v>0.42857142857142855</v>
      </c>
      <c r="G1855" s="2">
        <f>AVERAGEIFS([3]!players[gold_per_min], [3]!players[name],A1855,[3]!players[hero_name],B1855)</f>
        <v>571.14285714285711</v>
      </c>
      <c r="H1855" s="2">
        <f>AVERAGEIFS([3]!players[xp_per_min], [3]!players[name],A1855,[3]!players[hero_name],B1855)</f>
        <v>693.57142857142856</v>
      </c>
    </row>
    <row r="1856" spans="1:8" x14ac:dyDescent="0.3">
      <c r="A1856" t="str">
        <v>squad1x</v>
      </c>
      <c r="B1856" t="str">
        <v>Sand King</v>
      </c>
      <c r="C1856" t="str" cm="1">
        <f t="array" ref="C1856">_xlfn.XLOOKUP(1,([3]!players[name]=A1856)*([3]!players[hero_name]=B1856),[3]!players[lane_name])</f>
        <v>Mid</v>
      </c>
      <c r="D1856">
        <f>COUNTIFS([3]!players[name],A1856,[3]!players[hero_name],B1856)</f>
        <v>4</v>
      </c>
      <c r="E1856">
        <f>COUNTIFS([3]!players[name],A1856,[3]!players[hero_name],B1856, [3]!players[win], 1)</f>
        <v>2</v>
      </c>
      <c r="F1856" s="1">
        <f t="shared" si="28"/>
        <v>0.5</v>
      </c>
      <c r="G1856" s="2">
        <f>AVERAGEIFS([3]!players[gold_per_min], [3]!players[name],A1856,[3]!players[hero_name],B1856)</f>
        <v>548.75</v>
      </c>
      <c r="H1856" s="2">
        <f>AVERAGEIFS([3]!players[xp_per_min], [3]!players[name],A1856,[3]!players[hero_name],B1856)</f>
        <v>673.25</v>
      </c>
    </row>
    <row r="1857" spans="1:8" x14ac:dyDescent="0.3">
      <c r="A1857" t="str">
        <v>squad1x</v>
      </c>
      <c r="B1857" t="str">
        <v>Beastmaster</v>
      </c>
      <c r="C1857" t="str" cm="1">
        <f t="array" ref="C1857">_xlfn.XLOOKUP(1,([3]!players[name]=A1857)*([3]!players[hero_name]=B1857),[3]!players[lane_name])</f>
        <v>Mid</v>
      </c>
      <c r="D1857">
        <f>COUNTIFS([3]!players[name],A1857,[3]!players[hero_name],B1857)</f>
        <v>1</v>
      </c>
      <c r="E1857">
        <f>COUNTIFS([3]!players[name],A1857,[3]!players[hero_name],B1857, [3]!players[win], 1)</f>
        <v>0</v>
      </c>
      <c r="F1857" s="1">
        <f t="shared" si="28"/>
        <v>0</v>
      </c>
      <c r="G1857" s="2">
        <f>AVERAGEIFS([3]!players[gold_per_min], [3]!players[name],A1857,[3]!players[hero_name],B1857)</f>
        <v>556</v>
      </c>
      <c r="H1857" s="2">
        <f>AVERAGEIFS([3]!players[xp_per_min], [3]!players[name],A1857,[3]!players[hero_name],B1857)</f>
        <v>648</v>
      </c>
    </row>
    <row r="1858" spans="1:8" x14ac:dyDescent="0.3">
      <c r="A1858" t="str">
        <v>squad1x</v>
      </c>
      <c r="B1858" t="str">
        <v>Leshrac</v>
      </c>
      <c r="C1858" t="str" cm="1">
        <f t="array" ref="C1858">_xlfn.XLOOKUP(1,([3]!players[name]=A1858)*([3]!players[hero_name]=B1858),[3]!players[lane_name])</f>
        <v>Mid</v>
      </c>
      <c r="D1858">
        <f>COUNTIFS([3]!players[name],A1858,[3]!players[hero_name],B1858)</f>
        <v>3</v>
      </c>
      <c r="E1858">
        <f>COUNTIFS([3]!players[name],A1858,[3]!players[hero_name],B1858, [3]!players[win], 1)</f>
        <v>2</v>
      </c>
      <c r="F1858" s="1">
        <f t="shared" si="28"/>
        <v>0.66666666666666663</v>
      </c>
      <c r="G1858" s="2">
        <f>AVERAGEIFS([3]!players[gold_per_min], [3]!players[name],A1858,[3]!players[hero_name],B1858)</f>
        <v>651.33333333333337</v>
      </c>
      <c r="H1858" s="2">
        <f>AVERAGEIFS([3]!players[xp_per_min], [3]!players[name],A1858,[3]!players[hero_name],B1858)</f>
        <v>773.33333333333337</v>
      </c>
    </row>
    <row r="1859" spans="1:8" x14ac:dyDescent="0.3">
      <c r="A1859" t="str">
        <v>squad1x</v>
      </c>
      <c r="B1859" t="str">
        <v>Queen of Pain</v>
      </c>
      <c r="C1859" t="str" cm="1">
        <f t="array" ref="C1859">_xlfn.XLOOKUP(1,([3]!players[name]=A1859)*([3]!players[hero_name]=B1859),[3]!players[lane_name])</f>
        <v>Mid</v>
      </c>
      <c r="D1859">
        <f>COUNTIFS([3]!players[name],A1859,[3]!players[hero_name],B1859)</f>
        <v>3</v>
      </c>
      <c r="E1859">
        <f>COUNTIFS([3]!players[name],A1859,[3]!players[hero_name],B1859, [3]!players[win], 1)</f>
        <v>1</v>
      </c>
      <c r="F1859" s="1">
        <f t="shared" ref="F1859:F1922" si="29">E1859/D1859</f>
        <v>0.33333333333333331</v>
      </c>
      <c r="G1859" s="2">
        <f>AVERAGEIFS([3]!players[gold_per_min], [3]!players[name],A1859,[3]!players[hero_name],B1859)</f>
        <v>700</v>
      </c>
      <c r="H1859" s="2">
        <f>AVERAGEIFS([3]!players[xp_per_min], [3]!players[name],A1859,[3]!players[hero_name],B1859)</f>
        <v>863</v>
      </c>
    </row>
    <row r="1860" spans="1:8" x14ac:dyDescent="0.3">
      <c r="A1860" t="str">
        <v>squad1x</v>
      </c>
      <c r="B1860" t="str">
        <v>Slardar</v>
      </c>
      <c r="C1860" t="str" cm="1">
        <f t="array" ref="C1860">_xlfn.XLOOKUP(1,([3]!players[name]=A1860)*([3]!players[hero_name]=B1860),[3]!players[lane_name])</f>
        <v>Mid</v>
      </c>
      <c r="D1860">
        <f>COUNTIFS([3]!players[name],A1860,[3]!players[hero_name],B1860)</f>
        <v>2</v>
      </c>
      <c r="E1860">
        <f>COUNTIFS([3]!players[name],A1860,[3]!players[hero_name],B1860, [3]!players[win], 1)</f>
        <v>2</v>
      </c>
      <c r="F1860" s="1">
        <f t="shared" si="29"/>
        <v>1</v>
      </c>
      <c r="G1860" s="2">
        <f>AVERAGEIFS([3]!players[gold_per_min], [3]!players[name],A1860,[3]!players[hero_name],B1860)</f>
        <v>573.5</v>
      </c>
      <c r="H1860" s="2">
        <f>AVERAGEIFS([3]!players[xp_per_min], [3]!players[name],A1860,[3]!players[hero_name],B1860)</f>
        <v>604</v>
      </c>
    </row>
    <row r="1861" spans="1:8" x14ac:dyDescent="0.3">
      <c r="A1861" t="str">
        <v>squad1x</v>
      </c>
      <c r="B1861" t="str">
        <v>Tiny</v>
      </c>
      <c r="C1861" t="str" cm="1">
        <f t="array" ref="C1861">_xlfn.XLOOKUP(1,([3]!players[name]=A1861)*([3]!players[hero_name]=B1861),[3]!players[lane_name])</f>
        <v>Mid</v>
      </c>
      <c r="D1861">
        <f>COUNTIFS([3]!players[name],A1861,[3]!players[hero_name],B1861)</f>
        <v>1</v>
      </c>
      <c r="E1861">
        <f>COUNTIFS([3]!players[name],A1861,[3]!players[hero_name],B1861, [3]!players[win], 1)</f>
        <v>0</v>
      </c>
      <c r="F1861" s="1">
        <f t="shared" si="29"/>
        <v>0</v>
      </c>
      <c r="G1861" s="2">
        <f>AVERAGEIFS([3]!players[gold_per_min], [3]!players[name],A1861,[3]!players[hero_name],B1861)</f>
        <v>453</v>
      </c>
      <c r="H1861" s="2">
        <f>AVERAGEIFS([3]!players[xp_per_min], [3]!players[name],A1861,[3]!players[hero_name],B1861)</f>
        <v>505</v>
      </c>
    </row>
    <row r="1862" spans="1:8" x14ac:dyDescent="0.3">
      <c r="A1862" t="str">
        <v>ssnovv1</v>
      </c>
      <c r="B1862" t="str">
        <v>Faceless Void</v>
      </c>
      <c r="C1862" t="str" cm="1">
        <f t="array" ref="C1862">_xlfn.XLOOKUP(1,([3]!players[name]=A1862)*([3]!players[hero_name]=B1862),[3]!players[lane_name])</f>
        <v>Carry</v>
      </c>
      <c r="D1862">
        <f>COUNTIFS([3]!players[name],A1862,[3]!players[hero_name],B1862)</f>
        <v>7</v>
      </c>
      <c r="E1862">
        <f>COUNTIFS([3]!players[name],A1862,[3]!players[hero_name],B1862, [3]!players[win], 1)</f>
        <v>3</v>
      </c>
      <c r="F1862" s="1">
        <f t="shared" si="29"/>
        <v>0.42857142857142855</v>
      </c>
      <c r="G1862" s="2">
        <f>AVERAGEIFS([3]!players[gold_per_min], [3]!players[name],A1862,[3]!players[hero_name],B1862)</f>
        <v>655.14285714285711</v>
      </c>
      <c r="H1862" s="2">
        <f>AVERAGEIFS([3]!players[xp_per_min], [3]!players[name],A1862,[3]!players[hero_name],B1862)</f>
        <v>887.85714285714289</v>
      </c>
    </row>
    <row r="1863" spans="1:8" x14ac:dyDescent="0.3">
      <c r="A1863" t="str">
        <v>ssnovv1</v>
      </c>
      <c r="B1863" t="str">
        <v>Lifestealer</v>
      </c>
      <c r="C1863" t="str" cm="1">
        <f t="array" ref="C1863">_xlfn.XLOOKUP(1,([3]!players[name]=A1863)*([3]!players[hero_name]=B1863),[3]!players[lane_name])</f>
        <v>Carry</v>
      </c>
      <c r="D1863">
        <f>COUNTIFS([3]!players[name],A1863,[3]!players[hero_name],B1863)</f>
        <v>7</v>
      </c>
      <c r="E1863">
        <f>COUNTIFS([3]!players[name],A1863,[3]!players[hero_name],B1863, [3]!players[win], 1)</f>
        <v>3</v>
      </c>
      <c r="F1863" s="1">
        <f t="shared" si="29"/>
        <v>0.42857142857142855</v>
      </c>
      <c r="G1863" s="2">
        <f>AVERAGEIFS([3]!players[gold_per_min], [3]!players[name],A1863,[3]!players[hero_name],B1863)</f>
        <v>619.28571428571433</v>
      </c>
      <c r="H1863" s="2">
        <f>AVERAGEIFS([3]!players[xp_per_min], [3]!players[name],A1863,[3]!players[hero_name],B1863)</f>
        <v>750.14285714285711</v>
      </c>
    </row>
    <row r="1864" spans="1:8" x14ac:dyDescent="0.3">
      <c r="A1864" t="str">
        <v>ssnovv1</v>
      </c>
      <c r="B1864" t="str">
        <v>Troll Warlord</v>
      </c>
      <c r="C1864" t="str" cm="1">
        <f t="array" ref="C1864">_xlfn.XLOOKUP(1,([3]!players[name]=A1864)*([3]!players[hero_name]=B1864),[3]!players[lane_name])</f>
        <v>Carry</v>
      </c>
      <c r="D1864">
        <f>COUNTIFS([3]!players[name],A1864,[3]!players[hero_name],B1864)</f>
        <v>1</v>
      </c>
      <c r="E1864">
        <f>COUNTIFS([3]!players[name],A1864,[3]!players[hero_name],B1864, [3]!players[win], 1)</f>
        <v>0</v>
      </c>
      <c r="F1864" s="1">
        <f t="shared" si="29"/>
        <v>0</v>
      </c>
      <c r="G1864" s="2">
        <f>AVERAGEIFS([3]!players[gold_per_min], [3]!players[name],A1864,[3]!players[hero_name],B1864)</f>
        <v>631</v>
      </c>
      <c r="H1864" s="2">
        <f>AVERAGEIFS([3]!players[xp_per_min], [3]!players[name],A1864,[3]!players[hero_name],B1864)</f>
        <v>732</v>
      </c>
    </row>
    <row r="1865" spans="1:8" x14ac:dyDescent="0.3">
      <c r="A1865" t="str">
        <v>ssnovv1</v>
      </c>
      <c r="B1865" t="str">
        <v>Meepo</v>
      </c>
      <c r="C1865" t="str" cm="1">
        <f t="array" ref="C1865">_xlfn.XLOOKUP(1,([3]!players[name]=A1865)*([3]!players[hero_name]=B1865),[3]!players[lane_name])</f>
        <v>Carry</v>
      </c>
      <c r="D1865">
        <f>COUNTIFS([3]!players[name],A1865,[3]!players[hero_name],B1865)</f>
        <v>2</v>
      </c>
      <c r="E1865">
        <f>COUNTIFS([3]!players[name],A1865,[3]!players[hero_name],B1865, [3]!players[win], 1)</f>
        <v>1</v>
      </c>
      <c r="F1865" s="1">
        <f t="shared" si="29"/>
        <v>0.5</v>
      </c>
      <c r="G1865" s="2">
        <f>AVERAGEIFS([3]!players[gold_per_min], [3]!players[name],A1865,[3]!players[hero_name],B1865)</f>
        <v>734</v>
      </c>
      <c r="H1865" s="2">
        <f>AVERAGEIFS([3]!players[xp_per_min], [3]!players[name],A1865,[3]!players[hero_name],B1865)</f>
        <v>840.5</v>
      </c>
    </row>
    <row r="1866" spans="1:8" x14ac:dyDescent="0.3">
      <c r="A1866" t="str">
        <v>ssnovv1</v>
      </c>
      <c r="B1866" t="str">
        <v>Monkey King</v>
      </c>
      <c r="C1866" t="str" cm="1">
        <f t="array" ref="C1866">_xlfn.XLOOKUP(1,([3]!players[name]=A1866)*([3]!players[hero_name]=B1866),[3]!players[lane_name])</f>
        <v>Carry</v>
      </c>
      <c r="D1866">
        <f>COUNTIFS([3]!players[name],A1866,[3]!players[hero_name],B1866)</f>
        <v>4</v>
      </c>
      <c r="E1866">
        <f>COUNTIFS([3]!players[name],A1866,[3]!players[hero_name],B1866, [3]!players[win], 1)</f>
        <v>2</v>
      </c>
      <c r="F1866" s="1">
        <f t="shared" si="29"/>
        <v>0.5</v>
      </c>
      <c r="G1866" s="2">
        <f>AVERAGEIFS([3]!players[gold_per_min], [3]!players[name],A1866,[3]!players[hero_name],B1866)</f>
        <v>642.75</v>
      </c>
      <c r="H1866" s="2">
        <f>AVERAGEIFS([3]!players[xp_per_min], [3]!players[name],A1866,[3]!players[hero_name],B1866)</f>
        <v>798.5</v>
      </c>
    </row>
    <row r="1867" spans="1:8" x14ac:dyDescent="0.3">
      <c r="A1867" t="str">
        <v>ssnovv1</v>
      </c>
      <c r="B1867" t="str">
        <v>Beastmaster</v>
      </c>
      <c r="C1867" t="str" cm="1">
        <f t="array" ref="C1867">_xlfn.XLOOKUP(1,([3]!players[name]=A1867)*([3]!players[hero_name]=B1867),[3]!players[lane_name])</f>
        <v>Carry</v>
      </c>
      <c r="D1867">
        <f>COUNTIFS([3]!players[name],A1867,[3]!players[hero_name],B1867)</f>
        <v>2</v>
      </c>
      <c r="E1867">
        <f>COUNTIFS([3]!players[name],A1867,[3]!players[hero_name],B1867, [3]!players[win], 1)</f>
        <v>1</v>
      </c>
      <c r="F1867" s="1">
        <f t="shared" si="29"/>
        <v>0.5</v>
      </c>
      <c r="G1867" s="2">
        <f>AVERAGEIFS([3]!players[gold_per_min], [3]!players[name],A1867,[3]!players[hero_name],B1867)</f>
        <v>839</v>
      </c>
      <c r="H1867" s="2">
        <f>AVERAGEIFS([3]!players[xp_per_min], [3]!players[name],A1867,[3]!players[hero_name],B1867)</f>
        <v>958</v>
      </c>
    </row>
    <row r="1868" spans="1:8" x14ac:dyDescent="0.3">
      <c r="A1868" t="str">
        <v>ssnovv1</v>
      </c>
      <c r="B1868" t="str">
        <v>Ursa</v>
      </c>
      <c r="C1868" t="str" cm="1">
        <f t="array" ref="C1868">_xlfn.XLOOKUP(1,([3]!players[name]=A1868)*([3]!players[hero_name]=B1868),[3]!players[lane_name])</f>
        <v>Carry</v>
      </c>
      <c r="D1868">
        <f>COUNTIFS([3]!players[name],A1868,[3]!players[hero_name],B1868)</f>
        <v>2</v>
      </c>
      <c r="E1868">
        <f>COUNTIFS([3]!players[name],A1868,[3]!players[hero_name],B1868, [3]!players[win], 1)</f>
        <v>2</v>
      </c>
      <c r="F1868" s="1">
        <f t="shared" si="29"/>
        <v>1</v>
      </c>
      <c r="G1868" s="2">
        <f>AVERAGEIFS([3]!players[gold_per_min], [3]!players[name],A1868,[3]!players[hero_name],B1868)</f>
        <v>841</v>
      </c>
      <c r="H1868" s="2">
        <f>AVERAGEIFS([3]!players[xp_per_min], [3]!players[name],A1868,[3]!players[hero_name],B1868)</f>
        <v>1126.5</v>
      </c>
    </row>
    <row r="1869" spans="1:8" x14ac:dyDescent="0.3">
      <c r="A1869" t="str">
        <v>ssnovv1</v>
      </c>
      <c r="B1869" t="str">
        <v>Abaddon</v>
      </c>
      <c r="C1869" t="str" cm="1">
        <f t="array" ref="C1869">_xlfn.XLOOKUP(1,([3]!players[name]=A1869)*([3]!players[hero_name]=B1869),[3]!players[lane_name])</f>
        <v>Carry</v>
      </c>
      <c r="D1869">
        <f>COUNTIFS([3]!players[name],A1869,[3]!players[hero_name],B1869)</f>
        <v>3</v>
      </c>
      <c r="E1869">
        <f>COUNTIFS([3]!players[name],A1869,[3]!players[hero_name],B1869, [3]!players[win], 1)</f>
        <v>1</v>
      </c>
      <c r="F1869" s="1">
        <f t="shared" si="29"/>
        <v>0.33333333333333331</v>
      </c>
      <c r="G1869" s="2">
        <f>AVERAGEIFS([3]!players[gold_per_min], [3]!players[name],A1869,[3]!players[hero_name],B1869)</f>
        <v>765.33333333333337</v>
      </c>
      <c r="H1869" s="2">
        <f>AVERAGEIFS([3]!players[xp_per_min], [3]!players[name],A1869,[3]!players[hero_name],B1869)</f>
        <v>985.33333333333337</v>
      </c>
    </row>
    <row r="1870" spans="1:8" x14ac:dyDescent="0.3">
      <c r="A1870" t="str">
        <v>ssnovv1</v>
      </c>
      <c r="B1870" t="str">
        <v>Alchemist</v>
      </c>
      <c r="C1870" t="str" cm="1">
        <f t="array" ref="C1870">_xlfn.XLOOKUP(1,([3]!players[name]=A1870)*([3]!players[hero_name]=B1870),[3]!players[lane_name])</f>
        <v>Carry</v>
      </c>
      <c r="D1870">
        <f>COUNTIFS([3]!players[name],A1870,[3]!players[hero_name],B1870)</f>
        <v>4</v>
      </c>
      <c r="E1870">
        <f>COUNTIFS([3]!players[name],A1870,[3]!players[hero_name],B1870, [3]!players[win], 1)</f>
        <v>2</v>
      </c>
      <c r="F1870" s="1">
        <f t="shared" si="29"/>
        <v>0.5</v>
      </c>
      <c r="G1870" s="2">
        <f>AVERAGEIFS([3]!players[gold_per_min], [3]!players[name],A1870,[3]!players[hero_name],B1870)</f>
        <v>882.25</v>
      </c>
      <c r="H1870" s="2">
        <f>AVERAGEIFS([3]!players[xp_per_min], [3]!players[name],A1870,[3]!players[hero_name],B1870)</f>
        <v>813.75</v>
      </c>
    </row>
    <row r="1871" spans="1:8" x14ac:dyDescent="0.3">
      <c r="A1871" t="str">
        <v>ssnovv1</v>
      </c>
      <c r="B1871" t="str">
        <v>Luna</v>
      </c>
      <c r="C1871" t="str" cm="1">
        <f t="array" ref="C1871">_xlfn.XLOOKUP(1,([3]!players[name]=A1871)*([3]!players[hero_name]=B1871),[3]!players[lane_name])</f>
        <v>Carry</v>
      </c>
      <c r="D1871">
        <f>COUNTIFS([3]!players[name],A1871,[3]!players[hero_name],B1871)</f>
        <v>5</v>
      </c>
      <c r="E1871">
        <f>COUNTIFS([3]!players[name],A1871,[3]!players[hero_name],B1871, [3]!players[win], 1)</f>
        <v>3</v>
      </c>
      <c r="F1871" s="1">
        <f t="shared" si="29"/>
        <v>0.6</v>
      </c>
      <c r="G1871" s="2">
        <f>AVERAGEIFS([3]!players[gold_per_min], [3]!players[name],A1871,[3]!players[hero_name],B1871)</f>
        <v>794.6</v>
      </c>
      <c r="H1871" s="2">
        <f>AVERAGEIFS([3]!players[xp_per_min], [3]!players[name],A1871,[3]!players[hero_name],B1871)</f>
        <v>875.2</v>
      </c>
    </row>
    <row r="1872" spans="1:8" x14ac:dyDescent="0.3">
      <c r="A1872" t="str">
        <v>ssnovv1</v>
      </c>
      <c r="B1872" t="str">
        <v>Bristleback</v>
      </c>
      <c r="C1872" t="str" cm="1">
        <f t="array" ref="C1872">_xlfn.XLOOKUP(1,([3]!players[name]=A1872)*([3]!players[hero_name]=B1872),[3]!players[lane_name])</f>
        <v>Carry</v>
      </c>
      <c r="D1872">
        <f>COUNTIFS([3]!players[name],A1872,[3]!players[hero_name],B1872)</f>
        <v>2</v>
      </c>
      <c r="E1872">
        <f>COUNTIFS([3]!players[name],A1872,[3]!players[hero_name],B1872, [3]!players[win], 1)</f>
        <v>1</v>
      </c>
      <c r="F1872" s="1">
        <f t="shared" si="29"/>
        <v>0.5</v>
      </c>
      <c r="G1872" s="2">
        <f>AVERAGEIFS([3]!players[gold_per_min], [3]!players[name],A1872,[3]!players[hero_name],B1872)</f>
        <v>732</v>
      </c>
      <c r="H1872" s="2">
        <f>AVERAGEIFS([3]!players[xp_per_min], [3]!players[name],A1872,[3]!players[hero_name],B1872)</f>
        <v>962</v>
      </c>
    </row>
    <row r="1873" spans="1:8" x14ac:dyDescent="0.3">
      <c r="A1873" t="str">
        <v>ssnovv1</v>
      </c>
      <c r="B1873" t="str">
        <v>Muerta</v>
      </c>
      <c r="C1873" t="str" cm="1">
        <f t="array" ref="C1873">_xlfn.XLOOKUP(1,([3]!players[name]=A1873)*([3]!players[hero_name]=B1873),[3]!players[lane_name])</f>
        <v>Carry</v>
      </c>
      <c r="D1873">
        <f>COUNTIFS([3]!players[name],A1873,[3]!players[hero_name],B1873)</f>
        <v>11</v>
      </c>
      <c r="E1873">
        <f>COUNTIFS([3]!players[name],A1873,[3]!players[hero_name],B1873, [3]!players[win], 1)</f>
        <v>7</v>
      </c>
      <c r="F1873" s="1">
        <f t="shared" si="29"/>
        <v>0.63636363636363635</v>
      </c>
      <c r="G1873" s="2">
        <f>AVERAGEIFS([3]!players[gold_per_min], [3]!players[name],A1873,[3]!players[hero_name],B1873)</f>
        <v>712.90909090909088</v>
      </c>
      <c r="H1873" s="2">
        <f>AVERAGEIFS([3]!players[xp_per_min], [3]!players[name],A1873,[3]!players[hero_name],B1873)</f>
        <v>860.09090909090912</v>
      </c>
    </row>
    <row r="1874" spans="1:8" x14ac:dyDescent="0.3">
      <c r="A1874" t="str">
        <v>ssnovv1</v>
      </c>
      <c r="B1874" t="str">
        <v>Weaver</v>
      </c>
      <c r="C1874" t="str" cm="1">
        <f t="array" ref="C1874">_xlfn.XLOOKUP(1,([3]!players[name]=A1874)*([3]!players[hero_name]=B1874),[3]!players[lane_name])</f>
        <v>Carry</v>
      </c>
      <c r="D1874">
        <f>COUNTIFS([3]!players[name],A1874,[3]!players[hero_name],B1874)</f>
        <v>2</v>
      </c>
      <c r="E1874">
        <f>COUNTIFS([3]!players[name],A1874,[3]!players[hero_name],B1874, [3]!players[win], 1)</f>
        <v>1</v>
      </c>
      <c r="F1874" s="1">
        <f t="shared" si="29"/>
        <v>0.5</v>
      </c>
      <c r="G1874" s="2">
        <f>AVERAGEIFS([3]!players[gold_per_min], [3]!players[name],A1874,[3]!players[hero_name],B1874)</f>
        <v>784.5</v>
      </c>
      <c r="H1874" s="2">
        <f>AVERAGEIFS([3]!players[xp_per_min], [3]!players[name],A1874,[3]!players[hero_name],B1874)</f>
        <v>990</v>
      </c>
    </row>
    <row r="1875" spans="1:8" x14ac:dyDescent="0.3">
      <c r="A1875" t="str">
        <v>ssnovv1</v>
      </c>
      <c r="B1875" t="str">
        <v>Broodmother</v>
      </c>
      <c r="C1875" t="str" cm="1">
        <f t="array" ref="C1875">_xlfn.XLOOKUP(1,([3]!players[name]=A1875)*([3]!players[hero_name]=B1875),[3]!players[lane_name])</f>
        <v>Carry</v>
      </c>
      <c r="D1875">
        <f>COUNTIFS([3]!players[name],A1875,[3]!players[hero_name],B1875)</f>
        <v>2</v>
      </c>
      <c r="E1875">
        <f>COUNTIFS([3]!players[name],A1875,[3]!players[hero_name],B1875, [3]!players[win], 1)</f>
        <v>1</v>
      </c>
      <c r="F1875" s="1">
        <f t="shared" si="29"/>
        <v>0.5</v>
      </c>
      <c r="G1875" s="2">
        <f>AVERAGEIFS([3]!players[gold_per_min], [3]!players[name],A1875,[3]!players[hero_name],B1875)</f>
        <v>687.5</v>
      </c>
      <c r="H1875" s="2">
        <f>AVERAGEIFS([3]!players[xp_per_min], [3]!players[name],A1875,[3]!players[hero_name],B1875)</f>
        <v>705</v>
      </c>
    </row>
    <row r="1876" spans="1:8" x14ac:dyDescent="0.3">
      <c r="A1876" t="str">
        <v>ssnovv1</v>
      </c>
      <c r="B1876" t="str">
        <v>Lone Druid</v>
      </c>
      <c r="C1876" t="str" cm="1">
        <f t="array" ref="C1876">_xlfn.XLOOKUP(1,([3]!players[name]=A1876)*([3]!players[hero_name]=B1876),[3]!players[lane_name])</f>
        <v>Carry</v>
      </c>
      <c r="D1876">
        <f>COUNTIFS([3]!players[name],A1876,[3]!players[hero_name],B1876)</f>
        <v>4</v>
      </c>
      <c r="E1876">
        <f>COUNTIFS([3]!players[name],A1876,[3]!players[hero_name],B1876, [3]!players[win], 1)</f>
        <v>3</v>
      </c>
      <c r="F1876" s="1">
        <f t="shared" si="29"/>
        <v>0.75</v>
      </c>
      <c r="G1876" s="2">
        <f>AVERAGEIFS([3]!players[gold_per_min], [3]!players[name],A1876,[3]!players[hero_name],B1876)</f>
        <v>918.25</v>
      </c>
      <c r="H1876" s="2">
        <f>AVERAGEIFS([3]!players[xp_per_min], [3]!players[name],A1876,[3]!players[hero_name],B1876)</f>
        <v>902.25</v>
      </c>
    </row>
    <row r="1877" spans="1:8" x14ac:dyDescent="0.3">
      <c r="A1877" t="str">
        <v>ssnovv1</v>
      </c>
      <c r="B1877" t="str">
        <v>Kez</v>
      </c>
      <c r="C1877" t="str" cm="1">
        <f t="array" ref="C1877">_xlfn.XLOOKUP(1,([3]!players[name]=A1877)*([3]!players[hero_name]=B1877),[3]!players[lane_name])</f>
        <v>Carry</v>
      </c>
      <c r="D1877">
        <f>COUNTIFS([3]!players[name],A1877,[3]!players[hero_name],B1877)</f>
        <v>1</v>
      </c>
      <c r="E1877">
        <f>COUNTIFS([3]!players[name],A1877,[3]!players[hero_name],B1877, [3]!players[win], 1)</f>
        <v>0</v>
      </c>
      <c r="F1877" s="1">
        <f t="shared" si="29"/>
        <v>0</v>
      </c>
      <c r="G1877" s="2">
        <f>AVERAGEIFS([3]!players[gold_per_min], [3]!players[name],A1877,[3]!players[hero_name],B1877)</f>
        <v>627</v>
      </c>
      <c r="H1877" s="2">
        <f>AVERAGEIFS([3]!players[xp_per_min], [3]!players[name],A1877,[3]!players[hero_name],B1877)</f>
        <v>799</v>
      </c>
    </row>
    <row r="1878" spans="1:8" x14ac:dyDescent="0.3">
      <c r="A1878" t="str">
        <v>ssnovv1</v>
      </c>
      <c r="B1878" t="str">
        <v>Windranger</v>
      </c>
      <c r="C1878" t="str" cm="1">
        <f t="array" ref="C1878">_xlfn.XLOOKUP(1,([3]!players[name]=A1878)*([3]!players[hero_name]=B1878),[3]!players[lane_name])</f>
        <v>Carry</v>
      </c>
      <c r="D1878">
        <f>COUNTIFS([3]!players[name],A1878,[3]!players[hero_name],B1878)</f>
        <v>1</v>
      </c>
      <c r="E1878">
        <f>COUNTIFS([3]!players[name],A1878,[3]!players[hero_name],B1878, [3]!players[win], 1)</f>
        <v>1</v>
      </c>
      <c r="F1878" s="1">
        <f t="shared" si="29"/>
        <v>1</v>
      </c>
      <c r="G1878" s="2">
        <f>AVERAGEIFS([3]!players[gold_per_min], [3]!players[name],A1878,[3]!players[hero_name],B1878)</f>
        <v>755</v>
      </c>
      <c r="H1878" s="2">
        <f>AVERAGEIFS([3]!players[xp_per_min], [3]!players[name],A1878,[3]!players[hero_name],B1878)</f>
        <v>1022</v>
      </c>
    </row>
    <row r="1879" spans="1:8" x14ac:dyDescent="0.3">
      <c r="A1879" t="str">
        <v>ssnovv1</v>
      </c>
      <c r="B1879" t="str">
        <v>Slark</v>
      </c>
      <c r="C1879" t="str" cm="1">
        <f t="array" ref="C1879">_xlfn.XLOOKUP(1,([3]!players[name]=A1879)*([3]!players[hero_name]=B1879),[3]!players[lane_name])</f>
        <v>Carry</v>
      </c>
      <c r="D1879">
        <f>COUNTIFS([3]!players[name],A1879,[3]!players[hero_name],B1879)</f>
        <v>1</v>
      </c>
      <c r="E1879">
        <f>COUNTIFS([3]!players[name],A1879,[3]!players[hero_name],B1879, [3]!players[win], 1)</f>
        <v>1</v>
      </c>
      <c r="F1879" s="1">
        <f t="shared" si="29"/>
        <v>1</v>
      </c>
      <c r="G1879" s="2">
        <f>AVERAGEIFS([3]!players[gold_per_min], [3]!players[name],A1879,[3]!players[hero_name],B1879)</f>
        <v>668</v>
      </c>
      <c r="H1879" s="2">
        <f>AVERAGEIFS([3]!players[xp_per_min], [3]!players[name],A1879,[3]!players[hero_name],B1879)</f>
        <v>862</v>
      </c>
    </row>
    <row r="1880" spans="1:8" x14ac:dyDescent="0.3">
      <c r="A1880" t="str">
        <v>SSS</v>
      </c>
      <c r="B1880" t="str">
        <v>Axe</v>
      </c>
      <c r="C1880" t="str" cm="1">
        <f t="array" ref="C1880">_xlfn.XLOOKUP(1,([3]!players[name]=A1880)*([3]!players[hero_name]=B1880),[3]!players[lane_name])</f>
        <v>Off Lane</v>
      </c>
      <c r="D1880">
        <f>COUNTIFS([3]!players[name],A1880,[3]!players[hero_name],B1880)</f>
        <v>3</v>
      </c>
      <c r="E1880">
        <f>COUNTIFS([3]!players[name],A1880,[3]!players[hero_name],B1880, [3]!players[win], 1)</f>
        <v>2</v>
      </c>
      <c r="F1880" s="1">
        <f t="shared" si="29"/>
        <v>0.66666666666666663</v>
      </c>
      <c r="G1880" s="2">
        <f>AVERAGEIFS([3]!players[gold_per_min], [3]!players[name],A1880,[3]!players[hero_name],B1880)</f>
        <v>531.66666666666663</v>
      </c>
      <c r="H1880" s="2">
        <f>AVERAGEIFS([3]!players[xp_per_min], [3]!players[name],A1880,[3]!players[hero_name],B1880)</f>
        <v>653.66666666666663</v>
      </c>
    </row>
    <row r="1881" spans="1:8" x14ac:dyDescent="0.3">
      <c r="A1881" t="str">
        <v>SSS</v>
      </c>
      <c r="B1881" t="str">
        <v>Beastmaster</v>
      </c>
      <c r="C1881" t="str" cm="1">
        <f t="array" ref="C1881">_xlfn.XLOOKUP(1,([3]!players[name]=A1881)*([3]!players[hero_name]=B1881),[3]!players[lane_name])</f>
        <v>Off Lane</v>
      </c>
      <c r="D1881">
        <f>COUNTIFS([3]!players[name],A1881,[3]!players[hero_name],B1881)</f>
        <v>4</v>
      </c>
      <c r="E1881">
        <f>COUNTIFS([3]!players[name],A1881,[3]!players[hero_name],B1881, [3]!players[win], 1)</f>
        <v>3</v>
      </c>
      <c r="F1881" s="1">
        <f t="shared" si="29"/>
        <v>0.75</v>
      </c>
      <c r="G1881" s="2">
        <f>AVERAGEIFS([3]!players[gold_per_min], [3]!players[name],A1881,[3]!players[hero_name],B1881)</f>
        <v>640.25</v>
      </c>
      <c r="H1881" s="2">
        <f>AVERAGEIFS([3]!players[xp_per_min], [3]!players[name],A1881,[3]!players[hero_name],B1881)</f>
        <v>682</v>
      </c>
    </row>
    <row r="1882" spans="1:8" x14ac:dyDescent="0.3">
      <c r="A1882" t="str">
        <v>SSS</v>
      </c>
      <c r="B1882" t="str">
        <v>Tidehunter</v>
      </c>
      <c r="C1882" t="str" cm="1">
        <f t="array" ref="C1882">_xlfn.XLOOKUP(1,([3]!players[name]=A1882)*([3]!players[hero_name]=B1882),[3]!players[lane_name])</f>
        <v>Off Lane</v>
      </c>
      <c r="D1882">
        <f>COUNTIFS([3]!players[name],A1882,[3]!players[hero_name],B1882)</f>
        <v>5</v>
      </c>
      <c r="E1882">
        <f>COUNTIFS([3]!players[name],A1882,[3]!players[hero_name],B1882, [3]!players[win], 1)</f>
        <v>4</v>
      </c>
      <c r="F1882" s="1">
        <f t="shared" si="29"/>
        <v>0.8</v>
      </c>
      <c r="G1882" s="2">
        <f>AVERAGEIFS([3]!players[gold_per_min], [3]!players[name],A1882,[3]!players[hero_name],B1882)</f>
        <v>545.4</v>
      </c>
      <c r="H1882" s="2">
        <f>AVERAGEIFS([3]!players[xp_per_min], [3]!players[name],A1882,[3]!players[hero_name],B1882)</f>
        <v>643.79999999999995</v>
      </c>
    </row>
    <row r="1883" spans="1:8" x14ac:dyDescent="0.3">
      <c r="A1883" t="str">
        <v>SSS</v>
      </c>
      <c r="B1883" t="str">
        <v>Slardar</v>
      </c>
      <c r="C1883" t="str" cm="1">
        <f t="array" ref="C1883">_xlfn.XLOOKUP(1,([3]!players[name]=A1883)*([3]!players[hero_name]=B1883),[3]!players[lane_name])</f>
        <v>Off Lane</v>
      </c>
      <c r="D1883">
        <f>COUNTIFS([3]!players[name],A1883,[3]!players[hero_name],B1883)</f>
        <v>8</v>
      </c>
      <c r="E1883">
        <f>COUNTIFS([3]!players[name],A1883,[3]!players[hero_name],B1883, [3]!players[win], 1)</f>
        <v>8</v>
      </c>
      <c r="F1883" s="1">
        <f t="shared" si="29"/>
        <v>1</v>
      </c>
      <c r="G1883" s="2">
        <f>AVERAGEIFS([3]!players[gold_per_min], [3]!players[name],A1883,[3]!players[hero_name],B1883)</f>
        <v>514.5</v>
      </c>
      <c r="H1883" s="2">
        <f>AVERAGEIFS([3]!players[xp_per_min], [3]!players[name],A1883,[3]!players[hero_name],B1883)</f>
        <v>704.5</v>
      </c>
    </row>
    <row r="1884" spans="1:8" x14ac:dyDescent="0.3">
      <c r="A1884" t="str">
        <v>SSS</v>
      </c>
      <c r="B1884" t="str">
        <v>Necrophos</v>
      </c>
      <c r="C1884" t="str" cm="1">
        <f t="array" ref="C1884">_xlfn.XLOOKUP(1,([3]!players[name]=A1884)*([3]!players[hero_name]=B1884),[3]!players[lane_name])</f>
        <v>Off Lane</v>
      </c>
      <c r="D1884">
        <f>COUNTIFS([3]!players[name],A1884,[3]!players[hero_name],B1884)</f>
        <v>3</v>
      </c>
      <c r="E1884">
        <f>COUNTIFS([3]!players[name],A1884,[3]!players[hero_name],B1884, [3]!players[win], 1)</f>
        <v>2</v>
      </c>
      <c r="F1884" s="1">
        <f t="shared" si="29"/>
        <v>0.66666666666666663</v>
      </c>
      <c r="G1884" s="2">
        <f>AVERAGEIFS([3]!players[gold_per_min], [3]!players[name],A1884,[3]!players[hero_name],B1884)</f>
        <v>590.66666666666663</v>
      </c>
      <c r="H1884" s="2">
        <f>AVERAGEIFS([3]!players[xp_per_min], [3]!players[name],A1884,[3]!players[hero_name],B1884)</f>
        <v>749.66666666666663</v>
      </c>
    </row>
    <row r="1885" spans="1:8" x14ac:dyDescent="0.3">
      <c r="A1885" t="str">
        <v>SSS</v>
      </c>
      <c r="B1885" t="str">
        <v>Doom</v>
      </c>
      <c r="C1885" t="str" cm="1">
        <f t="array" ref="C1885">_xlfn.XLOOKUP(1,([3]!players[name]=A1885)*([3]!players[hero_name]=B1885),[3]!players[lane_name])</f>
        <v>Off Lane</v>
      </c>
      <c r="D1885">
        <f>COUNTIFS([3]!players[name],A1885,[3]!players[hero_name],B1885)</f>
        <v>2</v>
      </c>
      <c r="E1885">
        <f>COUNTIFS([3]!players[name],A1885,[3]!players[hero_name],B1885, [3]!players[win], 1)</f>
        <v>1</v>
      </c>
      <c r="F1885" s="1">
        <f t="shared" si="29"/>
        <v>0.5</v>
      </c>
      <c r="G1885" s="2">
        <f>AVERAGEIFS([3]!players[gold_per_min], [3]!players[name],A1885,[3]!players[hero_name],B1885)</f>
        <v>539.5</v>
      </c>
      <c r="H1885" s="2">
        <f>AVERAGEIFS([3]!players[xp_per_min], [3]!players[name],A1885,[3]!players[hero_name],B1885)</f>
        <v>652.5</v>
      </c>
    </row>
    <row r="1886" spans="1:8" x14ac:dyDescent="0.3">
      <c r="A1886" t="str">
        <v>SSS</v>
      </c>
      <c r="B1886" t="str">
        <v>Night Stalker</v>
      </c>
      <c r="C1886" t="str" cm="1">
        <f t="array" ref="C1886">_xlfn.XLOOKUP(1,([3]!players[name]=A1886)*([3]!players[hero_name]=B1886),[3]!players[lane_name])</f>
        <v>Off Lane</v>
      </c>
      <c r="D1886">
        <f>COUNTIFS([3]!players[name],A1886,[3]!players[hero_name],B1886)</f>
        <v>2</v>
      </c>
      <c r="E1886">
        <f>COUNTIFS([3]!players[name],A1886,[3]!players[hero_name],B1886, [3]!players[win], 1)</f>
        <v>1</v>
      </c>
      <c r="F1886" s="1">
        <f t="shared" si="29"/>
        <v>0.5</v>
      </c>
      <c r="G1886" s="2">
        <f>AVERAGEIFS([3]!players[gold_per_min], [3]!players[name],A1886,[3]!players[hero_name],B1886)</f>
        <v>442.5</v>
      </c>
      <c r="H1886" s="2">
        <f>AVERAGEIFS([3]!players[xp_per_min], [3]!players[name],A1886,[3]!players[hero_name],B1886)</f>
        <v>597</v>
      </c>
    </row>
    <row r="1887" spans="1:8" x14ac:dyDescent="0.3">
      <c r="A1887" t="str">
        <v>SSS</v>
      </c>
      <c r="B1887" t="str">
        <v>Timbersaw</v>
      </c>
      <c r="C1887" t="str" cm="1">
        <f t="array" ref="C1887">_xlfn.XLOOKUP(1,([3]!players[name]=A1887)*([3]!players[hero_name]=B1887),[3]!players[lane_name])</f>
        <v>Off Lane</v>
      </c>
      <c r="D1887">
        <f>COUNTIFS([3]!players[name],A1887,[3]!players[hero_name],B1887)</f>
        <v>1</v>
      </c>
      <c r="E1887">
        <f>COUNTIFS([3]!players[name],A1887,[3]!players[hero_name],B1887, [3]!players[win], 1)</f>
        <v>0</v>
      </c>
      <c r="F1887" s="1">
        <f t="shared" si="29"/>
        <v>0</v>
      </c>
      <c r="G1887" s="2">
        <f>AVERAGEIFS([3]!players[gold_per_min], [3]!players[name],A1887,[3]!players[hero_name],B1887)</f>
        <v>558</v>
      </c>
      <c r="H1887" s="2">
        <f>AVERAGEIFS([3]!players[xp_per_min], [3]!players[name],A1887,[3]!players[hero_name],B1887)</f>
        <v>687</v>
      </c>
    </row>
    <row r="1888" spans="1:8" x14ac:dyDescent="0.3">
      <c r="A1888" t="str">
        <v>SSS</v>
      </c>
      <c r="B1888" t="str">
        <v>Largo</v>
      </c>
      <c r="C1888" t="str" cm="1">
        <f t="array" ref="C1888">_xlfn.XLOOKUP(1,([3]!players[name]=A1888)*([3]!players[hero_name]=B1888),[3]!players[lane_name])</f>
        <v>Off Lane</v>
      </c>
      <c r="D1888">
        <f>COUNTIFS([3]!players[name],A1888,[3]!players[hero_name],B1888)</f>
        <v>2</v>
      </c>
      <c r="E1888">
        <f>COUNTIFS([3]!players[name],A1888,[3]!players[hero_name],B1888, [3]!players[win], 1)</f>
        <v>2</v>
      </c>
      <c r="F1888" s="1">
        <f t="shared" si="29"/>
        <v>1</v>
      </c>
      <c r="G1888" s="2">
        <f>AVERAGEIFS([3]!players[gold_per_min], [3]!players[name],A1888,[3]!players[hero_name],B1888)</f>
        <v>552</v>
      </c>
      <c r="H1888" s="2">
        <f>AVERAGEIFS([3]!players[xp_per_min], [3]!players[name],A1888,[3]!players[hero_name],B1888)</f>
        <v>652.5</v>
      </c>
    </row>
    <row r="1889" spans="1:8" x14ac:dyDescent="0.3">
      <c r="A1889" t="str">
        <v>SSS</v>
      </c>
      <c r="B1889" t="str">
        <v>Bristleback</v>
      </c>
      <c r="C1889" t="str" cm="1">
        <f t="array" ref="C1889">_xlfn.XLOOKUP(1,([3]!players[name]=A1889)*([3]!players[hero_name]=B1889),[3]!players[lane_name])</f>
        <v>Off Lane</v>
      </c>
      <c r="D1889">
        <f>COUNTIFS([3]!players[name],A1889,[3]!players[hero_name],B1889)</f>
        <v>1</v>
      </c>
      <c r="E1889">
        <f>COUNTIFS([3]!players[name],A1889,[3]!players[hero_name],B1889, [3]!players[win], 1)</f>
        <v>0</v>
      </c>
      <c r="F1889" s="1">
        <f t="shared" si="29"/>
        <v>0</v>
      </c>
      <c r="G1889" s="2">
        <f>AVERAGEIFS([3]!players[gold_per_min], [3]!players[name],A1889,[3]!players[hero_name],B1889)</f>
        <v>492</v>
      </c>
      <c r="H1889" s="2">
        <f>AVERAGEIFS([3]!players[xp_per_min], [3]!players[name],A1889,[3]!players[hero_name],B1889)</f>
        <v>616</v>
      </c>
    </row>
    <row r="1890" spans="1:8" x14ac:dyDescent="0.3">
      <c r="A1890" t="str">
        <v>Summer</v>
      </c>
      <c r="B1890" t="str">
        <v>Ursa</v>
      </c>
      <c r="C1890" t="str" cm="1">
        <f t="array" ref="C1890">_xlfn.XLOOKUP(1,([3]!players[name]=A1890)*([3]!players[hero_name]=B1890),[3]!players[lane_name])</f>
        <v>Carry</v>
      </c>
      <c r="D1890">
        <f>COUNTIFS([3]!players[name],A1890,[3]!players[hero_name],B1890)</f>
        <v>1</v>
      </c>
      <c r="E1890">
        <f>COUNTIFS([3]!players[name],A1890,[3]!players[hero_name],B1890, [3]!players[win], 1)</f>
        <v>1</v>
      </c>
      <c r="F1890" s="1">
        <f t="shared" si="29"/>
        <v>1</v>
      </c>
      <c r="G1890" s="2">
        <f>AVERAGEIFS([3]!players[gold_per_min], [3]!players[name],A1890,[3]!players[hero_name],B1890)</f>
        <v>702</v>
      </c>
      <c r="H1890" s="2">
        <f>AVERAGEIFS([3]!players[xp_per_min], [3]!players[name],A1890,[3]!players[hero_name],B1890)</f>
        <v>889</v>
      </c>
    </row>
    <row r="1891" spans="1:8" x14ac:dyDescent="0.3">
      <c r="A1891" t="str">
        <v>Summer</v>
      </c>
      <c r="B1891" t="str">
        <v>Templar Assassin</v>
      </c>
      <c r="C1891" t="str" cm="1">
        <f t="array" ref="C1891">_xlfn.XLOOKUP(1,([3]!players[name]=A1891)*([3]!players[hero_name]=B1891),[3]!players[lane_name])</f>
        <v>Carry</v>
      </c>
      <c r="D1891">
        <f>COUNTIFS([3]!players[name],A1891,[3]!players[hero_name],B1891)</f>
        <v>1</v>
      </c>
      <c r="E1891">
        <f>COUNTIFS([3]!players[name],A1891,[3]!players[hero_name],B1891, [3]!players[win], 1)</f>
        <v>0</v>
      </c>
      <c r="F1891" s="1">
        <f t="shared" si="29"/>
        <v>0</v>
      </c>
      <c r="G1891" s="2">
        <f>AVERAGEIFS([3]!players[gold_per_min], [3]!players[name],A1891,[3]!players[hero_name],B1891)</f>
        <v>568</v>
      </c>
      <c r="H1891" s="2">
        <f>AVERAGEIFS([3]!players[xp_per_min], [3]!players[name],A1891,[3]!players[hero_name],B1891)</f>
        <v>669</v>
      </c>
    </row>
    <row r="1892" spans="1:8" x14ac:dyDescent="0.3">
      <c r="A1892" t="str">
        <v>Summer</v>
      </c>
      <c r="B1892" t="str">
        <v>Alchemist</v>
      </c>
      <c r="C1892" t="str" cm="1">
        <f t="array" ref="C1892">_xlfn.XLOOKUP(1,([3]!players[name]=A1892)*([3]!players[hero_name]=B1892),[3]!players[lane_name])</f>
        <v>Carry</v>
      </c>
      <c r="D1892">
        <f>COUNTIFS([3]!players[name],A1892,[3]!players[hero_name],B1892)</f>
        <v>1</v>
      </c>
      <c r="E1892">
        <f>COUNTIFS([3]!players[name],A1892,[3]!players[hero_name],B1892, [3]!players[win], 1)</f>
        <v>0</v>
      </c>
      <c r="F1892" s="1">
        <f t="shared" si="29"/>
        <v>0</v>
      </c>
      <c r="G1892" s="2">
        <f>AVERAGEIFS([3]!players[gold_per_min], [3]!players[name],A1892,[3]!players[hero_name],B1892)</f>
        <v>800</v>
      </c>
      <c r="H1892" s="2">
        <f>AVERAGEIFS([3]!players[xp_per_min], [3]!players[name],A1892,[3]!players[hero_name],B1892)</f>
        <v>794</v>
      </c>
    </row>
    <row r="1893" spans="1:8" x14ac:dyDescent="0.3">
      <c r="A1893" t="str">
        <v>Summer</v>
      </c>
      <c r="B1893" t="str">
        <v>Weaver</v>
      </c>
      <c r="C1893" t="str" cm="1">
        <f t="array" ref="C1893">_xlfn.XLOOKUP(1,([3]!players[name]=A1893)*([3]!players[hero_name]=B1893),[3]!players[lane_name])</f>
        <v>Carry</v>
      </c>
      <c r="D1893">
        <f>COUNTIFS([3]!players[name],A1893,[3]!players[hero_name],B1893)</f>
        <v>1</v>
      </c>
      <c r="E1893">
        <f>COUNTIFS([3]!players[name],A1893,[3]!players[hero_name],B1893, [3]!players[win], 1)</f>
        <v>1</v>
      </c>
      <c r="F1893" s="1">
        <f t="shared" si="29"/>
        <v>1</v>
      </c>
      <c r="G1893" s="2">
        <f>AVERAGEIFS([3]!players[gold_per_min], [3]!players[name],A1893,[3]!players[hero_name],B1893)</f>
        <v>779</v>
      </c>
      <c r="H1893" s="2">
        <f>AVERAGEIFS([3]!players[xp_per_min], [3]!players[name],A1893,[3]!players[hero_name],B1893)</f>
        <v>1012</v>
      </c>
    </row>
    <row r="1894" spans="1:8" x14ac:dyDescent="0.3">
      <c r="A1894" t="str">
        <v>Summer</v>
      </c>
      <c r="B1894" t="str">
        <v>Lifestealer</v>
      </c>
      <c r="C1894" t="str" cm="1">
        <f t="array" ref="C1894">_xlfn.XLOOKUP(1,([3]!players[name]=A1894)*([3]!players[hero_name]=B1894),[3]!players[lane_name])</f>
        <v>Carry</v>
      </c>
      <c r="D1894">
        <f>COUNTIFS([3]!players[name],A1894,[3]!players[hero_name],B1894)</f>
        <v>2</v>
      </c>
      <c r="E1894">
        <f>COUNTIFS([3]!players[name],A1894,[3]!players[hero_name],B1894, [3]!players[win], 1)</f>
        <v>1</v>
      </c>
      <c r="F1894" s="1">
        <f t="shared" si="29"/>
        <v>0.5</v>
      </c>
      <c r="G1894" s="2">
        <f>AVERAGEIFS([3]!players[gold_per_min], [3]!players[name],A1894,[3]!players[hero_name],B1894)</f>
        <v>638</v>
      </c>
      <c r="H1894" s="2">
        <f>AVERAGEIFS([3]!players[xp_per_min], [3]!players[name],A1894,[3]!players[hero_name],B1894)</f>
        <v>819</v>
      </c>
    </row>
    <row r="1895" spans="1:8" x14ac:dyDescent="0.3">
      <c r="A1895" t="str">
        <v>Summer</v>
      </c>
      <c r="B1895" t="str">
        <v>Tiny</v>
      </c>
      <c r="C1895" t="str" cm="1">
        <f t="array" ref="C1895">_xlfn.XLOOKUP(1,([3]!players[name]=A1895)*([3]!players[hero_name]=B1895),[3]!players[lane_name])</f>
        <v>Carry</v>
      </c>
      <c r="D1895">
        <f>COUNTIFS([3]!players[name],A1895,[3]!players[hero_name],B1895)</f>
        <v>3</v>
      </c>
      <c r="E1895">
        <f>COUNTIFS([3]!players[name],A1895,[3]!players[hero_name],B1895, [3]!players[win], 1)</f>
        <v>1</v>
      </c>
      <c r="F1895" s="1">
        <f t="shared" si="29"/>
        <v>0.33333333333333331</v>
      </c>
      <c r="G1895" s="2">
        <f>AVERAGEIFS([3]!players[gold_per_min], [3]!players[name],A1895,[3]!players[hero_name],B1895)</f>
        <v>580.33333333333337</v>
      </c>
      <c r="H1895" s="2">
        <f>AVERAGEIFS([3]!players[xp_per_min], [3]!players[name],A1895,[3]!players[hero_name],B1895)</f>
        <v>734.33333333333337</v>
      </c>
    </row>
    <row r="1896" spans="1:8" x14ac:dyDescent="0.3">
      <c r="A1896" t="str">
        <v>Summer</v>
      </c>
      <c r="B1896" t="str">
        <v>Doom</v>
      </c>
      <c r="C1896" t="str" cm="1">
        <f t="array" ref="C1896">_xlfn.XLOOKUP(1,([3]!players[name]=A1896)*([3]!players[hero_name]=B1896),[3]!players[lane_name])</f>
        <v>Carry</v>
      </c>
      <c r="D1896">
        <f>COUNTIFS([3]!players[name],A1896,[3]!players[hero_name],B1896)</f>
        <v>1</v>
      </c>
      <c r="E1896">
        <f>COUNTIFS([3]!players[name],A1896,[3]!players[hero_name],B1896, [3]!players[win], 1)</f>
        <v>0</v>
      </c>
      <c r="F1896" s="1">
        <f t="shared" si="29"/>
        <v>0</v>
      </c>
      <c r="G1896" s="2">
        <f>AVERAGEIFS([3]!players[gold_per_min], [3]!players[name],A1896,[3]!players[hero_name],B1896)</f>
        <v>425</v>
      </c>
      <c r="H1896" s="2">
        <f>AVERAGEIFS([3]!players[xp_per_min], [3]!players[name],A1896,[3]!players[hero_name],B1896)</f>
        <v>412</v>
      </c>
    </row>
    <row r="1897" spans="1:8" x14ac:dyDescent="0.3">
      <c r="A1897" t="str">
        <v>Summer</v>
      </c>
      <c r="B1897" t="str">
        <v>Queen of Pain</v>
      </c>
      <c r="C1897" t="str" cm="1">
        <f t="array" ref="C1897">_xlfn.XLOOKUP(1,([3]!players[name]=A1897)*([3]!players[hero_name]=B1897),[3]!players[lane_name])</f>
        <v>Carry</v>
      </c>
      <c r="D1897">
        <f>COUNTIFS([3]!players[name],A1897,[3]!players[hero_name],B1897)</f>
        <v>1</v>
      </c>
      <c r="E1897">
        <f>COUNTIFS([3]!players[name],A1897,[3]!players[hero_name],B1897, [3]!players[win], 1)</f>
        <v>0</v>
      </c>
      <c r="F1897" s="1">
        <f t="shared" si="29"/>
        <v>0</v>
      </c>
      <c r="G1897" s="2">
        <f>AVERAGEIFS([3]!players[gold_per_min], [3]!players[name],A1897,[3]!players[hero_name],B1897)</f>
        <v>477</v>
      </c>
      <c r="H1897" s="2">
        <f>AVERAGEIFS([3]!players[xp_per_min], [3]!players[name],A1897,[3]!players[hero_name],B1897)</f>
        <v>555</v>
      </c>
    </row>
    <row r="1898" spans="1:8" x14ac:dyDescent="0.3">
      <c r="A1898" t="str">
        <v>swedenstrong</v>
      </c>
      <c r="B1898" t="str">
        <v>Io</v>
      </c>
      <c r="C1898" t="str" cm="1">
        <f t="array" ref="C1898">_xlfn.XLOOKUP(1,([3]!players[name]=A1898)*([3]!players[hero_name]=B1898),[3]!players[lane_name])</f>
        <v>Hard Support</v>
      </c>
      <c r="D1898">
        <f>COUNTIFS([3]!players[name],A1898,[3]!players[hero_name],B1898)</f>
        <v>6</v>
      </c>
      <c r="E1898">
        <f>COUNTIFS([3]!players[name],A1898,[3]!players[hero_name],B1898, [3]!players[win], 1)</f>
        <v>4</v>
      </c>
      <c r="F1898" s="1">
        <f t="shared" si="29"/>
        <v>0.66666666666666663</v>
      </c>
      <c r="G1898" s="2">
        <f>AVERAGEIFS([3]!players[gold_per_min], [3]!players[name],A1898,[3]!players[hero_name],B1898)</f>
        <v>321</v>
      </c>
      <c r="H1898" s="2">
        <f>AVERAGEIFS([3]!players[xp_per_min], [3]!players[name],A1898,[3]!players[hero_name],B1898)</f>
        <v>484.83333333333331</v>
      </c>
    </row>
    <row r="1899" spans="1:8" x14ac:dyDescent="0.3">
      <c r="A1899" t="str">
        <v>swedenstrong</v>
      </c>
      <c r="B1899" t="str">
        <v>Tusk</v>
      </c>
      <c r="C1899" t="str" cm="1">
        <f t="array" ref="C1899">_xlfn.XLOOKUP(1,([3]!players[name]=A1899)*([3]!players[hero_name]=B1899),[3]!players[lane_name])</f>
        <v>Hard Support</v>
      </c>
      <c r="D1899">
        <f>COUNTIFS([3]!players[name],A1899,[3]!players[hero_name],B1899)</f>
        <v>8</v>
      </c>
      <c r="E1899">
        <f>COUNTIFS([3]!players[name],A1899,[3]!players[hero_name],B1899, [3]!players[win], 1)</f>
        <v>4</v>
      </c>
      <c r="F1899" s="1">
        <f t="shared" si="29"/>
        <v>0.5</v>
      </c>
      <c r="G1899" s="2">
        <f>AVERAGEIFS([3]!players[gold_per_min], [3]!players[name],A1899,[3]!players[hero_name],B1899)</f>
        <v>303.625</v>
      </c>
      <c r="H1899" s="2">
        <f>AVERAGEIFS([3]!players[xp_per_min], [3]!players[name],A1899,[3]!players[hero_name],B1899)</f>
        <v>427.125</v>
      </c>
    </row>
    <row r="1900" spans="1:8" x14ac:dyDescent="0.3">
      <c r="A1900" t="str">
        <v>swedenstrong</v>
      </c>
      <c r="B1900" t="str">
        <v>Shadow Demon</v>
      </c>
      <c r="C1900" t="str" cm="1">
        <f t="array" ref="C1900">_xlfn.XLOOKUP(1,([3]!players[name]=A1900)*([3]!players[hero_name]=B1900),[3]!players[lane_name])</f>
        <v>Hard Support</v>
      </c>
      <c r="D1900">
        <f>COUNTIFS([3]!players[name],A1900,[3]!players[hero_name],B1900)</f>
        <v>4</v>
      </c>
      <c r="E1900">
        <f>COUNTIFS([3]!players[name],A1900,[3]!players[hero_name],B1900, [3]!players[win], 1)</f>
        <v>2</v>
      </c>
      <c r="F1900" s="1">
        <f t="shared" si="29"/>
        <v>0.5</v>
      </c>
      <c r="G1900" s="2">
        <f>AVERAGEIFS([3]!players[gold_per_min], [3]!players[name],A1900,[3]!players[hero_name],B1900)</f>
        <v>332.75</v>
      </c>
      <c r="H1900" s="2">
        <f>AVERAGEIFS([3]!players[xp_per_min], [3]!players[name],A1900,[3]!players[hero_name],B1900)</f>
        <v>406.5</v>
      </c>
    </row>
    <row r="1901" spans="1:8" x14ac:dyDescent="0.3">
      <c r="A1901" t="str">
        <v>swedenstrong</v>
      </c>
      <c r="B1901" t="str">
        <v>Rubick</v>
      </c>
      <c r="C1901" t="str" cm="1">
        <f t="array" ref="C1901">_xlfn.XLOOKUP(1,([3]!players[name]=A1901)*([3]!players[hero_name]=B1901),[3]!players[lane_name])</f>
        <v>Soft Support</v>
      </c>
      <c r="D1901">
        <f>COUNTIFS([3]!players[name],A1901,[3]!players[hero_name],B1901)</f>
        <v>11</v>
      </c>
      <c r="E1901">
        <f>COUNTIFS([3]!players[name],A1901,[3]!players[hero_name],B1901, [3]!players[win], 1)</f>
        <v>4</v>
      </c>
      <c r="F1901" s="1">
        <f t="shared" si="29"/>
        <v>0.36363636363636365</v>
      </c>
      <c r="G1901" s="2">
        <f>AVERAGEIFS([3]!players[gold_per_min], [3]!players[name],A1901,[3]!players[hero_name],B1901)</f>
        <v>342.27272727272725</v>
      </c>
      <c r="H1901" s="2">
        <f>AVERAGEIFS([3]!players[xp_per_min], [3]!players[name],A1901,[3]!players[hero_name],B1901)</f>
        <v>445.90909090909093</v>
      </c>
    </row>
    <row r="1902" spans="1:8" x14ac:dyDescent="0.3">
      <c r="A1902" t="str">
        <v>swedenstrong</v>
      </c>
      <c r="B1902" t="str">
        <v>Spirit Breaker</v>
      </c>
      <c r="C1902" t="str" cm="1">
        <f t="array" ref="C1902">_xlfn.XLOOKUP(1,([3]!players[name]=A1902)*([3]!players[hero_name]=B1902),[3]!players[lane_name])</f>
        <v>Roam</v>
      </c>
      <c r="D1902">
        <f>COUNTIFS([3]!players[name],A1902,[3]!players[hero_name],B1902)</f>
        <v>2</v>
      </c>
      <c r="E1902">
        <f>COUNTIFS([3]!players[name],A1902,[3]!players[hero_name],B1902, [3]!players[win], 1)</f>
        <v>0</v>
      </c>
      <c r="F1902" s="1">
        <f t="shared" si="29"/>
        <v>0</v>
      </c>
      <c r="G1902" s="2">
        <f>AVERAGEIFS([3]!players[gold_per_min], [3]!players[name],A1902,[3]!players[hero_name],B1902)</f>
        <v>264.5</v>
      </c>
      <c r="H1902" s="2">
        <f>AVERAGEIFS([3]!players[xp_per_min], [3]!players[name],A1902,[3]!players[hero_name],B1902)</f>
        <v>447</v>
      </c>
    </row>
    <row r="1903" spans="1:8" x14ac:dyDescent="0.3">
      <c r="A1903" t="str">
        <v>swedenstrong</v>
      </c>
      <c r="B1903" t="str">
        <v>Largo</v>
      </c>
      <c r="C1903" t="str" cm="1">
        <f t="array" ref="C1903">_xlfn.XLOOKUP(1,([3]!players[name]=A1903)*([3]!players[hero_name]=B1903),[3]!players[lane_name])</f>
        <v>Hard Support</v>
      </c>
      <c r="D1903">
        <f>COUNTIFS([3]!players[name],A1903,[3]!players[hero_name],B1903)</f>
        <v>3</v>
      </c>
      <c r="E1903">
        <f>COUNTIFS([3]!players[name],A1903,[3]!players[hero_name],B1903, [3]!players[win], 1)</f>
        <v>2</v>
      </c>
      <c r="F1903" s="1">
        <f t="shared" si="29"/>
        <v>0.66666666666666663</v>
      </c>
      <c r="G1903" s="2">
        <f>AVERAGEIFS([3]!players[gold_per_min], [3]!players[name],A1903,[3]!players[hero_name],B1903)</f>
        <v>301</v>
      </c>
      <c r="H1903" s="2">
        <f>AVERAGEIFS([3]!players[xp_per_min], [3]!players[name],A1903,[3]!players[hero_name],B1903)</f>
        <v>498.33333333333331</v>
      </c>
    </row>
    <row r="1904" spans="1:8" x14ac:dyDescent="0.3">
      <c r="A1904" t="str">
        <v>swedenstrong</v>
      </c>
      <c r="B1904" t="str">
        <v>Hoodwink</v>
      </c>
      <c r="C1904" t="str" cm="1">
        <f t="array" ref="C1904">_xlfn.XLOOKUP(1,([3]!players[name]=A1904)*([3]!players[hero_name]=B1904),[3]!players[lane_name])</f>
        <v>Roam</v>
      </c>
      <c r="D1904">
        <f>COUNTIFS([3]!players[name],A1904,[3]!players[hero_name],B1904)</f>
        <v>9</v>
      </c>
      <c r="E1904">
        <f>COUNTIFS([3]!players[name],A1904,[3]!players[hero_name],B1904, [3]!players[win], 1)</f>
        <v>4</v>
      </c>
      <c r="F1904" s="1">
        <f t="shared" si="29"/>
        <v>0.44444444444444442</v>
      </c>
      <c r="G1904" s="2">
        <f>AVERAGEIFS([3]!players[gold_per_min], [3]!players[name],A1904,[3]!players[hero_name],B1904)</f>
        <v>309.11111111111109</v>
      </c>
      <c r="H1904" s="2">
        <f>AVERAGEIFS([3]!players[xp_per_min], [3]!players[name],A1904,[3]!players[hero_name],B1904)</f>
        <v>437.33333333333331</v>
      </c>
    </row>
    <row r="1905" spans="1:8" x14ac:dyDescent="0.3">
      <c r="A1905" t="str">
        <v>swedenstrong</v>
      </c>
      <c r="B1905" t="str">
        <v>Monkey King</v>
      </c>
      <c r="C1905" t="str" cm="1">
        <f t="array" ref="C1905">_xlfn.XLOOKUP(1,([3]!players[name]=A1905)*([3]!players[hero_name]=B1905),[3]!players[lane_name])</f>
        <v>Roam</v>
      </c>
      <c r="D1905">
        <f>COUNTIFS([3]!players[name],A1905,[3]!players[hero_name],B1905)</f>
        <v>1</v>
      </c>
      <c r="E1905">
        <f>COUNTIFS([3]!players[name],A1905,[3]!players[hero_name],B1905, [3]!players[win], 1)</f>
        <v>0</v>
      </c>
      <c r="F1905" s="1">
        <f t="shared" si="29"/>
        <v>0</v>
      </c>
      <c r="G1905" s="2">
        <f>AVERAGEIFS([3]!players[gold_per_min], [3]!players[name],A1905,[3]!players[hero_name],B1905)</f>
        <v>321</v>
      </c>
      <c r="H1905" s="2">
        <f>AVERAGEIFS([3]!players[xp_per_min], [3]!players[name],A1905,[3]!players[hero_name],B1905)</f>
        <v>432</v>
      </c>
    </row>
    <row r="1906" spans="1:8" x14ac:dyDescent="0.3">
      <c r="A1906" t="str">
        <v>swedenstrong</v>
      </c>
      <c r="B1906" t="str">
        <v>Techies</v>
      </c>
      <c r="C1906" t="str" cm="1">
        <f t="array" ref="C1906">_xlfn.XLOOKUP(1,([3]!players[name]=A1906)*([3]!players[hero_name]=B1906),[3]!players[lane_name])</f>
        <v>Soft Support</v>
      </c>
      <c r="D1906">
        <f>COUNTIFS([3]!players[name],A1906,[3]!players[hero_name],B1906)</f>
        <v>5</v>
      </c>
      <c r="E1906">
        <f>COUNTIFS([3]!players[name],A1906,[3]!players[hero_name],B1906, [3]!players[win], 1)</f>
        <v>4</v>
      </c>
      <c r="F1906" s="1">
        <f t="shared" si="29"/>
        <v>0.8</v>
      </c>
      <c r="G1906" s="2">
        <f>AVERAGEIFS([3]!players[gold_per_min], [3]!players[name],A1906,[3]!players[hero_name],B1906)</f>
        <v>418.8</v>
      </c>
      <c r="H1906" s="2">
        <f>AVERAGEIFS([3]!players[xp_per_min], [3]!players[name],A1906,[3]!players[hero_name],B1906)</f>
        <v>506.2</v>
      </c>
    </row>
    <row r="1907" spans="1:8" x14ac:dyDescent="0.3">
      <c r="A1907" t="str">
        <v>swedenstrong</v>
      </c>
      <c r="B1907" t="str">
        <v>Phoenix</v>
      </c>
      <c r="C1907" t="str" cm="1">
        <f t="array" ref="C1907">_xlfn.XLOOKUP(1,([3]!players[name]=A1907)*([3]!players[hero_name]=B1907),[3]!players[lane_name])</f>
        <v>Roam</v>
      </c>
      <c r="D1907">
        <f>COUNTIFS([3]!players[name],A1907,[3]!players[hero_name],B1907)</f>
        <v>1</v>
      </c>
      <c r="E1907">
        <f>COUNTIFS([3]!players[name],A1907,[3]!players[hero_name],B1907, [3]!players[win], 1)</f>
        <v>0</v>
      </c>
      <c r="F1907" s="1">
        <f t="shared" si="29"/>
        <v>0</v>
      </c>
      <c r="G1907" s="2">
        <f>AVERAGEIFS([3]!players[gold_per_min], [3]!players[name],A1907,[3]!players[hero_name],B1907)</f>
        <v>339</v>
      </c>
      <c r="H1907" s="2">
        <f>AVERAGEIFS([3]!players[xp_per_min], [3]!players[name],A1907,[3]!players[hero_name],B1907)</f>
        <v>423</v>
      </c>
    </row>
    <row r="1908" spans="1:8" x14ac:dyDescent="0.3">
      <c r="A1908" t="str">
        <v>TA2000</v>
      </c>
      <c r="B1908" t="str">
        <v>Beastmaster</v>
      </c>
      <c r="C1908" t="str" cm="1">
        <f t="array" ref="C1908">_xlfn.XLOOKUP(1,([3]!players[name]=A1908)*([3]!players[hero_name]=B1908),[3]!players[lane_name])</f>
        <v>Carry</v>
      </c>
      <c r="D1908">
        <f>COUNTIFS([3]!players[name],A1908,[3]!players[hero_name],B1908)</f>
        <v>8</v>
      </c>
      <c r="E1908">
        <f>COUNTIFS([3]!players[name],A1908,[3]!players[hero_name],B1908, [3]!players[win], 1)</f>
        <v>4</v>
      </c>
      <c r="F1908" s="1">
        <f t="shared" si="29"/>
        <v>0.5</v>
      </c>
      <c r="G1908" s="2">
        <f>AVERAGEIFS([3]!players[gold_per_min], [3]!players[name],A1908,[3]!players[hero_name],B1908)</f>
        <v>678.5</v>
      </c>
      <c r="H1908" s="2">
        <f>AVERAGEIFS([3]!players[xp_per_min], [3]!players[name],A1908,[3]!players[hero_name],B1908)</f>
        <v>799.875</v>
      </c>
    </row>
    <row r="1909" spans="1:8" x14ac:dyDescent="0.3">
      <c r="A1909" t="str">
        <v>TA2000</v>
      </c>
      <c r="B1909" t="str">
        <v>Alchemist</v>
      </c>
      <c r="C1909" t="str" cm="1">
        <f t="array" ref="C1909">_xlfn.XLOOKUP(1,([3]!players[name]=A1909)*([3]!players[hero_name]=B1909),[3]!players[lane_name])</f>
        <v>Carry</v>
      </c>
      <c r="D1909">
        <f>COUNTIFS([3]!players[name],A1909,[3]!players[hero_name],B1909)</f>
        <v>3</v>
      </c>
      <c r="E1909">
        <f>COUNTIFS([3]!players[name],A1909,[3]!players[hero_name],B1909, [3]!players[win], 1)</f>
        <v>0</v>
      </c>
      <c r="F1909" s="1">
        <f t="shared" si="29"/>
        <v>0</v>
      </c>
      <c r="G1909" s="2">
        <f>AVERAGEIFS([3]!players[gold_per_min], [3]!players[name],A1909,[3]!players[hero_name],B1909)</f>
        <v>839.66666666666663</v>
      </c>
      <c r="H1909" s="2">
        <f>AVERAGEIFS([3]!players[xp_per_min], [3]!players[name],A1909,[3]!players[hero_name],B1909)</f>
        <v>769</v>
      </c>
    </row>
    <row r="1910" spans="1:8" x14ac:dyDescent="0.3">
      <c r="A1910" t="str">
        <v>TA2000</v>
      </c>
      <c r="B1910" t="str">
        <v>Tiny</v>
      </c>
      <c r="C1910" t="str" cm="1">
        <f t="array" ref="C1910">_xlfn.XLOOKUP(1,([3]!players[name]=A1910)*([3]!players[hero_name]=B1910),[3]!players[lane_name])</f>
        <v>Carry</v>
      </c>
      <c r="D1910">
        <f>COUNTIFS([3]!players[name],A1910,[3]!players[hero_name],B1910)</f>
        <v>5</v>
      </c>
      <c r="E1910">
        <f>COUNTIFS([3]!players[name],A1910,[3]!players[hero_name],B1910, [3]!players[win], 1)</f>
        <v>2</v>
      </c>
      <c r="F1910" s="1">
        <f t="shared" si="29"/>
        <v>0.4</v>
      </c>
      <c r="G1910" s="2">
        <f>AVERAGEIFS([3]!players[gold_per_min], [3]!players[name],A1910,[3]!players[hero_name],B1910)</f>
        <v>643.20000000000005</v>
      </c>
      <c r="H1910" s="2">
        <f>AVERAGEIFS([3]!players[xp_per_min], [3]!players[name],A1910,[3]!players[hero_name],B1910)</f>
        <v>842.8</v>
      </c>
    </row>
    <row r="1911" spans="1:8" x14ac:dyDescent="0.3">
      <c r="A1911" t="str">
        <v>TA2000</v>
      </c>
      <c r="B1911" t="str">
        <v>Slark</v>
      </c>
      <c r="C1911" t="str" cm="1">
        <f t="array" ref="C1911">_xlfn.XLOOKUP(1,([3]!players[name]=A1911)*([3]!players[hero_name]=B1911),[3]!players[lane_name])</f>
        <v>Carry</v>
      </c>
      <c r="D1911">
        <f>COUNTIFS([3]!players[name],A1911,[3]!players[hero_name],B1911)</f>
        <v>5</v>
      </c>
      <c r="E1911">
        <f>COUNTIFS([3]!players[name],A1911,[3]!players[hero_name],B1911, [3]!players[win], 1)</f>
        <v>4</v>
      </c>
      <c r="F1911" s="1">
        <f t="shared" si="29"/>
        <v>0.8</v>
      </c>
      <c r="G1911" s="2">
        <f>AVERAGEIFS([3]!players[gold_per_min], [3]!players[name],A1911,[3]!players[hero_name],B1911)</f>
        <v>678.8</v>
      </c>
      <c r="H1911" s="2">
        <f>AVERAGEIFS([3]!players[xp_per_min], [3]!players[name],A1911,[3]!players[hero_name],B1911)</f>
        <v>846</v>
      </c>
    </row>
    <row r="1912" spans="1:8" x14ac:dyDescent="0.3">
      <c r="A1912" t="str">
        <v>TA2000</v>
      </c>
      <c r="B1912" t="str">
        <v>Muerta</v>
      </c>
      <c r="C1912" t="str" cm="1">
        <f t="array" ref="C1912">_xlfn.XLOOKUP(1,([3]!players[name]=A1912)*([3]!players[hero_name]=B1912),[3]!players[lane_name])</f>
        <v>Carry</v>
      </c>
      <c r="D1912">
        <f>COUNTIFS([3]!players[name],A1912,[3]!players[hero_name],B1912)</f>
        <v>6</v>
      </c>
      <c r="E1912">
        <f>COUNTIFS([3]!players[name],A1912,[3]!players[hero_name],B1912, [3]!players[win], 1)</f>
        <v>4</v>
      </c>
      <c r="F1912" s="1">
        <f t="shared" si="29"/>
        <v>0.66666666666666663</v>
      </c>
      <c r="G1912" s="2">
        <f>AVERAGEIFS([3]!players[gold_per_min], [3]!players[name],A1912,[3]!players[hero_name],B1912)</f>
        <v>680.83333333333337</v>
      </c>
      <c r="H1912" s="2">
        <f>AVERAGEIFS([3]!players[xp_per_min], [3]!players[name],A1912,[3]!players[hero_name],B1912)</f>
        <v>787.5</v>
      </c>
    </row>
    <row r="1913" spans="1:8" x14ac:dyDescent="0.3">
      <c r="A1913" t="str">
        <v>TA2000</v>
      </c>
      <c r="B1913" t="str">
        <v>Faceless Void</v>
      </c>
      <c r="C1913" t="str" cm="1">
        <f t="array" ref="C1913">_xlfn.XLOOKUP(1,([3]!players[name]=A1913)*([3]!players[hero_name]=B1913),[3]!players[lane_name])</f>
        <v>Carry</v>
      </c>
      <c r="D1913">
        <f>COUNTIFS([3]!players[name],A1913,[3]!players[hero_name],B1913)</f>
        <v>3</v>
      </c>
      <c r="E1913">
        <f>COUNTIFS([3]!players[name],A1913,[3]!players[hero_name],B1913, [3]!players[win], 1)</f>
        <v>2</v>
      </c>
      <c r="F1913" s="1">
        <f t="shared" si="29"/>
        <v>0.66666666666666663</v>
      </c>
      <c r="G1913" s="2">
        <f>AVERAGEIFS([3]!players[gold_per_min], [3]!players[name],A1913,[3]!players[hero_name],B1913)</f>
        <v>715</v>
      </c>
      <c r="H1913" s="2">
        <f>AVERAGEIFS([3]!players[xp_per_min], [3]!players[name],A1913,[3]!players[hero_name],B1913)</f>
        <v>920.66666666666663</v>
      </c>
    </row>
    <row r="1914" spans="1:8" x14ac:dyDescent="0.3">
      <c r="A1914" t="str">
        <v>TA2000</v>
      </c>
      <c r="B1914" t="str">
        <v>Luna</v>
      </c>
      <c r="C1914" t="str" cm="1">
        <f t="array" ref="C1914">_xlfn.XLOOKUP(1,([3]!players[name]=A1914)*([3]!players[hero_name]=B1914),[3]!players[lane_name])</f>
        <v>Carry</v>
      </c>
      <c r="D1914">
        <f>COUNTIFS([3]!players[name],A1914,[3]!players[hero_name],B1914)</f>
        <v>1</v>
      </c>
      <c r="E1914">
        <f>COUNTIFS([3]!players[name],A1914,[3]!players[hero_name],B1914, [3]!players[win], 1)</f>
        <v>1</v>
      </c>
      <c r="F1914" s="1">
        <f t="shared" si="29"/>
        <v>1</v>
      </c>
      <c r="G1914" s="2">
        <f>AVERAGEIFS([3]!players[gold_per_min], [3]!players[name],A1914,[3]!players[hero_name],B1914)</f>
        <v>764</v>
      </c>
      <c r="H1914" s="2">
        <f>AVERAGEIFS([3]!players[xp_per_min], [3]!players[name],A1914,[3]!players[hero_name],B1914)</f>
        <v>798</v>
      </c>
    </row>
    <row r="1915" spans="1:8" x14ac:dyDescent="0.3">
      <c r="A1915" t="str">
        <v>TA2000</v>
      </c>
      <c r="B1915" t="str">
        <v>Nature's Prophet</v>
      </c>
      <c r="C1915" t="str" cm="1">
        <f t="array" ref="C1915">_xlfn.XLOOKUP(1,([3]!players[name]=A1915)*([3]!players[hero_name]=B1915),[3]!players[lane_name])</f>
        <v>Carry</v>
      </c>
      <c r="D1915">
        <f>COUNTIFS([3]!players[name],A1915,[3]!players[hero_name],B1915)</f>
        <v>3</v>
      </c>
      <c r="E1915">
        <f>COUNTIFS([3]!players[name],A1915,[3]!players[hero_name],B1915, [3]!players[win], 1)</f>
        <v>2</v>
      </c>
      <c r="F1915" s="1">
        <f t="shared" si="29"/>
        <v>0.66666666666666663</v>
      </c>
      <c r="G1915" s="2">
        <f>AVERAGEIFS([3]!players[gold_per_min], [3]!players[name],A1915,[3]!players[hero_name],B1915)</f>
        <v>838.66666666666663</v>
      </c>
      <c r="H1915" s="2">
        <f>AVERAGEIFS([3]!players[xp_per_min], [3]!players[name],A1915,[3]!players[hero_name],B1915)</f>
        <v>969</v>
      </c>
    </row>
    <row r="1916" spans="1:8" x14ac:dyDescent="0.3">
      <c r="A1916" t="str">
        <v>TA2000</v>
      </c>
      <c r="B1916" t="str">
        <v>Terrorblade</v>
      </c>
      <c r="C1916" t="str" cm="1">
        <f t="array" ref="C1916">_xlfn.XLOOKUP(1,([3]!players[name]=A1916)*([3]!players[hero_name]=B1916),[3]!players[lane_name])</f>
        <v>Carry</v>
      </c>
      <c r="D1916">
        <f>COUNTIFS([3]!players[name],A1916,[3]!players[hero_name],B1916)</f>
        <v>2</v>
      </c>
      <c r="E1916">
        <f>COUNTIFS([3]!players[name],A1916,[3]!players[hero_name],B1916, [3]!players[win], 1)</f>
        <v>1</v>
      </c>
      <c r="F1916" s="1">
        <f t="shared" si="29"/>
        <v>0.5</v>
      </c>
      <c r="G1916" s="2">
        <f>AVERAGEIFS([3]!players[gold_per_min], [3]!players[name],A1916,[3]!players[hero_name],B1916)</f>
        <v>646</v>
      </c>
      <c r="H1916" s="2">
        <f>AVERAGEIFS([3]!players[xp_per_min], [3]!players[name],A1916,[3]!players[hero_name],B1916)</f>
        <v>637.5</v>
      </c>
    </row>
    <row r="1917" spans="1:8" x14ac:dyDescent="0.3">
      <c r="A1917" t="str">
        <v>TA2000</v>
      </c>
      <c r="B1917" t="str">
        <v>Lone Druid</v>
      </c>
      <c r="C1917" t="str" cm="1">
        <f t="array" ref="C1917">_xlfn.XLOOKUP(1,([3]!players[name]=A1917)*([3]!players[hero_name]=B1917),[3]!players[lane_name])</f>
        <v>Carry</v>
      </c>
      <c r="D1917">
        <f>COUNTIFS([3]!players[name],A1917,[3]!players[hero_name],B1917)</f>
        <v>2</v>
      </c>
      <c r="E1917">
        <f>COUNTIFS([3]!players[name],A1917,[3]!players[hero_name],B1917, [3]!players[win], 1)</f>
        <v>0</v>
      </c>
      <c r="F1917" s="1">
        <f t="shared" si="29"/>
        <v>0</v>
      </c>
      <c r="G1917" s="2">
        <f>AVERAGEIFS([3]!players[gold_per_min], [3]!players[name],A1917,[3]!players[hero_name],B1917)</f>
        <v>650</v>
      </c>
      <c r="H1917" s="2">
        <f>AVERAGEIFS([3]!players[xp_per_min], [3]!players[name],A1917,[3]!players[hero_name],B1917)</f>
        <v>562.5</v>
      </c>
    </row>
    <row r="1918" spans="1:8" x14ac:dyDescent="0.3">
      <c r="A1918" t="str">
        <v>TA2000</v>
      </c>
      <c r="B1918" t="str">
        <v>Lifestealer</v>
      </c>
      <c r="C1918" t="str" cm="1">
        <f t="array" ref="C1918">_xlfn.XLOOKUP(1,([3]!players[name]=A1918)*([3]!players[hero_name]=B1918),[3]!players[lane_name])</f>
        <v>Carry</v>
      </c>
      <c r="D1918">
        <f>COUNTIFS([3]!players[name],A1918,[3]!players[hero_name],B1918)</f>
        <v>1</v>
      </c>
      <c r="E1918">
        <f>COUNTIFS([3]!players[name],A1918,[3]!players[hero_name],B1918, [3]!players[win], 1)</f>
        <v>1</v>
      </c>
      <c r="F1918" s="1">
        <f t="shared" si="29"/>
        <v>1</v>
      </c>
      <c r="G1918" s="2">
        <f>AVERAGEIFS([3]!players[gold_per_min], [3]!players[name],A1918,[3]!players[hero_name],B1918)</f>
        <v>756</v>
      </c>
      <c r="H1918" s="2">
        <f>AVERAGEIFS([3]!players[xp_per_min], [3]!players[name],A1918,[3]!players[hero_name],B1918)</f>
        <v>1060</v>
      </c>
    </row>
    <row r="1919" spans="1:8" x14ac:dyDescent="0.3">
      <c r="A1919" t="str">
        <v>TA2000</v>
      </c>
      <c r="B1919" t="str">
        <v>Ursa</v>
      </c>
      <c r="C1919" t="str" cm="1">
        <f t="array" ref="C1919">_xlfn.XLOOKUP(1,([3]!players[name]=A1919)*([3]!players[hero_name]=B1919),[3]!players[lane_name])</f>
        <v>Carry</v>
      </c>
      <c r="D1919">
        <f>COUNTIFS([3]!players[name],A1919,[3]!players[hero_name],B1919)</f>
        <v>1</v>
      </c>
      <c r="E1919">
        <f>COUNTIFS([3]!players[name],A1919,[3]!players[hero_name],B1919, [3]!players[win], 1)</f>
        <v>1</v>
      </c>
      <c r="F1919" s="1">
        <f t="shared" si="29"/>
        <v>1</v>
      </c>
      <c r="G1919" s="2">
        <f>AVERAGEIFS([3]!players[gold_per_min], [3]!players[name],A1919,[3]!players[hero_name],B1919)</f>
        <v>781</v>
      </c>
      <c r="H1919" s="2">
        <f>AVERAGEIFS([3]!players[xp_per_min], [3]!players[name],A1919,[3]!players[hero_name],B1919)</f>
        <v>1115</v>
      </c>
    </row>
    <row r="1920" spans="1:8" x14ac:dyDescent="0.3">
      <c r="A1920" t="str">
        <v>TA2000</v>
      </c>
      <c r="B1920" t="str">
        <v>Windranger</v>
      </c>
      <c r="C1920" t="str" cm="1">
        <f t="array" ref="C1920">_xlfn.XLOOKUP(1,([3]!players[name]=A1920)*([3]!players[hero_name]=B1920),[3]!players[lane_name])</f>
        <v>Carry</v>
      </c>
      <c r="D1920">
        <f>COUNTIFS([3]!players[name],A1920,[3]!players[hero_name],B1920)</f>
        <v>1</v>
      </c>
      <c r="E1920">
        <f>COUNTIFS([3]!players[name],A1920,[3]!players[hero_name],B1920, [3]!players[win], 1)</f>
        <v>0</v>
      </c>
      <c r="F1920" s="1">
        <f t="shared" si="29"/>
        <v>0</v>
      </c>
      <c r="G1920" s="2">
        <f>AVERAGEIFS([3]!players[gold_per_min], [3]!players[name],A1920,[3]!players[hero_name],B1920)</f>
        <v>553</v>
      </c>
      <c r="H1920" s="2">
        <f>AVERAGEIFS([3]!players[xp_per_min], [3]!players[name],A1920,[3]!players[hero_name],B1920)</f>
        <v>589</v>
      </c>
    </row>
    <row r="1921" spans="1:8" x14ac:dyDescent="0.3">
      <c r="A1921" t="str">
        <v>TakecareMia</v>
      </c>
      <c r="B1921" t="str">
        <v>Batrider</v>
      </c>
      <c r="C1921" t="str" cm="1">
        <f t="array" ref="C1921">_xlfn.XLOOKUP(1,([3]!players[name]=A1921)*([3]!players[hero_name]=B1921),[3]!players[lane_name])</f>
        <v>Off Lane</v>
      </c>
      <c r="D1921">
        <f>COUNTIFS([3]!players[name],A1921,[3]!players[hero_name],B1921)</f>
        <v>1</v>
      </c>
      <c r="E1921">
        <f>COUNTIFS([3]!players[name],A1921,[3]!players[hero_name],B1921, [3]!players[win], 1)</f>
        <v>1</v>
      </c>
      <c r="F1921" s="1">
        <f t="shared" si="29"/>
        <v>1</v>
      </c>
      <c r="G1921" s="2">
        <f>AVERAGEIFS([3]!players[gold_per_min], [3]!players[name],A1921,[3]!players[hero_name],B1921)</f>
        <v>586</v>
      </c>
      <c r="H1921" s="2">
        <f>AVERAGEIFS([3]!players[xp_per_min], [3]!players[name],A1921,[3]!players[hero_name],B1921)</f>
        <v>724</v>
      </c>
    </row>
    <row r="1922" spans="1:8" x14ac:dyDescent="0.3">
      <c r="A1922" t="str">
        <v>TakecareMia</v>
      </c>
      <c r="B1922" t="str">
        <v>Tidehunter</v>
      </c>
      <c r="C1922" t="str" cm="1">
        <f t="array" ref="C1922">_xlfn.XLOOKUP(1,([3]!players[name]=A1922)*([3]!players[hero_name]=B1922),[3]!players[lane_name])</f>
        <v>Off Lane</v>
      </c>
      <c r="D1922">
        <f>COUNTIFS([3]!players[name],A1922,[3]!players[hero_name],B1922)</f>
        <v>1</v>
      </c>
      <c r="E1922">
        <f>COUNTIFS([3]!players[name],A1922,[3]!players[hero_name],B1922, [3]!players[win], 1)</f>
        <v>0</v>
      </c>
      <c r="F1922" s="1">
        <f t="shared" si="29"/>
        <v>0</v>
      </c>
      <c r="G1922" s="2">
        <f>AVERAGEIFS([3]!players[gold_per_min], [3]!players[name],A1922,[3]!players[hero_name],B1922)</f>
        <v>511</v>
      </c>
      <c r="H1922" s="2">
        <f>AVERAGEIFS([3]!players[xp_per_min], [3]!players[name],A1922,[3]!players[hero_name],B1922)</f>
        <v>633</v>
      </c>
    </row>
    <row r="1923" spans="1:8" x14ac:dyDescent="0.3">
      <c r="A1923" t="str">
        <v>TakecareMia</v>
      </c>
      <c r="B1923" t="str">
        <v>Pangolier</v>
      </c>
      <c r="C1923" t="str" cm="1">
        <f t="array" ref="C1923">_xlfn.XLOOKUP(1,([3]!players[name]=A1923)*([3]!players[hero_name]=B1923),[3]!players[lane_name])</f>
        <v>Off Lane</v>
      </c>
      <c r="D1923">
        <f>COUNTIFS([3]!players[name],A1923,[3]!players[hero_name],B1923)</f>
        <v>1</v>
      </c>
      <c r="E1923">
        <f>COUNTIFS([3]!players[name],A1923,[3]!players[hero_name],B1923, [3]!players[win], 1)</f>
        <v>1</v>
      </c>
      <c r="F1923" s="1">
        <f t="shared" ref="F1923:F1986" si="30">E1923/D1923</f>
        <v>1</v>
      </c>
      <c r="G1923" s="2">
        <f>AVERAGEIFS([3]!players[gold_per_min], [3]!players[name],A1923,[3]!players[hero_name],B1923)</f>
        <v>620</v>
      </c>
      <c r="H1923" s="2">
        <f>AVERAGEIFS([3]!players[xp_per_min], [3]!players[name],A1923,[3]!players[hero_name],B1923)</f>
        <v>642</v>
      </c>
    </row>
    <row r="1924" spans="1:8" x14ac:dyDescent="0.3">
      <c r="A1924" t="str">
        <v>TakecareMia</v>
      </c>
      <c r="B1924" t="str">
        <v>Enigma</v>
      </c>
      <c r="C1924" t="str" cm="1">
        <f t="array" ref="C1924">_xlfn.XLOOKUP(1,([3]!players[name]=A1924)*([3]!players[hero_name]=B1924),[3]!players[lane_name])</f>
        <v>Off Lane</v>
      </c>
      <c r="D1924">
        <f>COUNTIFS([3]!players[name],A1924,[3]!players[hero_name],B1924)</f>
        <v>1</v>
      </c>
      <c r="E1924">
        <f>COUNTIFS([3]!players[name],A1924,[3]!players[hero_name],B1924, [3]!players[win], 1)</f>
        <v>1</v>
      </c>
      <c r="F1924" s="1">
        <f t="shared" si="30"/>
        <v>1</v>
      </c>
      <c r="G1924" s="2">
        <f>AVERAGEIFS([3]!players[gold_per_min], [3]!players[name],A1924,[3]!players[hero_name],B1924)</f>
        <v>594</v>
      </c>
      <c r="H1924" s="2">
        <f>AVERAGEIFS([3]!players[xp_per_min], [3]!players[name],A1924,[3]!players[hero_name],B1924)</f>
        <v>485</v>
      </c>
    </row>
    <row r="1925" spans="1:8" x14ac:dyDescent="0.3">
      <c r="A1925" t="str">
        <v>takizawa</v>
      </c>
      <c r="B1925" t="str">
        <v>Tidehunter</v>
      </c>
      <c r="C1925" t="str" cm="1">
        <f t="array" ref="C1925">_xlfn.XLOOKUP(1,([3]!players[name]=A1925)*([3]!players[hero_name]=B1925),[3]!players[lane_name])</f>
        <v>Off Lane</v>
      </c>
      <c r="D1925">
        <f>COUNTIFS([3]!players[name],A1925,[3]!players[hero_name],B1925)</f>
        <v>6</v>
      </c>
      <c r="E1925">
        <f>COUNTIFS([3]!players[name],A1925,[3]!players[hero_name],B1925, [3]!players[win], 1)</f>
        <v>2</v>
      </c>
      <c r="F1925" s="1">
        <f t="shared" si="30"/>
        <v>0.33333333333333331</v>
      </c>
      <c r="G1925" s="2">
        <f>AVERAGEIFS([3]!players[gold_per_min], [3]!players[name],A1925,[3]!players[hero_name],B1925)</f>
        <v>533.5</v>
      </c>
      <c r="H1925" s="2">
        <f>AVERAGEIFS([3]!players[xp_per_min], [3]!players[name],A1925,[3]!players[hero_name],B1925)</f>
        <v>722</v>
      </c>
    </row>
    <row r="1926" spans="1:8" x14ac:dyDescent="0.3">
      <c r="A1926" t="str">
        <v>takizawa</v>
      </c>
      <c r="B1926" t="str">
        <v>Dark Seer</v>
      </c>
      <c r="C1926" t="str" cm="1">
        <f t="array" ref="C1926">_xlfn.XLOOKUP(1,([3]!players[name]=A1926)*([3]!players[hero_name]=B1926),[3]!players[lane_name])</f>
        <v>Off Lane</v>
      </c>
      <c r="D1926">
        <f>COUNTIFS([3]!players[name],A1926,[3]!players[hero_name],B1926)</f>
        <v>1</v>
      </c>
      <c r="E1926">
        <f>COUNTIFS([3]!players[name],A1926,[3]!players[hero_name],B1926, [3]!players[win], 1)</f>
        <v>0</v>
      </c>
      <c r="F1926" s="1">
        <f t="shared" si="30"/>
        <v>0</v>
      </c>
      <c r="G1926" s="2">
        <f>AVERAGEIFS([3]!players[gold_per_min], [3]!players[name],A1926,[3]!players[hero_name],B1926)</f>
        <v>510</v>
      </c>
      <c r="H1926" s="2">
        <f>AVERAGEIFS([3]!players[xp_per_min], [3]!players[name],A1926,[3]!players[hero_name],B1926)</f>
        <v>541</v>
      </c>
    </row>
    <row r="1927" spans="1:8" x14ac:dyDescent="0.3">
      <c r="A1927" t="str">
        <v>takizawa</v>
      </c>
      <c r="B1927" t="str">
        <v>Bristleback</v>
      </c>
      <c r="C1927" t="str" cm="1">
        <f t="array" ref="C1927">_xlfn.XLOOKUP(1,([3]!players[name]=A1927)*([3]!players[hero_name]=B1927),[3]!players[lane_name])</f>
        <v>Off Lane</v>
      </c>
      <c r="D1927">
        <f>COUNTIFS([3]!players[name],A1927,[3]!players[hero_name],B1927)</f>
        <v>7</v>
      </c>
      <c r="E1927">
        <f>COUNTIFS([3]!players[name],A1927,[3]!players[hero_name],B1927, [3]!players[win], 1)</f>
        <v>2</v>
      </c>
      <c r="F1927" s="1">
        <f t="shared" si="30"/>
        <v>0.2857142857142857</v>
      </c>
      <c r="G1927" s="2">
        <f>AVERAGEIFS([3]!players[gold_per_min], [3]!players[name],A1927,[3]!players[hero_name],B1927)</f>
        <v>564.71428571428567</v>
      </c>
      <c r="H1927" s="2">
        <f>AVERAGEIFS([3]!players[xp_per_min], [3]!players[name],A1927,[3]!players[hero_name],B1927)</f>
        <v>720.42857142857144</v>
      </c>
    </row>
    <row r="1928" spans="1:8" x14ac:dyDescent="0.3">
      <c r="A1928" t="str">
        <v>takizawa</v>
      </c>
      <c r="B1928" t="str">
        <v>Largo</v>
      </c>
      <c r="C1928" t="str" cm="1">
        <f t="array" ref="C1928">_xlfn.XLOOKUP(1,([3]!players[name]=A1928)*([3]!players[hero_name]=B1928),[3]!players[lane_name])</f>
        <v>Off Lane</v>
      </c>
      <c r="D1928">
        <f>COUNTIFS([3]!players[name],A1928,[3]!players[hero_name],B1928)</f>
        <v>3</v>
      </c>
      <c r="E1928">
        <f>COUNTIFS([3]!players[name],A1928,[3]!players[hero_name],B1928, [3]!players[win], 1)</f>
        <v>2</v>
      </c>
      <c r="F1928" s="1">
        <f t="shared" si="30"/>
        <v>0.66666666666666663</v>
      </c>
      <c r="G1928" s="2">
        <f>AVERAGEIFS([3]!players[gold_per_min], [3]!players[name],A1928,[3]!players[hero_name],B1928)</f>
        <v>619.66666666666663</v>
      </c>
      <c r="H1928" s="2">
        <f>AVERAGEIFS([3]!players[xp_per_min], [3]!players[name],A1928,[3]!players[hero_name],B1928)</f>
        <v>805.33333333333337</v>
      </c>
    </row>
    <row r="1929" spans="1:8" x14ac:dyDescent="0.3">
      <c r="A1929" t="str">
        <v>takizawa</v>
      </c>
      <c r="B1929" t="str">
        <v>Pangolier</v>
      </c>
      <c r="C1929" t="str" cm="1">
        <f t="array" ref="C1929">_xlfn.XLOOKUP(1,([3]!players[name]=A1929)*([3]!players[hero_name]=B1929),[3]!players[lane_name])</f>
        <v>Off Lane</v>
      </c>
      <c r="D1929">
        <f>COUNTIFS([3]!players[name],A1929,[3]!players[hero_name],B1929)</f>
        <v>2</v>
      </c>
      <c r="E1929">
        <f>COUNTIFS([3]!players[name],A1929,[3]!players[hero_name],B1929, [3]!players[win], 1)</f>
        <v>0</v>
      </c>
      <c r="F1929" s="1">
        <f t="shared" si="30"/>
        <v>0</v>
      </c>
      <c r="G1929" s="2">
        <f>AVERAGEIFS([3]!players[gold_per_min], [3]!players[name],A1929,[3]!players[hero_name],B1929)</f>
        <v>467</v>
      </c>
      <c r="H1929" s="2">
        <f>AVERAGEIFS([3]!players[xp_per_min], [3]!players[name],A1929,[3]!players[hero_name],B1929)</f>
        <v>553</v>
      </c>
    </row>
    <row r="1930" spans="1:8" x14ac:dyDescent="0.3">
      <c r="A1930" t="str">
        <v>takizawa</v>
      </c>
      <c r="B1930" t="str">
        <v>Kunkka</v>
      </c>
      <c r="C1930" t="str" cm="1">
        <f t="array" ref="C1930">_xlfn.XLOOKUP(1,([3]!players[name]=A1930)*([3]!players[hero_name]=B1930),[3]!players[lane_name])</f>
        <v>Off Lane</v>
      </c>
      <c r="D1930">
        <f>COUNTIFS([3]!players[name],A1930,[3]!players[hero_name],B1930)</f>
        <v>1</v>
      </c>
      <c r="E1930">
        <f>COUNTIFS([3]!players[name],A1930,[3]!players[hero_name],B1930, [3]!players[win], 1)</f>
        <v>0</v>
      </c>
      <c r="F1930" s="1">
        <f t="shared" si="30"/>
        <v>0</v>
      </c>
      <c r="G1930" s="2">
        <f>AVERAGEIFS([3]!players[gold_per_min], [3]!players[name],A1930,[3]!players[hero_name],B1930)</f>
        <v>401</v>
      </c>
      <c r="H1930" s="2">
        <f>AVERAGEIFS([3]!players[xp_per_min], [3]!players[name],A1930,[3]!players[hero_name],B1930)</f>
        <v>468</v>
      </c>
    </row>
    <row r="1931" spans="1:8" x14ac:dyDescent="0.3">
      <c r="A1931" t="str">
        <v>takizawa</v>
      </c>
      <c r="B1931" t="str">
        <v>Underlord</v>
      </c>
      <c r="C1931" t="str" cm="1">
        <f t="array" ref="C1931">_xlfn.XLOOKUP(1,([3]!players[name]=A1931)*([3]!players[hero_name]=B1931),[3]!players[lane_name])</f>
        <v>Off Lane</v>
      </c>
      <c r="D1931">
        <f>COUNTIFS([3]!players[name],A1931,[3]!players[hero_name],B1931)</f>
        <v>2</v>
      </c>
      <c r="E1931">
        <f>COUNTIFS([3]!players[name],A1931,[3]!players[hero_name],B1931, [3]!players[win], 1)</f>
        <v>1</v>
      </c>
      <c r="F1931" s="1">
        <f t="shared" si="30"/>
        <v>0.5</v>
      </c>
      <c r="G1931" s="2">
        <f>AVERAGEIFS([3]!players[gold_per_min], [3]!players[name],A1931,[3]!players[hero_name],B1931)</f>
        <v>578</v>
      </c>
      <c r="H1931" s="2">
        <f>AVERAGEIFS([3]!players[xp_per_min], [3]!players[name],A1931,[3]!players[hero_name],B1931)</f>
        <v>731</v>
      </c>
    </row>
    <row r="1932" spans="1:8" x14ac:dyDescent="0.3">
      <c r="A1932" t="str">
        <v>takizawa</v>
      </c>
      <c r="B1932" t="str">
        <v>Sand King</v>
      </c>
      <c r="C1932" t="str" cm="1">
        <f t="array" ref="C1932">_xlfn.XLOOKUP(1,([3]!players[name]=A1932)*([3]!players[hero_name]=B1932),[3]!players[lane_name])</f>
        <v>Off Lane</v>
      </c>
      <c r="D1932">
        <f>COUNTIFS([3]!players[name],A1932,[3]!players[hero_name],B1932)</f>
        <v>1</v>
      </c>
      <c r="E1932">
        <f>COUNTIFS([3]!players[name],A1932,[3]!players[hero_name],B1932, [3]!players[win], 1)</f>
        <v>0</v>
      </c>
      <c r="F1932" s="1">
        <f t="shared" si="30"/>
        <v>0</v>
      </c>
      <c r="G1932" s="2">
        <f>AVERAGEIFS([3]!players[gold_per_min], [3]!players[name],A1932,[3]!players[hero_name],B1932)</f>
        <v>496</v>
      </c>
      <c r="H1932" s="2">
        <f>AVERAGEIFS([3]!players[xp_per_min], [3]!players[name],A1932,[3]!players[hero_name],B1932)</f>
        <v>609</v>
      </c>
    </row>
    <row r="1933" spans="1:8" x14ac:dyDescent="0.3">
      <c r="A1933" t="str">
        <v>takizawa</v>
      </c>
      <c r="B1933" t="str">
        <v>Brewmaster</v>
      </c>
      <c r="C1933" t="str" cm="1">
        <f t="array" ref="C1933">_xlfn.XLOOKUP(1,([3]!players[name]=A1933)*([3]!players[hero_name]=B1933),[3]!players[lane_name])</f>
        <v>Off Lane</v>
      </c>
      <c r="D1933">
        <f>COUNTIFS([3]!players[name],A1933,[3]!players[hero_name],B1933)</f>
        <v>2</v>
      </c>
      <c r="E1933">
        <f>COUNTIFS([3]!players[name],A1933,[3]!players[hero_name],B1933, [3]!players[win], 1)</f>
        <v>0</v>
      </c>
      <c r="F1933" s="1">
        <f t="shared" si="30"/>
        <v>0</v>
      </c>
      <c r="G1933" s="2">
        <f>AVERAGEIFS([3]!players[gold_per_min], [3]!players[name],A1933,[3]!players[hero_name],B1933)</f>
        <v>583</v>
      </c>
      <c r="H1933" s="2">
        <f>AVERAGEIFS([3]!players[xp_per_min], [3]!players[name],A1933,[3]!players[hero_name],B1933)</f>
        <v>769</v>
      </c>
    </row>
    <row r="1934" spans="1:8" x14ac:dyDescent="0.3">
      <c r="A1934" t="str">
        <v>takizawa</v>
      </c>
      <c r="B1934" t="str">
        <v>Venomancer</v>
      </c>
      <c r="C1934" t="str" cm="1">
        <f t="array" ref="C1934">_xlfn.XLOOKUP(1,([3]!players[name]=A1934)*([3]!players[hero_name]=B1934),[3]!players[lane_name])</f>
        <v>Off Lane</v>
      </c>
      <c r="D1934">
        <f>COUNTIFS([3]!players[name],A1934,[3]!players[hero_name],B1934)</f>
        <v>1</v>
      </c>
      <c r="E1934">
        <f>COUNTIFS([3]!players[name],A1934,[3]!players[hero_name],B1934, [3]!players[win], 1)</f>
        <v>0</v>
      </c>
      <c r="F1934" s="1">
        <f t="shared" si="30"/>
        <v>0</v>
      </c>
      <c r="G1934" s="2">
        <f>AVERAGEIFS([3]!players[gold_per_min], [3]!players[name],A1934,[3]!players[hero_name],B1934)</f>
        <v>491</v>
      </c>
      <c r="H1934" s="2">
        <f>AVERAGEIFS([3]!players[xp_per_min], [3]!players[name],A1934,[3]!players[hero_name],B1934)</f>
        <v>488</v>
      </c>
    </row>
    <row r="1935" spans="1:8" x14ac:dyDescent="0.3">
      <c r="A1935" t="str">
        <v>takizawa</v>
      </c>
      <c r="B1935" t="str">
        <v>Mars</v>
      </c>
      <c r="C1935" t="str" cm="1">
        <f t="array" ref="C1935">_xlfn.XLOOKUP(1,([3]!players[name]=A1935)*([3]!players[hero_name]=B1935),[3]!players[lane_name])</f>
        <v>Off Lane</v>
      </c>
      <c r="D1935">
        <f>COUNTIFS([3]!players[name],A1935,[3]!players[hero_name],B1935)</f>
        <v>1</v>
      </c>
      <c r="E1935">
        <f>COUNTIFS([3]!players[name],A1935,[3]!players[hero_name],B1935, [3]!players[win], 1)</f>
        <v>1</v>
      </c>
      <c r="F1935" s="1">
        <f t="shared" si="30"/>
        <v>1</v>
      </c>
      <c r="G1935" s="2">
        <f>AVERAGEIFS([3]!players[gold_per_min], [3]!players[name],A1935,[3]!players[hero_name],B1935)</f>
        <v>565</v>
      </c>
      <c r="H1935" s="2">
        <f>AVERAGEIFS([3]!players[xp_per_min], [3]!players[name],A1935,[3]!players[hero_name],B1935)</f>
        <v>645</v>
      </c>
    </row>
    <row r="1936" spans="1:8" x14ac:dyDescent="0.3">
      <c r="A1936" t="str">
        <v>Tala</v>
      </c>
      <c r="B1936" t="str">
        <v>Tiny</v>
      </c>
      <c r="C1936" t="str" cm="1">
        <f t="array" ref="C1936">_xlfn.XLOOKUP(1,([3]!players[name]=A1936)*([3]!players[hero_name]=B1936),[3]!players[lane_name])</f>
        <v>Mid</v>
      </c>
      <c r="D1936">
        <f>COUNTIFS([3]!players[name],A1936,[3]!players[hero_name],B1936)</f>
        <v>3</v>
      </c>
      <c r="E1936">
        <f>COUNTIFS([3]!players[name],A1936,[3]!players[hero_name],B1936, [3]!players[win], 1)</f>
        <v>3</v>
      </c>
      <c r="F1936" s="1">
        <f t="shared" si="30"/>
        <v>1</v>
      </c>
      <c r="G1936" s="2">
        <f>AVERAGEIFS([3]!players[gold_per_min], [3]!players[name],A1936,[3]!players[hero_name],B1936)</f>
        <v>606.66666666666663</v>
      </c>
      <c r="H1936" s="2">
        <f>AVERAGEIFS([3]!players[xp_per_min], [3]!players[name],A1936,[3]!players[hero_name],B1936)</f>
        <v>792.33333333333337</v>
      </c>
    </row>
    <row r="1937" spans="1:8" x14ac:dyDescent="0.3">
      <c r="A1937" t="str">
        <v>Tala</v>
      </c>
      <c r="B1937" t="str">
        <v>Viper</v>
      </c>
      <c r="C1937" t="str" cm="1">
        <f t="array" ref="C1937">_xlfn.XLOOKUP(1,([3]!players[name]=A1937)*([3]!players[hero_name]=B1937),[3]!players[lane_name])</f>
        <v>Mid</v>
      </c>
      <c r="D1937">
        <f>COUNTIFS([3]!players[name],A1937,[3]!players[hero_name],B1937)</f>
        <v>1</v>
      </c>
      <c r="E1937">
        <f>COUNTIFS([3]!players[name],A1937,[3]!players[hero_name],B1937, [3]!players[win], 1)</f>
        <v>1</v>
      </c>
      <c r="F1937" s="1">
        <f t="shared" si="30"/>
        <v>1</v>
      </c>
      <c r="G1937" s="2">
        <f>AVERAGEIFS([3]!players[gold_per_min], [3]!players[name],A1937,[3]!players[hero_name],B1937)</f>
        <v>466</v>
      </c>
      <c r="H1937" s="2">
        <f>AVERAGEIFS([3]!players[xp_per_min], [3]!players[name],A1937,[3]!players[hero_name],B1937)</f>
        <v>560</v>
      </c>
    </row>
    <row r="1938" spans="1:8" x14ac:dyDescent="0.3">
      <c r="A1938" t="str">
        <v>Tala</v>
      </c>
      <c r="B1938" t="str">
        <v>Slardar</v>
      </c>
      <c r="C1938" t="str" cm="1">
        <f t="array" ref="C1938">_xlfn.XLOOKUP(1,([3]!players[name]=A1938)*([3]!players[hero_name]=B1938),[3]!players[lane_name])</f>
        <v>Mid</v>
      </c>
      <c r="D1938">
        <f>COUNTIFS([3]!players[name],A1938,[3]!players[hero_name],B1938)</f>
        <v>1</v>
      </c>
      <c r="E1938">
        <f>COUNTIFS([3]!players[name],A1938,[3]!players[hero_name],B1938, [3]!players[win], 1)</f>
        <v>1</v>
      </c>
      <c r="F1938" s="1">
        <f t="shared" si="30"/>
        <v>1</v>
      </c>
      <c r="G1938" s="2">
        <f>AVERAGEIFS([3]!players[gold_per_min], [3]!players[name],A1938,[3]!players[hero_name],B1938)</f>
        <v>503</v>
      </c>
      <c r="H1938" s="2">
        <f>AVERAGEIFS([3]!players[xp_per_min], [3]!players[name],A1938,[3]!players[hero_name],B1938)</f>
        <v>654</v>
      </c>
    </row>
    <row r="1939" spans="1:8" x14ac:dyDescent="0.3">
      <c r="A1939" t="str">
        <v>Tala</v>
      </c>
      <c r="B1939" t="str">
        <v>Pangolier</v>
      </c>
      <c r="C1939" t="str" cm="1">
        <f t="array" ref="C1939">_xlfn.XLOOKUP(1,([3]!players[name]=A1939)*([3]!players[hero_name]=B1939),[3]!players[lane_name])</f>
        <v>Mid</v>
      </c>
      <c r="D1939">
        <f>COUNTIFS([3]!players[name],A1939,[3]!players[hero_name],B1939)</f>
        <v>2</v>
      </c>
      <c r="E1939">
        <f>COUNTIFS([3]!players[name],A1939,[3]!players[hero_name],B1939, [3]!players[win], 1)</f>
        <v>1</v>
      </c>
      <c r="F1939" s="1">
        <f t="shared" si="30"/>
        <v>0.5</v>
      </c>
      <c r="G1939" s="2">
        <f>AVERAGEIFS([3]!players[gold_per_min], [3]!players[name],A1939,[3]!players[hero_name],B1939)</f>
        <v>522</v>
      </c>
      <c r="H1939" s="2">
        <f>AVERAGEIFS([3]!players[xp_per_min], [3]!players[name],A1939,[3]!players[hero_name],B1939)</f>
        <v>619</v>
      </c>
    </row>
    <row r="1940" spans="1:8" x14ac:dyDescent="0.3">
      <c r="A1940" t="str">
        <v>Tala</v>
      </c>
      <c r="B1940" t="str">
        <v>Puck</v>
      </c>
      <c r="C1940" t="str" cm="1">
        <f t="array" ref="C1940">_xlfn.XLOOKUP(1,([3]!players[name]=A1940)*([3]!players[hero_name]=B1940),[3]!players[lane_name])</f>
        <v>Mid</v>
      </c>
      <c r="D1940">
        <f>COUNTIFS([3]!players[name],A1940,[3]!players[hero_name],B1940)</f>
        <v>1</v>
      </c>
      <c r="E1940">
        <f>COUNTIFS([3]!players[name],A1940,[3]!players[hero_name],B1940, [3]!players[win], 1)</f>
        <v>1</v>
      </c>
      <c r="F1940" s="1">
        <f t="shared" si="30"/>
        <v>1</v>
      </c>
      <c r="G1940" s="2">
        <f>AVERAGEIFS([3]!players[gold_per_min], [3]!players[name],A1940,[3]!players[hero_name],B1940)</f>
        <v>568</v>
      </c>
      <c r="H1940" s="2">
        <f>AVERAGEIFS([3]!players[xp_per_min], [3]!players[name],A1940,[3]!players[hero_name],B1940)</f>
        <v>633</v>
      </c>
    </row>
    <row r="1941" spans="1:8" x14ac:dyDescent="0.3">
      <c r="A1941" t="str">
        <v>Tala</v>
      </c>
      <c r="B1941" t="str">
        <v>Kunkka</v>
      </c>
      <c r="C1941" t="str" cm="1">
        <f t="array" ref="C1941">_xlfn.XLOOKUP(1,([3]!players[name]=A1941)*([3]!players[hero_name]=B1941),[3]!players[lane_name])</f>
        <v>Mid</v>
      </c>
      <c r="D1941">
        <f>COUNTIFS([3]!players[name],A1941,[3]!players[hero_name],B1941)</f>
        <v>1</v>
      </c>
      <c r="E1941">
        <f>COUNTIFS([3]!players[name],A1941,[3]!players[hero_name],B1941, [3]!players[win], 1)</f>
        <v>1</v>
      </c>
      <c r="F1941" s="1">
        <f t="shared" si="30"/>
        <v>1</v>
      </c>
      <c r="G1941" s="2">
        <f>AVERAGEIFS([3]!players[gold_per_min], [3]!players[name],A1941,[3]!players[hero_name],B1941)</f>
        <v>669</v>
      </c>
      <c r="H1941" s="2">
        <f>AVERAGEIFS([3]!players[xp_per_min], [3]!players[name],A1941,[3]!players[hero_name],B1941)</f>
        <v>962</v>
      </c>
    </row>
    <row r="1942" spans="1:8" x14ac:dyDescent="0.3">
      <c r="A1942" t="str">
        <v>Tala</v>
      </c>
      <c r="B1942" t="str">
        <v>Void Spirit</v>
      </c>
      <c r="C1942" t="str" cm="1">
        <f t="array" ref="C1942">_xlfn.XLOOKUP(1,([3]!players[name]=A1942)*([3]!players[hero_name]=B1942),[3]!players[lane_name])</f>
        <v>Mid</v>
      </c>
      <c r="D1942">
        <f>COUNTIFS([3]!players[name],A1942,[3]!players[hero_name],B1942)</f>
        <v>1</v>
      </c>
      <c r="E1942">
        <f>COUNTIFS([3]!players[name],A1942,[3]!players[hero_name],B1942, [3]!players[win], 1)</f>
        <v>0</v>
      </c>
      <c r="F1942" s="1">
        <f t="shared" si="30"/>
        <v>0</v>
      </c>
      <c r="G1942" s="2">
        <f>AVERAGEIFS([3]!players[gold_per_min], [3]!players[name],A1942,[3]!players[hero_name],B1942)</f>
        <v>389</v>
      </c>
      <c r="H1942" s="2">
        <f>AVERAGEIFS([3]!players[xp_per_min], [3]!players[name],A1942,[3]!players[hero_name],B1942)</f>
        <v>476</v>
      </c>
    </row>
    <row r="1943" spans="1:8" x14ac:dyDescent="0.3">
      <c r="A1943" t="str">
        <v>Tala</v>
      </c>
      <c r="B1943" t="str">
        <v>Sand King</v>
      </c>
      <c r="C1943" t="str" cm="1">
        <f t="array" ref="C1943">_xlfn.XLOOKUP(1,([3]!players[name]=A1943)*([3]!players[hero_name]=B1943),[3]!players[lane_name])</f>
        <v>Mid</v>
      </c>
      <c r="D1943">
        <f>COUNTIFS([3]!players[name],A1943,[3]!players[hero_name],B1943)</f>
        <v>1</v>
      </c>
      <c r="E1943">
        <f>COUNTIFS([3]!players[name],A1943,[3]!players[hero_name],B1943, [3]!players[win], 1)</f>
        <v>0</v>
      </c>
      <c r="F1943" s="1">
        <f t="shared" si="30"/>
        <v>0</v>
      </c>
      <c r="G1943" s="2">
        <f>AVERAGEIFS([3]!players[gold_per_min], [3]!players[name],A1943,[3]!players[hero_name],B1943)</f>
        <v>442</v>
      </c>
      <c r="H1943" s="2">
        <f>AVERAGEIFS([3]!players[xp_per_min], [3]!players[name],A1943,[3]!players[hero_name],B1943)</f>
        <v>524</v>
      </c>
    </row>
    <row r="1944" spans="1:8" x14ac:dyDescent="0.3">
      <c r="A1944" t="str">
        <v>Teehee</v>
      </c>
      <c r="B1944" t="str">
        <v>Phoenix</v>
      </c>
      <c r="C1944" t="str" cm="1">
        <f t="array" ref="C1944">_xlfn.XLOOKUP(1,([3]!players[name]=A1944)*([3]!players[hero_name]=B1944),[3]!players[lane_name])</f>
        <v>Soft Support</v>
      </c>
      <c r="D1944">
        <f>COUNTIFS([3]!players[name],A1944,[3]!players[hero_name],B1944)</f>
        <v>7</v>
      </c>
      <c r="E1944">
        <f>COUNTIFS([3]!players[name],A1944,[3]!players[hero_name],B1944, [3]!players[win], 1)</f>
        <v>3</v>
      </c>
      <c r="F1944" s="1">
        <f t="shared" si="30"/>
        <v>0.42857142857142855</v>
      </c>
      <c r="G1944" s="2">
        <f>AVERAGEIFS([3]!players[gold_per_min], [3]!players[name],A1944,[3]!players[hero_name],B1944)</f>
        <v>343.85714285714283</v>
      </c>
      <c r="H1944" s="2">
        <f>AVERAGEIFS([3]!players[xp_per_min], [3]!players[name],A1944,[3]!players[hero_name],B1944)</f>
        <v>473.57142857142856</v>
      </c>
    </row>
    <row r="1945" spans="1:8" x14ac:dyDescent="0.3">
      <c r="A1945" t="str">
        <v>Teehee</v>
      </c>
      <c r="B1945" t="str">
        <v>Jakiro</v>
      </c>
      <c r="C1945" t="str" cm="1">
        <f t="array" ref="C1945">_xlfn.XLOOKUP(1,([3]!players[name]=A1945)*([3]!players[hero_name]=B1945),[3]!players[lane_name])</f>
        <v>Roam</v>
      </c>
      <c r="D1945">
        <f>COUNTIFS([3]!players[name],A1945,[3]!players[hero_name],B1945)</f>
        <v>7</v>
      </c>
      <c r="E1945">
        <f>COUNTIFS([3]!players[name],A1945,[3]!players[hero_name],B1945, [3]!players[win], 1)</f>
        <v>3</v>
      </c>
      <c r="F1945" s="1">
        <f t="shared" si="30"/>
        <v>0.42857142857142855</v>
      </c>
      <c r="G1945" s="2">
        <f>AVERAGEIFS([3]!players[gold_per_min], [3]!players[name],A1945,[3]!players[hero_name],B1945)</f>
        <v>291</v>
      </c>
      <c r="H1945" s="2">
        <f>AVERAGEIFS([3]!players[xp_per_min], [3]!players[name],A1945,[3]!players[hero_name],B1945)</f>
        <v>400</v>
      </c>
    </row>
    <row r="1946" spans="1:8" x14ac:dyDescent="0.3">
      <c r="A1946" t="str">
        <v>Teehee</v>
      </c>
      <c r="B1946" t="str">
        <v>Crystal Maiden</v>
      </c>
      <c r="C1946" t="str" cm="1">
        <f t="array" ref="C1946">_xlfn.XLOOKUP(1,([3]!players[name]=A1946)*([3]!players[hero_name]=B1946),[3]!players[lane_name])</f>
        <v>Hard Support</v>
      </c>
      <c r="D1946">
        <f>COUNTIFS([3]!players[name],A1946,[3]!players[hero_name],B1946)</f>
        <v>1</v>
      </c>
      <c r="E1946">
        <f>COUNTIFS([3]!players[name],A1946,[3]!players[hero_name],B1946, [3]!players[win], 1)</f>
        <v>1</v>
      </c>
      <c r="F1946" s="1">
        <f t="shared" si="30"/>
        <v>1</v>
      </c>
      <c r="G1946" s="2">
        <f>AVERAGEIFS([3]!players[gold_per_min], [3]!players[name],A1946,[3]!players[hero_name],B1946)</f>
        <v>348</v>
      </c>
      <c r="H1946" s="2">
        <f>AVERAGEIFS([3]!players[xp_per_min], [3]!players[name],A1946,[3]!players[hero_name],B1946)</f>
        <v>604</v>
      </c>
    </row>
    <row r="1947" spans="1:8" x14ac:dyDescent="0.3">
      <c r="A1947" t="str">
        <v>Teehee</v>
      </c>
      <c r="B1947" t="str">
        <v>Disruptor</v>
      </c>
      <c r="C1947" t="str" cm="1">
        <f t="array" ref="C1947">_xlfn.XLOOKUP(1,([3]!players[name]=A1947)*([3]!players[hero_name]=B1947),[3]!players[lane_name])</f>
        <v>Hard Support</v>
      </c>
      <c r="D1947">
        <f>COUNTIFS([3]!players[name],A1947,[3]!players[hero_name],B1947)</f>
        <v>4</v>
      </c>
      <c r="E1947">
        <f>COUNTIFS([3]!players[name],A1947,[3]!players[hero_name],B1947, [3]!players[win], 1)</f>
        <v>3</v>
      </c>
      <c r="F1947" s="1">
        <f t="shared" si="30"/>
        <v>0.75</v>
      </c>
      <c r="G1947" s="2">
        <f>AVERAGEIFS([3]!players[gold_per_min], [3]!players[name],A1947,[3]!players[hero_name],B1947)</f>
        <v>263</v>
      </c>
      <c r="H1947" s="2">
        <f>AVERAGEIFS([3]!players[xp_per_min], [3]!players[name],A1947,[3]!players[hero_name],B1947)</f>
        <v>363</v>
      </c>
    </row>
    <row r="1948" spans="1:8" x14ac:dyDescent="0.3">
      <c r="A1948" t="str">
        <v>Teehee</v>
      </c>
      <c r="B1948" t="str">
        <v>Enchantress</v>
      </c>
      <c r="C1948" t="str" cm="1">
        <f t="array" ref="C1948">_xlfn.XLOOKUP(1,([3]!players[name]=A1948)*([3]!players[hero_name]=B1948),[3]!players[lane_name])</f>
        <v>Roam</v>
      </c>
      <c r="D1948">
        <f>COUNTIFS([3]!players[name],A1948,[3]!players[hero_name],B1948)</f>
        <v>5</v>
      </c>
      <c r="E1948">
        <f>COUNTIFS([3]!players[name],A1948,[3]!players[hero_name],B1948, [3]!players[win], 1)</f>
        <v>1</v>
      </c>
      <c r="F1948" s="1">
        <f t="shared" si="30"/>
        <v>0.2</v>
      </c>
      <c r="G1948" s="2">
        <f>AVERAGEIFS([3]!players[gold_per_min], [3]!players[name],A1948,[3]!players[hero_name],B1948)</f>
        <v>286.2</v>
      </c>
      <c r="H1948" s="2">
        <f>AVERAGEIFS([3]!players[xp_per_min], [3]!players[name],A1948,[3]!players[hero_name],B1948)</f>
        <v>450.8</v>
      </c>
    </row>
    <row r="1949" spans="1:8" x14ac:dyDescent="0.3">
      <c r="A1949" t="str">
        <v>Teehee</v>
      </c>
      <c r="B1949" t="str">
        <v>Ringmaster</v>
      </c>
      <c r="C1949" t="str" cm="1">
        <f t="array" ref="C1949">_xlfn.XLOOKUP(1,([3]!players[name]=A1949)*([3]!players[hero_name]=B1949),[3]!players[lane_name])</f>
        <v>Hard Support</v>
      </c>
      <c r="D1949">
        <f>COUNTIFS([3]!players[name],A1949,[3]!players[hero_name],B1949)</f>
        <v>2</v>
      </c>
      <c r="E1949">
        <f>COUNTIFS([3]!players[name],A1949,[3]!players[hero_name],B1949, [3]!players[win], 1)</f>
        <v>1</v>
      </c>
      <c r="F1949" s="1">
        <f t="shared" si="30"/>
        <v>0.5</v>
      </c>
      <c r="G1949" s="2">
        <f>AVERAGEIFS([3]!players[gold_per_min], [3]!players[name],A1949,[3]!players[hero_name],B1949)</f>
        <v>329</v>
      </c>
      <c r="H1949" s="2">
        <f>AVERAGEIFS([3]!players[xp_per_min], [3]!players[name],A1949,[3]!players[hero_name],B1949)</f>
        <v>455.5</v>
      </c>
    </row>
    <row r="1950" spans="1:8" x14ac:dyDescent="0.3">
      <c r="A1950" t="str">
        <v>Teehee</v>
      </c>
      <c r="B1950" t="str">
        <v>Venomancer</v>
      </c>
      <c r="C1950" t="str" cm="1">
        <f t="array" ref="C1950">_xlfn.XLOOKUP(1,([3]!players[name]=A1950)*([3]!players[hero_name]=B1950),[3]!players[lane_name])</f>
        <v>Soft Support</v>
      </c>
      <c r="D1950">
        <f>COUNTIFS([3]!players[name],A1950,[3]!players[hero_name],B1950)</f>
        <v>3</v>
      </c>
      <c r="E1950">
        <f>COUNTIFS([3]!players[name],A1950,[3]!players[hero_name],B1950, [3]!players[win], 1)</f>
        <v>2</v>
      </c>
      <c r="F1950" s="1">
        <f t="shared" si="30"/>
        <v>0.66666666666666663</v>
      </c>
      <c r="G1950" s="2">
        <f>AVERAGEIFS([3]!players[gold_per_min], [3]!players[name],A1950,[3]!players[hero_name],B1950)</f>
        <v>373</v>
      </c>
      <c r="H1950" s="2">
        <f>AVERAGEIFS([3]!players[xp_per_min], [3]!players[name],A1950,[3]!players[hero_name],B1950)</f>
        <v>500.33333333333331</v>
      </c>
    </row>
    <row r="1951" spans="1:8" x14ac:dyDescent="0.3">
      <c r="A1951" t="str">
        <v>Teehee</v>
      </c>
      <c r="B1951" t="str">
        <v>Dazzle</v>
      </c>
      <c r="C1951" t="str" cm="1">
        <f t="array" ref="C1951">_xlfn.XLOOKUP(1,([3]!players[name]=A1951)*([3]!players[hero_name]=B1951),[3]!players[lane_name])</f>
        <v>Soft Support</v>
      </c>
      <c r="D1951">
        <f>COUNTIFS([3]!players[name],A1951,[3]!players[hero_name],B1951)</f>
        <v>5</v>
      </c>
      <c r="E1951">
        <f>COUNTIFS([3]!players[name],A1951,[3]!players[hero_name],B1951, [3]!players[win], 1)</f>
        <v>4</v>
      </c>
      <c r="F1951" s="1">
        <f t="shared" si="30"/>
        <v>0.8</v>
      </c>
      <c r="G1951" s="2">
        <f>AVERAGEIFS([3]!players[gold_per_min], [3]!players[name],A1951,[3]!players[hero_name],B1951)</f>
        <v>308</v>
      </c>
      <c r="H1951" s="2">
        <f>AVERAGEIFS([3]!players[xp_per_min], [3]!players[name],A1951,[3]!players[hero_name],B1951)</f>
        <v>531.6</v>
      </c>
    </row>
    <row r="1952" spans="1:8" x14ac:dyDescent="0.3">
      <c r="A1952" t="str">
        <v>Teehee</v>
      </c>
      <c r="B1952" t="str">
        <v>Bane</v>
      </c>
      <c r="C1952" t="str" cm="1">
        <f t="array" ref="C1952">_xlfn.XLOOKUP(1,([3]!players[name]=A1952)*([3]!players[hero_name]=B1952),[3]!players[lane_name])</f>
        <v>Hard Support</v>
      </c>
      <c r="D1952">
        <f>COUNTIFS([3]!players[name],A1952,[3]!players[hero_name],B1952)</f>
        <v>5</v>
      </c>
      <c r="E1952">
        <f>COUNTIFS([3]!players[name],A1952,[3]!players[hero_name],B1952, [3]!players[win], 1)</f>
        <v>3</v>
      </c>
      <c r="F1952" s="1">
        <f t="shared" si="30"/>
        <v>0.6</v>
      </c>
      <c r="G1952" s="2">
        <f>AVERAGEIFS([3]!players[gold_per_min], [3]!players[name],A1952,[3]!players[hero_name],B1952)</f>
        <v>284.8</v>
      </c>
      <c r="H1952" s="2">
        <f>AVERAGEIFS([3]!players[xp_per_min], [3]!players[name],A1952,[3]!players[hero_name],B1952)</f>
        <v>445.2</v>
      </c>
    </row>
    <row r="1953" spans="1:8" x14ac:dyDescent="0.3">
      <c r="A1953" t="str">
        <v>Teehee</v>
      </c>
      <c r="B1953" t="str">
        <v>Treant Protector</v>
      </c>
      <c r="C1953" t="str" cm="1">
        <f t="array" ref="C1953">_xlfn.XLOOKUP(1,([3]!players[name]=A1953)*([3]!players[hero_name]=B1953),[3]!players[lane_name])</f>
        <v>Hard Support</v>
      </c>
      <c r="D1953">
        <f>COUNTIFS([3]!players[name],A1953,[3]!players[hero_name],B1953)</f>
        <v>3</v>
      </c>
      <c r="E1953">
        <f>COUNTIFS([3]!players[name],A1953,[3]!players[hero_name],B1953, [3]!players[win], 1)</f>
        <v>2</v>
      </c>
      <c r="F1953" s="1">
        <f t="shared" si="30"/>
        <v>0.66666666666666663</v>
      </c>
      <c r="G1953" s="2">
        <f>AVERAGEIFS([3]!players[gold_per_min], [3]!players[name],A1953,[3]!players[hero_name],B1953)</f>
        <v>279.66666666666669</v>
      </c>
      <c r="H1953" s="2">
        <f>AVERAGEIFS([3]!players[xp_per_min], [3]!players[name],A1953,[3]!players[hero_name],B1953)</f>
        <v>415</v>
      </c>
    </row>
    <row r="1954" spans="1:8" x14ac:dyDescent="0.3">
      <c r="A1954" t="str">
        <v>Teehee</v>
      </c>
      <c r="B1954" t="str">
        <v>Warlock</v>
      </c>
      <c r="C1954" t="str" cm="1">
        <f t="array" ref="C1954">_xlfn.XLOOKUP(1,([3]!players[name]=A1954)*([3]!players[hero_name]=B1954),[3]!players[lane_name])</f>
        <v>Roam</v>
      </c>
      <c r="D1954">
        <f>COUNTIFS([3]!players[name],A1954,[3]!players[hero_name],B1954)</f>
        <v>3</v>
      </c>
      <c r="E1954">
        <f>COUNTIFS([3]!players[name],A1954,[3]!players[hero_name],B1954, [3]!players[win], 1)</f>
        <v>1</v>
      </c>
      <c r="F1954" s="1">
        <f t="shared" si="30"/>
        <v>0.33333333333333331</v>
      </c>
      <c r="G1954" s="2">
        <f>AVERAGEIFS([3]!players[gold_per_min], [3]!players[name],A1954,[3]!players[hero_name],B1954)</f>
        <v>295.33333333333331</v>
      </c>
      <c r="H1954" s="2">
        <f>AVERAGEIFS([3]!players[xp_per_min], [3]!players[name],A1954,[3]!players[hero_name],B1954)</f>
        <v>369.33333333333331</v>
      </c>
    </row>
    <row r="1955" spans="1:8" x14ac:dyDescent="0.3">
      <c r="A1955" t="str">
        <v>Teehee</v>
      </c>
      <c r="B1955" t="str">
        <v>Grimstroke</v>
      </c>
      <c r="C1955" t="str" cm="1">
        <f t="array" ref="C1955">_xlfn.XLOOKUP(1,([3]!players[name]=A1955)*([3]!players[hero_name]=B1955),[3]!players[lane_name])</f>
        <v>Roam</v>
      </c>
      <c r="D1955">
        <f>COUNTIFS([3]!players[name],A1955,[3]!players[hero_name],B1955)</f>
        <v>2</v>
      </c>
      <c r="E1955">
        <f>COUNTIFS([3]!players[name],A1955,[3]!players[hero_name],B1955, [3]!players[win], 1)</f>
        <v>0</v>
      </c>
      <c r="F1955" s="1">
        <f t="shared" si="30"/>
        <v>0</v>
      </c>
      <c r="G1955" s="2">
        <f>AVERAGEIFS([3]!players[gold_per_min], [3]!players[name],A1955,[3]!players[hero_name],B1955)</f>
        <v>270.5</v>
      </c>
      <c r="H1955" s="2">
        <f>AVERAGEIFS([3]!players[xp_per_min], [3]!players[name],A1955,[3]!players[hero_name],B1955)</f>
        <v>344</v>
      </c>
    </row>
    <row r="1956" spans="1:8" x14ac:dyDescent="0.3">
      <c r="A1956" t="str">
        <v>Teehee</v>
      </c>
      <c r="B1956" t="str">
        <v>Ogre Magi</v>
      </c>
      <c r="C1956" t="str" cm="1">
        <f t="array" ref="C1956">_xlfn.XLOOKUP(1,([3]!players[name]=A1956)*([3]!players[hero_name]=B1956),[3]!players[lane_name])</f>
        <v>Roam</v>
      </c>
      <c r="D1956">
        <f>COUNTIFS([3]!players[name],A1956,[3]!players[hero_name],B1956)</f>
        <v>1</v>
      </c>
      <c r="E1956">
        <f>COUNTIFS([3]!players[name],A1956,[3]!players[hero_name],B1956, [3]!players[win], 1)</f>
        <v>0</v>
      </c>
      <c r="F1956" s="1">
        <f t="shared" si="30"/>
        <v>0</v>
      </c>
      <c r="G1956" s="2">
        <f>AVERAGEIFS([3]!players[gold_per_min], [3]!players[name],A1956,[3]!players[hero_name],B1956)</f>
        <v>244</v>
      </c>
      <c r="H1956" s="2">
        <f>AVERAGEIFS([3]!players[xp_per_min], [3]!players[name],A1956,[3]!players[hero_name],B1956)</f>
        <v>301</v>
      </c>
    </row>
    <row r="1957" spans="1:8" x14ac:dyDescent="0.3">
      <c r="A1957" t="str">
        <v>Teehee</v>
      </c>
      <c r="B1957" t="str">
        <v>Ancient Apparition</v>
      </c>
      <c r="C1957" t="str" cm="1">
        <f t="array" ref="C1957">_xlfn.XLOOKUP(1,([3]!players[name]=A1957)*([3]!players[hero_name]=B1957),[3]!players[lane_name])</f>
        <v>Soft Support</v>
      </c>
      <c r="D1957">
        <f>COUNTIFS([3]!players[name],A1957,[3]!players[hero_name],B1957)</f>
        <v>1</v>
      </c>
      <c r="E1957">
        <f>COUNTIFS([3]!players[name],A1957,[3]!players[hero_name],B1957, [3]!players[win], 1)</f>
        <v>0</v>
      </c>
      <c r="F1957" s="1">
        <f t="shared" si="30"/>
        <v>0</v>
      </c>
      <c r="G1957" s="2">
        <f>AVERAGEIFS([3]!players[gold_per_min], [3]!players[name],A1957,[3]!players[hero_name],B1957)</f>
        <v>248</v>
      </c>
      <c r="H1957" s="2">
        <f>AVERAGEIFS([3]!players[xp_per_min], [3]!players[name],A1957,[3]!players[hero_name],B1957)</f>
        <v>372</v>
      </c>
    </row>
    <row r="1958" spans="1:8" x14ac:dyDescent="0.3">
      <c r="A1958" t="str">
        <v>Teehee</v>
      </c>
      <c r="B1958" t="str">
        <v>Clockwerk</v>
      </c>
      <c r="C1958" t="str" cm="1">
        <f t="array" ref="C1958">_xlfn.XLOOKUP(1,([3]!players[name]=A1958)*([3]!players[hero_name]=B1958),[3]!players[lane_name])</f>
        <v>Roam</v>
      </c>
      <c r="D1958">
        <f>COUNTIFS([3]!players[name],A1958,[3]!players[hero_name],B1958)</f>
        <v>1</v>
      </c>
      <c r="E1958">
        <f>COUNTIFS([3]!players[name],A1958,[3]!players[hero_name],B1958, [3]!players[win], 1)</f>
        <v>0</v>
      </c>
      <c r="F1958" s="1">
        <f t="shared" si="30"/>
        <v>0</v>
      </c>
      <c r="G1958" s="2">
        <f>AVERAGEIFS([3]!players[gold_per_min], [3]!players[name],A1958,[3]!players[hero_name],B1958)</f>
        <v>268</v>
      </c>
      <c r="H1958" s="2">
        <f>AVERAGEIFS([3]!players[xp_per_min], [3]!players[name],A1958,[3]!players[hero_name],B1958)</f>
        <v>378</v>
      </c>
    </row>
    <row r="1959" spans="1:8" x14ac:dyDescent="0.3">
      <c r="A1959" t="str">
        <v>Teehee</v>
      </c>
      <c r="B1959" t="str">
        <v>Tusk</v>
      </c>
      <c r="C1959" t="str" cm="1">
        <f t="array" ref="C1959">_xlfn.XLOOKUP(1,([3]!players[name]=A1959)*([3]!players[hero_name]=B1959),[3]!players[lane_name])</f>
        <v>Hard Support</v>
      </c>
      <c r="D1959">
        <f>COUNTIFS([3]!players[name],A1959,[3]!players[hero_name],B1959)</f>
        <v>1</v>
      </c>
      <c r="E1959">
        <f>COUNTIFS([3]!players[name],A1959,[3]!players[hero_name],B1959, [3]!players[win], 1)</f>
        <v>1</v>
      </c>
      <c r="F1959" s="1">
        <f t="shared" si="30"/>
        <v>1</v>
      </c>
      <c r="G1959" s="2">
        <f>AVERAGEIFS([3]!players[gold_per_min], [3]!players[name],A1959,[3]!players[hero_name],B1959)</f>
        <v>305</v>
      </c>
      <c r="H1959" s="2">
        <f>AVERAGEIFS([3]!players[xp_per_min], [3]!players[name],A1959,[3]!players[hero_name],B1959)</f>
        <v>474</v>
      </c>
    </row>
    <row r="1960" spans="1:8" x14ac:dyDescent="0.3">
      <c r="A1960" t="str">
        <v>Teehee</v>
      </c>
      <c r="B1960" t="str">
        <v>Silencer</v>
      </c>
      <c r="C1960" t="str" cm="1">
        <f t="array" ref="C1960">_xlfn.XLOOKUP(1,([3]!players[name]=A1960)*([3]!players[hero_name]=B1960),[3]!players[lane_name])</f>
        <v>Hard Support</v>
      </c>
      <c r="D1960">
        <f>COUNTIFS([3]!players[name],A1960,[3]!players[hero_name],B1960)</f>
        <v>1</v>
      </c>
      <c r="E1960">
        <f>COUNTIFS([3]!players[name],A1960,[3]!players[hero_name],B1960, [3]!players[win], 1)</f>
        <v>0</v>
      </c>
      <c r="F1960" s="1">
        <f t="shared" si="30"/>
        <v>0</v>
      </c>
      <c r="G1960" s="2">
        <f>AVERAGEIFS([3]!players[gold_per_min], [3]!players[name],A1960,[3]!players[hero_name],B1960)</f>
        <v>213</v>
      </c>
      <c r="H1960" s="2">
        <f>AVERAGEIFS([3]!players[xp_per_min], [3]!players[name],A1960,[3]!players[hero_name],B1960)</f>
        <v>250</v>
      </c>
    </row>
    <row r="1961" spans="1:8" x14ac:dyDescent="0.3">
      <c r="A1961" t="str">
        <v>Teehee</v>
      </c>
      <c r="B1961" t="str">
        <v>Rubick</v>
      </c>
      <c r="C1961" t="str" cm="1">
        <f t="array" ref="C1961">_xlfn.XLOOKUP(1,([3]!players[name]=A1961)*([3]!players[hero_name]=B1961),[3]!players[lane_name])</f>
        <v>Soft Support</v>
      </c>
      <c r="D1961">
        <f>COUNTIFS([3]!players[name],A1961,[3]!players[hero_name],B1961)</f>
        <v>1</v>
      </c>
      <c r="E1961">
        <f>COUNTIFS([3]!players[name],A1961,[3]!players[hero_name],B1961, [3]!players[win], 1)</f>
        <v>0</v>
      </c>
      <c r="F1961" s="1">
        <f t="shared" si="30"/>
        <v>0</v>
      </c>
      <c r="G1961" s="2">
        <f>AVERAGEIFS([3]!players[gold_per_min], [3]!players[name],A1961,[3]!players[hero_name],B1961)</f>
        <v>173</v>
      </c>
      <c r="H1961" s="2">
        <f>AVERAGEIFS([3]!players[xp_per_min], [3]!players[name],A1961,[3]!players[hero_name],B1961)</f>
        <v>189</v>
      </c>
    </row>
    <row r="1962" spans="1:8" x14ac:dyDescent="0.3">
      <c r="A1962" t="str">
        <v>Teehee</v>
      </c>
      <c r="B1962" t="str">
        <v>Techies</v>
      </c>
      <c r="C1962" t="str" cm="1">
        <f t="array" ref="C1962">_xlfn.XLOOKUP(1,([3]!players[name]=A1962)*([3]!players[hero_name]=B1962),[3]!players[lane_name])</f>
        <v>Soft Support</v>
      </c>
      <c r="D1962">
        <f>COUNTIFS([3]!players[name],A1962,[3]!players[hero_name],B1962)</f>
        <v>1</v>
      </c>
      <c r="E1962">
        <f>COUNTIFS([3]!players[name],A1962,[3]!players[hero_name],B1962, [3]!players[win], 1)</f>
        <v>1</v>
      </c>
      <c r="F1962" s="1">
        <f t="shared" si="30"/>
        <v>1</v>
      </c>
      <c r="G1962" s="2">
        <f>AVERAGEIFS([3]!players[gold_per_min], [3]!players[name],A1962,[3]!players[hero_name],B1962)</f>
        <v>404</v>
      </c>
      <c r="H1962" s="2">
        <f>AVERAGEIFS([3]!players[xp_per_min], [3]!players[name],A1962,[3]!players[hero_name],B1962)</f>
        <v>580</v>
      </c>
    </row>
    <row r="1963" spans="1:8" x14ac:dyDescent="0.3">
      <c r="A1963" t="str">
        <v>Thiolicor</v>
      </c>
      <c r="B1963" t="str">
        <v>Rubick</v>
      </c>
      <c r="C1963" t="str" cm="1">
        <f t="array" ref="C1963">_xlfn.XLOOKUP(1,([3]!players[name]=A1963)*([3]!players[hero_name]=B1963),[3]!players[lane_name])</f>
        <v>Soft Support</v>
      </c>
      <c r="D1963">
        <f>COUNTIFS([3]!players[name],A1963,[3]!players[hero_name],B1963)</f>
        <v>6</v>
      </c>
      <c r="E1963">
        <f>COUNTIFS([3]!players[name],A1963,[3]!players[hero_name],B1963, [3]!players[win], 1)</f>
        <v>1</v>
      </c>
      <c r="F1963" s="1">
        <f t="shared" si="30"/>
        <v>0.16666666666666666</v>
      </c>
      <c r="G1963" s="2">
        <f>AVERAGEIFS([3]!players[gold_per_min], [3]!players[name],A1963,[3]!players[hero_name],B1963)</f>
        <v>303.33333333333331</v>
      </c>
      <c r="H1963" s="2">
        <f>AVERAGEIFS([3]!players[xp_per_min], [3]!players[name],A1963,[3]!players[hero_name],B1963)</f>
        <v>404.33333333333331</v>
      </c>
    </row>
    <row r="1964" spans="1:8" x14ac:dyDescent="0.3">
      <c r="A1964" t="str">
        <v>Thiolicor</v>
      </c>
      <c r="B1964" t="str">
        <v>Tusk</v>
      </c>
      <c r="C1964" t="str" cm="1">
        <f t="array" ref="C1964">_xlfn.XLOOKUP(1,([3]!players[name]=A1964)*([3]!players[hero_name]=B1964),[3]!players[lane_name])</f>
        <v>Roam</v>
      </c>
      <c r="D1964">
        <f>COUNTIFS([3]!players[name],A1964,[3]!players[hero_name],B1964)</f>
        <v>6</v>
      </c>
      <c r="E1964">
        <f>COUNTIFS([3]!players[name],A1964,[3]!players[hero_name],B1964, [3]!players[win], 1)</f>
        <v>1</v>
      </c>
      <c r="F1964" s="1">
        <f t="shared" si="30"/>
        <v>0.16666666666666666</v>
      </c>
      <c r="G1964" s="2">
        <f>AVERAGEIFS([3]!players[gold_per_min], [3]!players[name],A1964,[3]!players[hero_name],B1964)</f>
        <v>289.5</v>
      </c>
      <c r="H1964" s="2">
        <f>AVERAGEIFS([3]!players[xp_per_min], [3]!players[name],A1964,[3]!players[hero_name],B1964)</f>
        <v>448.5</v>
      </c>
    </row>
    <row r="1965" spans="1:8" x14ac:dyDescent="0.3">
      <c r="A1965" t="str">
        <v>Thiolicor</v>
      </c>
      <c r="B1965" t="str">
        <v>Spirit Breaker</v>
      </c>
      <c r="C1965" t="str" cm="1">
        <f t="array" ref="C1965">_xlfn.XLOOKUP(1,([3]!players[name]=A1965)*([3]!players[hero_name]=B1965),[3]!players[lane_name])</f>
        <v>Roam</v>
      </c>
      <c r="D1965">
        <f>COUNTIFS([3]!players[name],A1965,[3]!players[hero_name],B1965)</f>
        <v>2</v>
      </c>
      <c r="E1965">
        <f>COUNTIFS([3]!players[name],A1965,[3]!players[hero_name],B1965, [3]!players[win], 1)</f>
        <v>1</v>
      </c>
      <c r="F1965" s="1">
        <f t="shared" si="30"/>
        <v>0.5</v>
      </c>
      <c r="G1965" s="2">
        <f>AVERAGEIFS([3]!players[gold_per_min], [3]!players[name],A1965,[3]!players[hero_name],B1965)</f>
        <v>289</v>
      </c>
      <c r="H1965" s="2">
        <f>AVERAGEIFS([3]!players[xp_per_min], [3]!players[name],A1965,[3]!players[hero_name],B1965)</f>
        <v>368.5</v>
      </c>
    </row>
    <row r="1966" spans="1:8" x14ac:dyDescent="0.3">
      <c r="A1966" t="str">
        <v>Thiolicor</v>
      </c>
      <c r="B1966" t="str">
        <v>Lion</v>
      </c>
      <c r="C1966" t="str" cm="1">
        <f t="array" ref="C1966">_xlfn.XLOOKUP(1,([3]!players[name]=A1966)*([3]!players[hero_name]=B1966),[3]!players[lane_name])</f>
        <v>Hard Support</v>
      </c>
      <c r="D1966">
        <f>COUNTIFS([3]!players[name],A1966,[3]!players[hero_name],B1966)</f>
        <v>2</v>
      </c>
      <c r="E1966">
        <f>COUNTIFS([3]!players[name],A1966,[3]!players[hero_name],B1966, [3]!players[win], 1)</f>
        <v>1</v>
      </c>
      <c r="F1966" s="1">
        <f t="shared" si="30"/>
        <v>0.5</v>
      </c>
      <c r="G1966" s="2">
        <f>AVERAGEIFS([3]!players[gold_per_min], [3]!players[name],A1966,[3]!players[hero_name],B1966)</f>
        <v>281.5</v>
      </c>
      <c r="H1966" s="2">
        <f>AVERAGEIFS([3]!players[xp_per_min], [3]!players[name],A1966,[3]!players[hero_name],B1966)</f>
        <v>371.5</v>
      </c>
    </row>
    <row r="1967" spans="1:8" x14ac:dyDescent="0.3">
      <c r="A1967" t="str">
        <v>Thiolicor</v>
      </c>
      <c r="B1967" t="str">
        <v>Hoodwink</v>
      </c>
      <c r="C1967" t="str" cm="1">
        <f t="array" ref="C1967">_xlfn.XLOOKUP(1,([3]!players[name]=A1967)*([3]!players[hero_name]=B1967),[3]!players[lane_name])</f>
        <v>Roam</v>
      </c>
      <c r="D1967">
        <f>COUNTIFS([3]!players[name],A1967,[3]!players[hero_name],B1967)</f>
        <v>12</v>
      </c>
      <c r="E1967">
        <f>COUNTIFS([3]!players[name],A1967,[3]!players[hero_name],B1967, [3]!players[win], 1)</f>
        <v>8</v>
      </c>
      <c r="F1967" s="1">
        <f t="shared" si="30"/>
        <v>0.66666666666666663</v>
      </c>
      <c r="G1967" s="2">
        <f>AVERAGEIFS([3]!players[gold_per_min], [3]!players[name],A1967,[3]!players[hero_name],B1967)</f>
        <v>349</v>
      </c>
      <c r="H1967" s="2">
        <f>AVERAGEIFS([3]!players[xp_per_min], [3]!players[name],A1967,[3]!players[hero_name],B1967)</f>
        <v>493.5</v>
      </c>
    </row>
    <row r="1968" spans="1:8" x14ac:dyDescent="0.3">
      <c r="A1968" t="str">
        <v>Thiolicor</v>
      </c>
      <c r="B1968" t="str">
        <v>Shadow Demon</v>
      </c>
      <c r="C1968" t="str" cm="1">
        <f t="array" ref="C1968">_xlfn.XLOOKUP(1,([3]!players[name]=A1968)*([3]!players[hero_name]=B1968),[3]!players[lane_name])</f>
        <v>Hard Support</v>
      </c>
      <c r="D1968">
        <f>COUNTIFS([3]!players[name],A1968,[3]!players[hero_name],B1968)</f>
        <v>1</v>
      </c>
      <c r="E1968">
        <f>COUNTIFS([3]!players[name],A1968,[3]!players[hero_name],B1968, [3]!players[win], 1)</f>
        <v>1</v>
      </c>
      <c r="F1968" s="1">
        <f t="shared" si="30"/>
        <v>1</v>
      </c>
      <c r="G1968" s="2">
        <f>AVERAGEIFS([3]!players[gold_per_min], [3]!players[name],A1968,[3]!players[hero_name],B1968)</f>
        <v>348</v>
      </c>
      <c r="H1968" s="2">
        <f>AVERAGEIFS([3]!players[xp_per_min], [3]!players[name],A1968,[3]!players[hero_name],B1968)</f>
        <v>542</v>
      </c>
    </row>
    <row r="1969" spans="1:8" x14ac:dyDescent="0.3">
      <c r="A1969" t="str">
        <v>Thiolicor</v>
      </c>
      <c r="B1969" t="str">
        <v>Grimstroke</v>
      </c>
      <c r="C1969" t="str" cm="1">
        <f t="array" ref="C1969">_xlfn.XLOOKUP(1,([3]!players[name]=A1969)*([3]!players[hero_name]=B1969),[3]!players[lane_name])</f>
        <v>Hard Support</v>
      </c>
      <c r="D1969">
        <f>COUNTIFS([3]!players[name],A1969,[3]!players[hero_name],B1969)</f>
        <v>3</v>
      </c>
      <c r="E1969">
        <f>COUNTIFS([3]!players[name],A1969,[3]!players[hero_name],B1969, [3]!players[win], 1)</f>
        <v>3</v>
      </c>
      <c r="F1969" s="1">
        <f t="shared" si="30"/>
        <v>1</v>
      </c>
      <c r="G1969" s="2">
        <f>AVERAGEIFS([3]!players[gold_per_min], [3]!players[name],A1969,[3]!players[hero_name],B1969)</f>
        <v>380.66666666666669</v>
      </c>
      <c r="H1969" s="2">
        <f>AVERAGEIFS([3]!players[xp_per_min], [3]!players[name],A1969,[3]!players[hero_name],B1969)</f>
        <v>562.33333333333337</v>
      </c>
    </row>
    <row r="1970" spans="1:8" x14ac:dyDescent="0.3">
      <c r="A1970" t="str">
        <v>Thiolicor</v>
      </c>
      <c r="B1970" t="str">
        <v>Shadow Shaman</v>
      </c>
      <c r="C1970" t="str" cm="1">
        <f t="array" ref="C1970">_xlfn.XLOOKUP(1,([3]!players[name]=A1970)*([3]!players[hero_name]=B1970),[3]!players[lane_name])</f>
        <v>Hard Support</v>
      </c>
      <c r="D1970">
        <f>COUNTIFS([3]!players[name],A1970,[3]!players[hero_name],B1970)</f>
        <v>1</v>
      </c>
      <c r="E1970">
        <f>COUNTIFS([3]!players[name],A1970,[3]!players[hero_name],B1970, [3]!players[win], 1)</f>
        <v>0</v>
      </c>
      <c r="F1970" s="1">
        <f t="shared" si="30"/>
        <v>0</v>
      </c>
      <c r="G1970" s="2">
        <f>AVERAGEIFS([3]!players[gold_per_min], [3]!players[name],A1970,[3]!players[hero_name],B1970)</f>
        <v>316</v>
      </c>
      <c r="H1970" s="2">
        <f>AVERAGEIFS([3]!players[xp_per_min], [3]!players[name],A1970,[3]!players[hero_name],B1970)</f>
        <v>519</v>
      </c>
    </row>
    <row r="1971" spans="1:8" x14ac:dyDescent="0.3">
      <c r="A1971" t="str">
        <v>Tianming</v>
      </c>
      <c r="B1971" t="str">
        <v>Bane</v>
      </c>
      <c r="C1971" t="str" cm="1">
        <f t="array" ref="C1971">_xlfn.XLOOKUP(1,([3]!players[name]=A1971)*([3]!players[hero_name]=B1971),[3]!players[lane_name])</f>
        <v>Hard Support</v>
      </c>
      <c r="D1971">
        <f>COUNTIFS([3]!players[name],A1971,[3]!players[hero_name],B1971)</f>
        <v>1</v>
      </c>
      <c r="E1971">
        <f>COUNTIFS([3]!players[name],A1971,[3]!players[hero_name],B1971, [3]!players[win], 1)</f>
        <v>1</v>
      </c>
      <c r="F1971" s="1">
        <f t="shared" si="30"/>
        <v>1</v>
      </c>
      <c r="G1971" s="2">
        <f>AVERAGEIFS([3]!players[gold_per_min], [3]!players[name],A1971,[3]!players[hero_name],B1971)</f>
        <v>371</v>
      </c>
      <c r="H1971" s="2">
        <f>AVERAGEIFS([3]!players[xp_per_min], [3]!players[name],A1971,[3]!players[hero_name],B1971)</f>
        <v>515</v>
      </c>
    </row>
    <row r="1972" spans="1:8" x14ac:dyDescent="0.3">
      <c r="A1972" t="str">
        <v>Tianming</v>
      </c>
      <c r="B1972" t="str">
        <v>Jakiro</v>
      </c>
      <c r="C1972" t="str" cm="1">
        <f t="array" ref="C1972">_xlfn.XLOOKUP(1,([3]!players[name]=A1972)*([3]!players[hero_name]=B1972),[3]!players[lane_name])</f>
        <v>Soft Support</v>
      </c>
      <c r="D1972">
        <f>COUNTIFS([3]!players[name],A1972,[3]!players[hero_name],B1972)</f>
        <v>2</v>
      </c>
      <c r="E1972">
        <f>COUNTIFS([3]!players[name],A1972,[3]!players[hero_name],B1972, [3]!players[win], 1)</f>
        <v>1</v>
      </c>
      <c r="F1972" s="1">
        <f t="shared" si="30"/>
        <v>0.5</v>
      </c>
      <c r="G1972" s="2">
        <f>AVERAGEIFS([3]!players[gold_per_min], [3]!players[name],A1972,[3]!players[hero_name],B1972)</f>
        <v>341.5</v>
      </c>
      <c r="H1972" s="2">
        <f>AVERAGEIFS([3]!players[xp_per_min], [3]!players[name],A1972,[3]!players[hero_name],B1972)</f>
        <v>428</v>
      </c>
    </row>
    <row r="1973" spans="1:8" x14ac:dyDescent="0.3">
      <c r="A1973" t="str">
        <v>Tianming</v>
      </c>
      <c r="B1973" t="str">
        <v>Enchantress</v>
      </c>
      <c r="C1973" t="str" cm="1">
        <f t="array" ref="C1973">_xlfn.XLOOKUP(1,([3]!players[name]=A1973)*([3]!players[hero_name]=B1973),[3]!players[lane_name])</f>
        <v>Roam</v>
      </c>
      <c r="D1973">
        <f>COUNTIFS([3]!players[name],A1973,[3]!players[hero_name],B1973)</f>
        <v>1</v>
      </c>
      <c r="E1973">
        <f>COUNTIFS([3]!players[name],A1973,[3]!players[hero_name],B1973, [3]!players[win], 1)</f>
        <v>1</v>
      </c>
      <c r="F1973" s="1">
        <f t="shared" si="30"/>
        <v>1</v>
      </c>
      <c r="G1973" s="2">
        <f>AVERAGEIFS([3]!players[gold_per_min], [3]!players[name],A1973,[3]!players[hero_name],B1973)</f>
        <v>349</v>
      </c>
      <c r="H1973" s="2">
        <f>AVERAGEIFS([3]!players[xp_per_min], [3]!players[name],A1973,[3]!players[hero_name],B1973)</f>
        <v>540</v>
      </c>
    </row>
    <row r="1974" spans="1:8" x14ac:dyDescent="0.3">
      <c r="A1974" t="str">
        <v>Tianming</v>
      </c>
      <c r="B1974" t="str">
        <v>Treant Protector</v>
      </c>
      <c r="C1974" t="str" cm="1">
        <f t="array" ref="C1974">_xlfn.XLOOKUP(1,([3]!players[name]=A1974)*([3]!players[hero_name]=B1974),[3]!players[lane_name])</f>
        <v>Roam</v>
      </c>
      <c r="D1974">
        <f>COUNTIFS([3]!players[name],A1974,[3]!players[hero_name],B1974)</f>
        <v>3</v>
      </c>
      <c r="E1974">
        <f>COUNTIFS([3]!players[name],A1974,[3]!players[hero_name],B1974, [3]!players[win], 1)</f>
        <v>1</v>
      </c>
      <c r="F1974" s="1">
        <f t="shared" si="30"/>
        <v>0.33333333333333331</v>
      </c>
      <c r="G1974" s="2">
        <f>AVERAGEIFS([3]!players[gold_per_min], [3]!players[name],A1974,[3]!players[hero_name],B1974)</f>
        <v>252</v>
      </c>
      <c r="H1974" s="2">
        <f>AVERAGEIFS([3]!players[xp_per_min], [3]!players[name],A1974,[3]!players[hero_name],B1974)</f>
        <v>393.33333333333331</v>
      </c>
    </row>
    <row r="1975" spans="1:8" x14ac:dyDescent="0.3">
      <c r="A1975" t="str">
        <v>Tianming</v>
      </c>
      <c r="B1975" t="str">
        <v>Disruptor</v>
      </c>
      <c r="C1975" t="str" cm="1">
        <f t="array" ref="C1975">_xlfn.XLOOKUP(1,([3]!players[name]=A1975)*([3]!players[hero_name]=B1975),[3]!players[lane_name])</f>
        <v>Hard Support</v>
      </c>
      <c r="D1975">
        <f>COUNTIFS([3]!players[name],A1975,[3]!players[hero_name],B1975)</f>
        <v>1</v>
      </c>
      <c r="E1975">
        <f>COUNTIFS([3]!players[name],A1975,[3]!players[hero_name],B1975, [3]!players[win], 1)</f>
        <v>0</v>
      </c>
      <c r="F1975" s="1">
        <f t="shared" si="30"/>
        <v>0</v>
      </c>
      <c r="G1975" s="2">
        <f>AVERAGEIFS([3]!players[gold_per_min], [3]!players[name],A1975,[3]!players[hero_name],B1975)</f>
        <v>295</v>
      </c>
      <c r="H1975" s="2">
        <f>AVERAGEIFS([3]!players[xp_per_min], [3]!players[name],A1975,[3]!players[hero_name],B1975)</f>
        <v>447</v>
      </c>
    </row>
    <row r="1976" spans="1:8" x14ac:dyDescent="0.3">
      <c r="A1976" t="str">
        <v>Tianming</v>
      </c>
      <c r="B1976" t="str">
        <v>Io</v>
      </c>
      <c r="C1976" t="str" cm="1">
        <f t="array" ref="C1976">_xlfn.XLOOKUP(1,([3]!players[name]=A1976)*([3]!players[hero_name]=B1976),[3]!players[lane_name])</f>
        <v>Hard Support</v>
      </c>
      <c r="D1976">
        <f>COUNTIFS([3]!players[name],A1976,[3]!players[hero_name],B1976)</f>
        <v>1</v>
      </c>
      <c r="E1976">
        <f>COUNTIFS([3]!players[name],A1976,[3]!players[hero_name],B1976, [3]!players[win], 1)</f>
        <v>0</v>
      </c>
      <c r="F1976" s="1">
        <f t="shared" si="30"/>
        <v>0</v>
      </c>
      <c r="G1976" s="2">
        <f>AVERAGEIFS([3]!players[gold_per_min], [3]!players[name],A1976,[3]!players[hero_name],B1976)</f>
        <v>169</v>
      </c>
      <c r="H1976" s="2">
        <f>AVERAGEIFS([3]!players[xp_per_min], [3]!players[name],A1976,[3]!players[hero_name],B1976)</f>
        <v>310</v>
      </c>
    </row>
    <row r="1977" spans="1:8" x14ac:dyDescent="0.3">
      <c r="A1977" t="str">
        <v>Tianming</v>
      </c>
      <c r="B1977" t="str">
        <v>Hoodwink</v>
      </c>
      <c r="C1977" t="str" cm="1">
        <f t="array" ref="C1977">_xlfn.XLOOKUP(1,([3]!players[name]=A1977)*([3]!players[hero_name]=B1977),[3]!players[lane_name])</f>
        <v>Hard Support</v>
      </c>
      <c r="D1977">
        <f>COUNTIFS([3]!players[name],A1977,[3]!players[hero_name],B1977)</f>
        <v>2</v>
      </c>
      <c r="E1977">
        <f>COUNTIFS([3]!players[name],A1977,[3]!players[hero_name],B1977, [3]!players[win], 1)</f>
        <v>0</v>
      </c>
      <c r="F1977" s="1">
        <f t="shared" si="30"/>
        <v>0</v>
      </c>
      <c r="G1977" s="2">
        <f>AVERAGEIFS([3]!players[gold_per_min], [3]!players[name],A1977,[3]!players[hero_name],B1977)</f>
        <v>326.5</v>
      </c>
      <c r="H1977" s="2">
        <f>AVERAGEIFS([3]!players[xp_per_min], [3]!players[name],A1977,[3]!players[hero_name],B1977)</f>
        <v>375</v>
      </c>
    </row>
    <row r="1978" spans="1:8" x14ac:dyDescent="0.3">
      <c r="A1978" t="str">
        <v>Tianming</v>
      </c>
      <c r="B1978" t="str">
        <v>Phoenix</v>
      </c>
      <c r="C1978" t="str" cm="1">
        <f t="array" ref="C1978">_xlfn.XLOOKUP(1,([3]!players[name]=A1978)*([3]!players[hero_name]=B1978),[3]!players[lane_name])</f>
        <v>Soft Support</v>
      </c>
      <c r="D1978">
        <f>COUNTIFS([3]!players[name],A1978,[3]!players[hero_name],B1978)</f>
        <v>1</v>
      </c>
      <c r="E1978">
        <f>COUNTIFS([3]!players[name],A1978,[3]!players[hero_name],B1978, [3]!players[win], 1)</f>
        <v>1</v>
      </c>
      <c r="F1978" s="1">
        <f t="shared" si="30"/>
        <v>1</v>
      </c>
      <c r="G1978" s="2">
        <f>AVERAGEIFS([3]!players[gold_per_min], [3]!players[name],A1978,[3]!players[hero_name],B1978)</f>
        <v>429</v>
      </c>
      <c r="H1978" s="2">
        <f>AVERAGEIFS([3]!players[xp_per_min], [3]!players[name],A1978,[3]!players[hero_name],B1978)</f>
        <v>539</v>
      </c>
    </row>
    <row r="1979" spans="1:8" x14ac:dyDescent="0.3">
      <c r="A1979" t="str">
        <v>Tianming</v>
      </c>
      <c r="B1979" t="str">
        <v>Tusk</v>
      </c>
      <c r="C1979" t="str" cm="1">
        <f t="array" ref="C1979">_xlfn.XLOOKUP(1,([3]!players[name]=A1979)*([3]!players[hero_name]=B1979),[3]!players[lane_name])</f>
        <v>Hard Support</v>
      </c>
      <c r="D1979">
        <f>COUNTIFS([3]!players[name],A1979,[3]!players[hero_name],B1979)</f>
        <v>1</v>
      </c>
      <c r="E1979">
        <f>COUNTIFS([3]!players[name],A1979,[3]!players[hero_name],B1979, [3]!players[win], 1)</f>
        <v>1</v>
      </c>
      <c r="F1979" s="1">
        <f t="shared" si="30"/>
        <v>1</v>
      </c>
      <c r="G1979" s="2">
        <f>AVERAGEIFS([3]!players[gold_per_min], [3]!players[name],A1979,[3]!players[hero_name],B1979)</f>
        <v>343</v>
      </c>
      <c r="H1979" s="2">
        <f>AVERAGEIFS([3]!players[xp_per_min], [3]!players[name],A1979,[3]!players[hero_name],B1979)</f>
        <v>614</v>
      </c>
    </row>
    <row r="1980" spans="1:8" x14ac:dyDescent="0.3">
      <c r="A1980" t="str">
        <v>Tianming</v>
      </c>
      <c r="B1980" t="str">
        <v>Rubick</v>
      </c>
      <c r="C1980" t="str" cm="1">
        <f t="array" ref="C1980">_xlfn.XLOOKUP(1,([3]!players[name]=A1980)*([3]!players[hero_name]=B1980),[3]!players[lane_name])</f>
        <v>Roam</v>
      </c>
      <c r="D1980">
        <f>COUNTIFS([3]!players[name],A1980,[3]!players[hero_name],B1980)</f>
        <v>1</v>
      </c>
      <c r="E1980">
        <f>COUNTIFS([3]!players[name],A1980,[3]!players[hero_name],B1980, [3]!players[win], 1)</f>
        <v>0</v>
      </c>
      <c r="F1980" s="1">
        <f t="shared" si="30"/>
        <v>0</v>
      </c>
      <c r="G1980" s="2">
        <f>AVERAGEIFS([3]!players[gold_per_min], [3]!players[name],A1980,[3]!players[hero_name],B1980)</f>
        <v>336</v>
      </c>
      <c r="H1980" s="2">
        <f>AVERAGEIFS([3]!players[xp_per_min], [3]!players[name],A1980,[3]!players[hero_name],B1980)</f>
        <v>497</v>
      </c>
    </row>
    <row r="1981" spans="1:8" x14ac:dyDescent="0.3">
      <c r="A1981" t="str">
        <v>Tiger</v>
      </c>
      <c r="B1981" t="str">
        <v>Batrider</v>
      </c>
      <c r="C1981" t="str" cm="1">
        <f t="array" ref="C1981">_xlfn.XLOOKUP(1,([3]!players[name]=A1981)*([3]!players[hero_name]=B1981),[3]!players[lane_name])</f>
        <v>Roam</v>
      </c>
      <c r="D1981">
        <f>COUNTIFS([3]!players[name],A1981,[3]!players[hero_name],B1981)</f>
        <v>1</v>
      </c>
      <c r="E1981">
        <f>COUNTIFS([3]!players[name],A1981,[3]!players[hero_name],B1981, [3]!players[win], 1)</f>
        <v>0</v>
      </c>
      <c r="F1981" s="1">
        <f t="shared" si="30"/>
        <v>0</v>
      </c>
      <c r="G1981" s="2">
        <f>AVERAGEIFS([3]!players[gold_per_min], [3]!players[name],A1981,[3]!players[hero_name],B1981)</f>
        <v>343</v>
      </c>
      <c r="H1981" s="2">
        <f>AVERAGEIFS([3]!players[xp_per_min], [3]!players[name],A1981,[3]!players[hero_name],B1981)</f>
        <v>504</v>
      </c>
    </row>
    <row r="1982" spans="1:8" x14ac:dyDescent="0.3">
      <c r="A1982" t="str">
        <v>Tiger</v>
      </c>
      <c r="B1982" t="str">
        <v>Venomancer</v>
      </c>
      <c r="C1982" t="str" cm="1">
        <f t="array" ref="C1982">_xlfn.XLOOKUP(1,([3]!players[name]=A1982)*([3]!players[hero_name]=B1982),[3]!players[lane_name])</f>
        <v>Roam</v>
      </c>
      <c r="D1982">
        <f>COUNTIFS([3]!players[name],A1982,[3]!players[hero_name],B1982)</f>
        <v>5</v>
      </c>
      <c r="E1982">
        <f>COUNTIFS([3]!players[name],A1982,[3]!players[hero_name],B1982, [3]!players[win], 1)</f>
        <v>3</v>
      </c>
      <c r="F1982" s="1">
        <f t="shared" si="30"/>
        <v>0.6</v>
      </c>
      <c r="G1982" s="2">
        <f>AVERAGEIFS([3]!players[gold_per_min], [3]!players[name],A1982,[3]!players[hero_name],B1982)</f>
        <v>458</v>
      </c>
      <c r="H1982" s="2">
        <f>AVERAGEIFS([3]!players[xp_per_min], [3]!players[name],A1982,[3]!players[hero_name],B1982)</f>
        <v>638.20000000000005</v>
      </c>
    </row>
    <row r="1983" spans="1:8" x14ac:dyDescent="0.3">
      <c r="A1983" t="str">
        <v>Tiger</v>
      </c>
      <c r="B1983" t="str">
        <v>Treant Protector</v>
      </c>
      <c r="C1983" t="str" cm="1">
        <f t="array" ref="C1983">_xlfn.XLOOKUP(1,([3]!players[name]=A1983)*([3]!players[hero_name]=B1983),[3]!players[lane_name])</f>
        <v>Soft Support</v>
      </c>
      <c r="D1983">
        <f>COUNTIFS([3]!players[name],A1983,[3]!players[hero_name],B1983)</f>
        <v>3</v>
      </c>
      <c r="E1983">
        <f>COUNTIFS([3]!players[name],A1983,[3]!players[hero_name],B1983, [3]!players[win], 1)</f>
        <v>1</v>
      </c>
      <c r="F1983" s="1">
        <f t="shared" si="30"/>
        <v>0.33333333333333331</v>
      </c>
      <c r="G1983" s="2">
        <f>AVERAGEIFS([3]!players[gold_per_min], [3]!players[name],A1983,[3]!players[hero_name],B1983)</f>
        <v>328.33333333333331</v>
      </c>
      <c r="H1983" s="2">
        <f>AVERAGEIFS([3]!players[xp_per_min], [3]!players[name],A1983,[3]!players[hero_name],B1983)</f>
        <v>476.66666666666669</v>
      </c>
    </row>
    <row r="1984" spans="1:8" x14ac:dyDescent="0.3">
      <c r="A1984" t="str">
        <v>Tiger</v>
      </c>
      <c r="B1984" t="str">
        <v>Clockwerk</v>
      </c>
      <c r="C1984" t="str" cm="1">
        <f t="array" ref="C1984">_xlfn.XLOOKUP(1,([3]!players[name]=A1984)*([3]!players[hero_name]=B1984),[3]!players[lane_name])</f>
        <v>Roam</v>
      </c>
      <c r="D1984">
        <f>COUNTIFS([3]!players[name],A1984,[3]!players[hero_name],B1984)</f>
        <v>9</v>
      </c>
      <c r="E1984">
        <f>COUNTIFS([3]!players[name],A1984,[3]!players[hero_name],B1984, [3]!players[win], 1)</f>
        <v>2</v>
      </c>
      <c r="F1984" s="1">
        <f t="shared" si="30"/>
        <v>0.22222222222222221</v>
      </c>
      <c r="G1984" s="2">
        <f>AVERAGEIFS([3]!players[gold_per_min], [3]!players[name],A1984,[3]!players[hero_name],B1984)</f>
        <v>294.33333333333331</v>
      </c>
      <c r="H1984" s="2">
        <f>AVERAGEIFS([3]!players[xp_per_min], [3]!players[name],A1984,[3]!players[hero_name],B1984)</f>
        <v>408.77777777777777</v>
      </c>
    </row>
    <row r="1985" spans="1:8" x14ac:dyDescent="0.3">
      <c r="A1985" t="str">
        <v>Tiger</v>
      </c>
      <c r="B1985" t="str">
        <v>Phoenix</v>
      </c>
      <c r="C1985" t="str" cm="1">
        <f t="array" ref="C1985">_xlfn.XLOOKUP(1,([3]!players[name]=A1985)*([3]!players[hero_name]=B1985),[3]!players[lane_name])</f>
        <v>Soft Support</v>
      </c>
      <c r="D1985">
        <f>COUNTIFS([3]!players[name],A1985,[3]!players[hero_name],B1985)</f>
        <v>8</v>
      </c>
      <c r="E1985">
        <f>COUNTIFS([3]!players[name],A1985,[3]!players[hero_name],B1985, [3]!players[win], 1)</f>
        <v>7</v>
      </c>
      <c r="F1985" s="1">
        <f t="shared" si="30"/>
        <v>0.875</v>
      </c>
      <c r="G1985" s="2">
        <f>AVERAGEIFS([3]!players[gold_per_min], [3]!players[name],A1985,[3]!players[hero_name],B1985)</f>
        <v>419.5</v>
      </c>
      <c r="H1985" s="2">
        <f>AVERAGEIFS([3]!players[xp_per_min], [3]!players[name],A1985,[3]!players[hero_name],B1985)</f>
        <v>588.125</v>
      </c>
    </row>
    <row r="1986" spans="1:8" x14ac:dyDescent="0.3">
      <c r="A1986" t="str">
        <v>Tiger</v>
      </c>
      <c r="B1986" t="str">
        <v>Tusk</v>
      </c>
      <c r="C1986" t="str" cm="1">
        <f t="array" ref="C1986">_xlfn.XLOOKUP(1,([3]!players[name]=A1986)*([3]!players[hero_name]=B1986),[3]!players[lane_name])</f>
        <v>Soft Support</v>
      </c>
      <c r="D1986">
        <f>COUNTIFS([3]!players[name],A1986,[3]!players[hero_name],B1986)</f>
        <v>4</v>
      </c>
      <c r="E1986">
        <f>COUNTIFS([3]!players[name],A1986,[3]!players[hero_name],B1986, [3]!players[win], 1)</f>
        <v>3</v>
      </c>
      <c r="F1986" s="1">
        <f t="shared" si="30"/>
        <v>0.75</v>
      </c>
      <c r="G1986" s="2">
        <f>AVERAGEIFS([3]!players[gold_per_min], [3]!players[name],A1986,[3]!players[hero_name],B1986)</f>
        <v>375</v>
      </c>
      <c r="H1986" s="2">
        <f>AVERAGEIFS([3]!players[xp_per_min], [3]!players[name],A1986,[3]!players[hero_name],B1986)</f>
        <v>568.5</v>
      </c>
    </row>
    <row r="1987" spans="1:8" x14ac:dyDescent="0.3">
      <c r="A1987" t="str">
        <v>Tiger</v>
      </c>
      <c r="B1987" t="str">
        <v>Ringmaster</v>
      </c>
      <c r="C1987" t="str" cm="1">
        <f t="array" ref="C1987">_xlfn.XLOOKUP(1,([3]!players[name]=A1987)*([3]!players[hero_name]=B1987),[3]!players[lane_name])</f>
        <v>Soft Support</v>
      </c>
      <c r="D1987">
        <f>COUNTIFS([3]!players[name],A1987,[3]!players[hero_name],B1987)</f>
        <v>2</v>
      </c>
      <c r="E1987">
        <f>COUNTIFS([3]!players[name],A1987,[3]!players[hero_name],B1987, [3]!players[win], 1)</f>
        <v>2</v>
      </c>
      <c r="F1987" s="1">
        <f t="shared" ref="F1987:F2050" si="31">E1987/D1987</f>
        <v>1</v>
      </c>
      <c r="G1987" s="2">
        <f>AVERAGEIFS([3]!players[gold_per_min], [3]!players[name],A1987,[3]!players[hero_name],B1987)</f>
        <v>382</v>
      </c>
      <c r="H1987" s="2">
        <f>AVERAGEIFS([3]!players[xp_per_min], [3]!players[name],A1987,[3]!players[hero_name],B1987)</f>
        <v>535.5</v>
      </c>
    </row>
    <row r="1988" spans="1:8" x14ac:dyDescent="0.3">
      <c r="A1988" t="str">
        <v>Tiger</v>
      </c>
      <c r="B1988" t="str">
        <v>Warlock</v>
      </c>
      <c r="C1988" t="str" cm="1">
        <f t="array" ref="C1988">_xlfn.XLOOKUP(1,([3]!players[name]=A1988)*([3]!players[hero_name]=B1988),[3]!players[lane_name])</f>
        <v>Roam</v>
      </c>
      <c r="D1988">
        <f>COUNTIFS([3]!players[name],A1988,[3]!players[hero_name],B1988)</f>
        <v>1</v>
      </c>
      <c r="E1988">
        <f>COUNTIFS([3]!players[name],A1988,[3]!players[hero_name],B1988, [3]!players[win], 1)</f>
        <v>0</v>
      </c>
      <c r="F1988" s="1">
        <f t="shared" si="31"/>
        <v>0</v>
      </c>
      <c r="G1988" s="2">
        <f>AVERAGEIFS([3]!players[gold_per_min], [3]!players[name],A1988,[3]!players[hero_name],B1988)</f>
        <v>398</v>
      </c>
      <c r="H1988" s="2">
        <f>AVERAGEIFS([3]!players[xp_per_min], [3]!players[name],A1988,[3]!players[hero_name],B1988)</f>
        <v>400</v>
      </c>
    </row>
    <row r="1989" spans="1:8" x14ac:dyDescent="0.3">
      <c r="A1989" t="str">
        <v>Tiger</v>
      </c>
      <c r="B1989" t="str">
        <v>Shadow Demon</v>
      </c>
      <c r="C1989" t="str" cm="1">
        <f t="array" ref="C1989">_xlfn.XLOOKUP(1,([3]!players[name]=A1989)*([3]!players[hero_name]=B1989),[3]!players[lane_name])</f>
        <v>Hard Support</v>
      </c>
      <c r="D1989">
        <f>COUNTIFS([3]!players[name],A1989,[3]!players[hero_name],B1989)</f>
        <v>1</v>
      </c>
      <c r="E1989">
        <f>COUNTIFS([3]!players[name],A1989,[3]!players[hero_name],B1989, [3]!players[win], 1)</f>
        <v>1</v>
      </c>
      <c r="F1989" s="1">
        <f t="shared" si="31"/>
        <v>1</v>
      </c>
      <c r="G1989" s="2">
        <f>AVERAGEIFS([3]!players[gold_per_min], [3]!players[name],A1989,[3]!players[hero_name],B1989)</f>
        <v>366</v>
      </c>
      <c r="H1989" s="2">
        <f>AVERAGEIFS([3]!players[xp_per_min], [3]!players[name],A1989,[3]!players[hero_name],B1989)</f>
        <v>509</v>
      </c>
    </row>
    <row r="1990" spans="1:8" x14ac:dyDescent="0.3">
      <c r="A1990" t="str">
        <v>Tiger</v>
      </c>
      <c r="B1990" t="str">
        <v>Jakiro</v>
      </c>
      <c r="C1990" t="str" cm="1">
        <f t="array" ref="C1990">_xlfn.XLOOKUP(1,([3]!players[name]=A1990)*([3]!players[hero_name]=B1990),[3]!players[lane_name])</f>
        <v>Soft Support</v>
      </c>
      <c r="D1990">
        <f>COUNTIFS([3]!players[name],A1990,[3]!players[hero_name],B1990)</f>
        <v>2</v>
      </c>
      <c r="E1990">
        <f>COUNTIFS([3]!players[name],A1990,[3]!players[hero_name],B1990, [3]!players[win], 1)</f>
        <v>1</v>
      </c>
      <c r="F1990" s="1">
        <f t="shared" si="31"/>
        <v>0.5</v>
      </c>
      <c r="G1990" s="2">
        <f>AVERAGEIFS([3]!players[gold_per_min], [3]!players[name],A1990,[3]!players[hero_name],B1990)</f>
        <v>441.5</v>
      </c>
      <c r="H1990" s="2">
        <f>AVERAGEIFS([3]!players[xp_per_min], [3]!players[name],A1990,[3]!players[hero_name],B1990)</f>
        <v>547.5</v>
      </c>
    </row>
    <row r="1991" spans="1:8" x14ac:dyDescent="0.3">
      <c r="A1991" t="str">
        <v>Tiger</v>
      </c>
      <c r="B1991" t="str">
        <v>Enchantress</v>
      </c>
      <c r="C1991" t="str" cm="1">
        <f t="array" ref="C1991">_xlfn.XLOOKUP(1,([3]!players[name]=A1991)*([3]!players[hero_name]=B1991),[3]!players[lane_name])</f>
        <v>Roam</v>
      </c>
      <c r="D1991">
        <f>COUNTIFS([3]!players[name],A1991,[3]!players[hero_name],B1991)</f>
        <v>1</v>
      </c>
      <c r="E1991">
        <f>COUNTIFS([3]!players[name],A1991,[3]!players[hero_name],B1991, [3]!players[win], 1)</f>
        <v>0</v>
      </c>
      <c r="F1991" s="1">
        <f t="shared" si="31"/>
        <v>0</v>
      </c>
      <c r="G1991" s="2">
        <f>AVERAGEIFS([3]!players[gold_per_min], [3]!players[name],A1991,[3]!players[hero_name],B1991)</f>
        <v>311</v>
      </c>
      <c r="H1991" s="2">
        <f>AVERAGEIFS([3]!players[xp_per_min], [3]!players[name],A1991,[3]!players[hero_name],B1991)</f>
        <v>358</v>
      </c>
    </row>
    <row r="1992" spans="1:8" x14ac:dyDescent="0.3">
      <c r="A1992" t="str">
        <v>Till The End</v>
      </c>
      <c r="B1992" t="str">
        <v>Venomancer</v>
      </c>
      <c r="C1992" t="str" cm="1">
        <f t="array" ref="C1992">_xlfn.XLOOKUP(1,([3]!players[name]=A1992)*([3]!players[hero_name]=B1992),[3]!players[lane_name])</f>
        <v>Soft Support</v>
      </c>
      <c r="D1992">
        <f>COUNTIFS([3]!players[name],A1992,[3]!players[hero_name],B1992)</f>
        <v>4</v>
      </c>
      <c r="E1992">
        <f>COUNTIFS([3]!players[name],A1992,[3]!players[hero_name],B1992, [3]!players[win], 1)</f>
        <v>2</v>
      </c>
      <c r="F1992" s="1">
        <f t="shared" si="31"/>
        <v>0.5</v>
      </c>
      <c r="G1992" s="2">
        <f>AVERAGEIFS([3]!players[gold_per_min], [3]!players[name],A1992,[3]!players[hero_name],B1992)</f>
        <v>406</v>
      </c>
      <c r="H1992" s="2">
        <f>AVERAGEIFS([3]!players[xp_per_min], [3]!players[name],A1992,[3]!players[hero_name],B1992)</f>
        <v>457.75</v>
      </c>
    </row>
    <row r="1993" spans="1:8" x14ac:dyDescent="0.3">
      <c r="A1993" t="str">
        <v>Till The End</v>
      </c>
      <c r="B1993" t="str">
        <v>Rubick</v>
      </c>
      <c r="C1993" t="str" cm="1">
        <f t="array" ref="C1993">_xlfn.XLOOKUP(1,([3]!players[name]=A1993)*([3]!players[hero_name]=B1993),[3]!players[lane_name])</f>
        <v>Hard Support</v>
      </c>
      <c r="D1993">
        <f>COUNTIFS([3]!players[name],A1993,[3]!players[hero_name],B1993)</f>
        <v>8</v>
      </c>
      <c r="E1993">
        <f>COUNTIFS([3]!players[name],A1993,[3]!players[hero_name],B1993, [3]!players[win], 1)</f>
        <v>2</v>
      </c>
      <c r="F1993" s="1">
        <f t="shared" si="31"/>
        <v>0.25</v>
      </c>
      <c r="G1993" s="2">
        <f>AVERAGEIFS([3]!players[gold_per_min], [3]!players[name],A1993,[3]!players[hero_name],B1993)</f>
        <v>297.75</v>
      </c>
      <c r="H1993" s="2">
        <f>AVERAGEIFS([3]!players[xp_per_min], [3]!players[name],A1993,[3]!players[hero_name],B1993)</f>
        <v>385.875</v>
      </c>
    </row>
    <row r="1994" spans="1:8" x14ac:dyDescent="0.3">
      <c r="A1994" t="str">
        <v>Till The End</v>
      </c>
      <c r="B1994" t="str">
        <v>Disruptor</v>
      </c>
      <c r="C1994" t="str" cm="1">
        <f t="array" ref="C1994">_xlfn.XLOOKUP(1,([3]!players[name]=A1994)*([3]!players[hero_name]=B1994),[3]!players[lane_name])</f>
        <v>Hard Support</v>
      </c>
      <c r="D1994">
        <f>COUNTIFS([3]!players[name],A1994,[3]!players[hero_name],B1994)</f>
        <v>6</v>
      </c>
      <c r="E1994">
        <f>COUNTIFS([3]!players[name],A1994,[3]!players[hero_name],B1994, [3]!players[win], 1)</f>
        <v>3</v>
      </c>
      <c r="F1994" s="1">
        <f t="shared" si="31"/>
        <v>0.5</v>
      </c>
      <c r="G1994" s="2">
        <f>AVERAGEIFS([3]!players[gold_per_min], [3]!players[name],A1994,[3]!players[hero_name],B1994)</f>
        <v>296.5</v>
      </c>
      <c r="H1994" s="2">
        <f>AVERAGEIFS([3]!players[xp_per_min], [3]!players[name],A1994,[3]!players[hero_name],B1994)</f>
        <v>466.83333333333331</v>
      </c>
    </row>
    <row r="1995" spans="1:8" x14ac:dyDescent="0.3">
      <c r="A1995" t="str">
        <v>Till The End</v>
      </c>
      <c r="B1995" t="str">
        <v>Phoenix</v>
      </c>
      <c r="C1995" t="str" cm="1">
        <f t="array" ref="C1995">_xlfn.XLOOKUP(1,([3]!players[name]=A1995)*([3]!players[hero_name]=B1995),[3]!players[lane_name])</f>
        <v>Soft Support</v>
      </c>
      <c r="D1995">
        <f>COUNTIFS([3]!players[name],A1995,[3]!players[hero_name],B1995)</f>
        <v>4</v>
      </c>
      <c r="E1995">
        <f>COUNTIFS([3]!players[name],A1995,[3]!players[hero_name],B1995, [3]!players[win], 1)</f>
        <v>1</v>
      </c>
      <c r="F1995" s="1">
        <f t="shared" si="31"/>
        <v>0.25</v>
      </c>
      <c r="G1995" s="2">
        <f>AVERAGEIFS([3]!players[gold_per_min], [3]!players[name],A1995,[3]!players[hero_name],B1995)</f>
        <v>351.25</v>
      </c>
      <c r="H1995" s="2">
        <f>AVERAGEIFS([3]!players[xp_per_min], [3]!players[name],A1995,[3]!players[hero_name],B1995)</f>
        <v>454</v>
      </c>
    </row>
    <row r="1996" spans="1:8" x14ac:dyDescent="0.3">
      <c r="A1996" t="str">
        <v>Till The End</v>
      </c>
      <c r="B1996" t="str">
        <v>Winter Wyvern</v>
      </c>
      <c r="C1996" t="str" cm="1">
        <f t="array" ref="C1996">_xlfn.XLOOKUP(1,([3]!players[name]=A1996)*([3]!players[hero_name]=B1996),[3]!players[lane_name])</f>
        <v>Roam</v>
      </c>
      <c r="D1996">
        <f>COUNTIFS([3]!players[name],A1996,[3]!players[hero_name],B1996)</f>
        <v>8</v>
      </c>
      <c r="E1996">
        <f>COUNTIFS([3]!players[name],A1996,[3]!players[hero_name],B1996, [3]!players[win], 1)</f>
        <v>4</v>
      </c>
      <c r="F1996" s="1">
        <f t="shared" si="31"/>
        <v>0.5</v>
      </c>
      <c r="G1996" s="2">
        <f>AVERAGEIFS([3]!players[gold_per_min], [3]!players[name],A1996,[3]!players[hero_name],B1996)</f>
        <v>316.875</v>
      </c>
      <c r="H1996" s="2">
        <f>AVERAGEIFS([3]!players[xp_per_min], [3]!players[name],A1996,[3]!players[hero_name],B1996)</f>
        <v>438.5</v>
      </c>
    </row>
    <row r="1997" spans="1:8" x14ac:dyDescent="0.3">
      <c r="A1997" t="str">
        <v>Till The End</v>
      </c>
      <c r="B1997" t="str">
        <v>Chen</v>
      </c>
      <c r="C1997" t="str" cm="1">
        <f t="array" ref="C1997">_xlfn.XLOOKUP(1,([3]!players[name]=A1997)*([3]!players[hero_name]=B1997),[3]!players[lane_name])</f>
        <v>Roam</v>
      </c>
      <c r="D1997">
        <f>COUNTIFS([3]!players[name],A1997,[3]!players[hero_name],B1997)</f>
        <v>10</v>
      </c>
      <c r="E1997">
        <f>COUNTIFS([3]!players[name],A1997,[3]!players[hero_name],B1997, [3]!players[win], 1)</f>
        <v>7</v>
      </c>
      <c r="F1997" s="1">
        <f t="shared" si="31"/>
        <v>0.7</v>
      </c>
      <c r="G1997" s="2">
        <f>AVERAGEIFS([3]!players[gold_per_min], [3]!players[name],A1997,[3]!players[hero_name],B1997)</f>
        <v>366.2</v>
      </c>
      <c r="H1997" s="2">
        <f>AVERAGEIFS([3]!players[xp_per_min], [3]!players[name],A1997,[3]!players[hero_name],B1997)</f>
        <v>468.4</v>
      </c>
    </row>
    <row r="1998" spans="1:8" x14ac:dyDescent="0.3">
      <c r="A1998" t="str">
        <v>Till The End</v>
      </c>
      <c r="B1998" t="str">
        <v>Tusk</v>
      </c>
      <c r="C1998" t="str" cm="1">
        <f t="array" ref="C1998">_xlfn.XLOOKUP(1,([3]!players[name]=A1998)*([3]!players[hero_name]=B1998),[3]!players[lane_name])</f>
        <v>Soft Support</v>
      </c>
      <c r="D1998">
        <f>COUNTIFS([3]!players[name],A1998,[3]!players[hero_name],B1998)</f>
        <v>2</v>
      </c>
      <c r="E1998">
        <f>COUNTIFS([3]!players[name],A1998,[3]!players[hero_name],B1998, [3]!players[win], 1)</f>
        <v>1</v>
      </c>
      <c r="F1998" s="1">
        <f t="shared" si="31"/>
        <v>0.5</v>
      </c>
      <c r="G1998" s="2">
        <f>AVERAGEIFS([3]!players[gold_per_min], [3]!players[name],A1998,[3]!players[hero_name],B1998)</f>
        <v>342</v>
      </c>
      <c r="H1998" s="2">
        <f>AVERAGEIFS([3]!players[xp_per_min], [3]!players[name],A1998,[3]!players[hero_name],B1998)</f>
        <v>513.5</v>
      </c>
    </row>
    <row r="1999" spans="1:8" x14ac:dyDescent="0.3">
      <c r="A1999" t="str">
        <v>Till The End</v>
      </c>
      <c r="B1999" t="str">
        <v>Grimstroke</v>
      </c>
      <c r="C1999" t="str" cm="1">
        <f t="array" ref="C1999">_xlfn.XLOOKUP(1,([3]!players[name]=A1999)*([3]!players[hero_name]=B1999),[3]!players[lane_name])</f>
        <v>Soft Support</v>
      </c>
      <c r="D1999">
        <f>COUNTIFS([3]!players[name],A1999,[3]!players[hero_name],B1999)</f>
        <v>4</v>
      </c>
      <c r="E1999">
        <f>COUNTIFS([3]!players[name],A1999,[3]!players[hero_name],B1999, [3]!players[win], 1)</f>
        <v>3</v>
      </c>
      <c r="F1999" s="1">
        <f t="shared" si="31"/>
        <v>0.75</v>
      </c>
      <c r="G1999" s="2">
        <f>AVERAGEIFS([3]!players[gold_per_min], [3]!players[name],A1999,[3]!players[hero_name],B1999)</f>
        <v>333.75</v>
      </c>
      <c r="H1999" s="2">
        <f>AVERAGEIFS([3]!players[xp_per_min], [3]!players[name],A1999,[3]!players[hero_name],B1999)</f>
        <v>465.5</v>
      </c>
    </row>
    <row r="2000" spans="1:8" x14ac:dyDescent="0.3">
      <c r="A2000" t="str">
        <v>Till The End</v>
      </c>
      <c r="B2000" t="str">
        <v>Ancient Apparition</v>
      </c>
      <c r="C2000" t="str" cm="1">
        <f t="array" ref="C2000">_xlfn.XLOOKUP(1,([3]!players[name]=A2000)*([3]!players[hero_name]=B2000),[3]!players[lane_name])</f>
        <v>Soft Support</v>
      </c>
      <c r="D2000">
        <f>COUNTIFS([3]!players[name],A2000,[3]!players[hero_name],B2000)</f>
        <v>1</v>
      </c>
      <c r="E2000">
        <f>COUNTIFS([3]!players[name],A2000,[3]!players[hero_name],B2000, [3]!players[win], 1)</f>
        <v>1</v>
      </c>
      <c r="F2000" s="1">
        <f t="shared" si="31"/>
        <v>1</v>
      </c>
      <c r="G2000" s="2">
        <f>AVERAGEIFS([3]!players[gold_per_min], [3]!players[name],A2000,[3]!players[hero_name],B2000)</f>
        <v>344</v>
      </c>
      <c r="H2000" s="2">
        <f>AVERAGEIFS([3]!players[xp_per_min], [3]!players[name],A2000,[3]!players[hero_name],B2000)</f>
        <v>445</v>
      </c>
    </row>
    <row r="2001" spans="1:8" x14ac:dyDescent="0.3">
      <c r="A2001" t="str">
        <v>Till The End</v>
      </c>
      <c r="B2001" t="str">
        <v>Silencer</v>
      </c>
      <c r="C2001" t="str" cm="1">
        <f t="array" ref="C2001">_xlfn.XLOOKUP(1,([3]!players[name]=A2001)*([3]!players[hero_name]=B2001),[3]!players[lane_name])</f>
        <v>Soft Support</v>
      </c>
      <c r="D2001">
        <f>COUNTIFS([3]!players[name],A2001,[3]!players[hero_name],B2001)</f>
        <v>2</v>
      </c>
      <c r="E2001">
        <f>COUNTIFS([3]!players[name],A2001,[3]!players[hero_name],B2001, [3]!players[win], 1)</f>
        <v>1</v>
      </c>
      <c r="F2001" s="1">
        <f t="shared" si="31"/>
        <v>0.5</v>
      </c>
      <c r="G2001" s="2">
        <f>AVERAGEIFS([3]!players[gold_per_min], [3]!players[name],A2001,[3]!players[hero_name],B2001)</f>
        <v>340</v>
      </c>
      <c r="H2001" s="2">
        <f>AVERAGEIFS([3]!players[xp_per_min], [3]!players[name],A2001,[3]!players[hero_name],B2001)</f>
        <v>481</v>
      </c>
    </row>
    <row r="2002" spans="1:8" x14ac:dyDescent="0.3">
      <c r="A2002" t="str">
        <v>tOfu</v>
      </c>
      <c r="B2002" t="str">
        <v>Phoenix</v>
      </c>
      <c r="C2002" t="str" cm="1">
        <f t="array" ref="C2002">_xlfn.XLOOKUP(1,([3]!players[name]=A2002)*([3]!players[hero_name]=B2002),[3]!players[lane_name])</f>
        <v>Roam</v>
      </c>
      <c r="D2002">
        <f>COUNTIFS([3]!players[name],A2002,[3]!players[hero_name],B2002)</f>
        <v>9</v>
      </c>
      <c r="E2002">
        <f>COUNTIFS([3]!players[name],A2002,[3]!players[hero_name],B2002, [3]!players[win], 1)</f>
        <v>6</v>
      </c>
      <c r="F2002" s="1">
        <f t="shared" si="31"/>
        <v>0.66666666666666663</v>
      </c>
      <c r="G2002" s="2">
        <f>AVERAGEIFS([3]!players[gold_per_min], [3]!players[name],A2002,[3]!players[hero_name],B2002)</f>
        <v>423.33333333333331</v>
      </c>
      <c r="H2002" s="2">
        <f>AVERAGEIFS([3]!players[xp_per_min], [3]!players[name],A2002,[3]!players[hero_name],B2002)</f>
        <v>564.44444444444446</v>
      </c>
    </row>
    <row r="2003" spans="1:8" x14ac:dyDescent="0.3">
      <c r="A2003" t="str">
        <v>tOfu</v>
      </c>
      <c r="B2003" t="str">
        <v>Treant Protector</v>
      </c>
      <c r="C2003" t="str" cm="1">
        <f t="array" ref="C2003">_xlfn.XLOOKUP(1,([3]!players[name]=A2003)*([3]!players[hero_name]=B2003),[3]!players[lane_name])</f>
        <v>Hard Support</v>
      </c>
      <c r="D2003">
        <f>COUNTIFS([3]!players[name],A2003,[3]!players[hero_name],B2003)</f>
        <v>2</v>
      </c>
      <c r="E2003">
        <f>COUNTIFS([3]!players[name],A2003,[3]!players[hero_name],B2003, [3]!players[win], 1)</f>
        <v>2</v>
      </c>
      <c r="F2003" s="1">
        <f t="shared" si="31"/>
        <v>1</v>
      </c>
      <c r="G2003" s="2">
        <f>AVERAGEIFS([3]!players[gold_per_min], [3]!players[name],A2003,[3]!players[hero_name],B2003)</f>
        <v>342.5</v>
      </c>
      <c r="H2003" s="2">
        <f>AVERAGEIFS([3]!players[xp_per_min], [3]!players[name],A2003,[3]!players[hero_name],B2003)</f>
        <v>497.5</v>
      </c>
    </row>
    <row r="2004" spans="1:8" x14ac:dyDescent="0.3">
      <c r="A2004" t="str">
        <v>tOfu</v>
      </c>
      <c r="B2004" t="str">
        <v>Largo</v>
      </c>
      <c r="C2004" t="str" cm="1">
        <f t="array" ref="C2004">_xlfn.XLOOKUP(1,([3]!players[name]=A2004)*([3]!players[hero_name]=B2004),[3]!players[lane_name])</f>
        <v>Roam</v>
      </c>
      <c r="D2004">
        <f>COUNTIFS([3]!players[name],A2004,[3]!players[hero_name],B2004)</f>
        <v>2</v>
      </c>
      <c r="E2004">
        <f>COUNTIFS([3]!players[name],A2004,[3]!players[hero_name],B2004, [3]!players[win], 1)</f>
        <v>1</v>
      </c>
      <c r="F2004" s="1">
        <f t="shared" si="31"/>
        <v>0.5</v>
      </c>
      <c r="G2004" s="2">
        <f>AVERAGEIFS([3]!players[gold_per_min], [3]!players[name],A2004,[3]!players[hero_name],B2004)</f>
        <v>307.5</v>
      </c>
      <c r="H2004" s="2">
        <f>AVERAGEIFS([3]!players[xp_per_min], [3]!players[name],A2004,[3]!players[hero_name],B2004)</f>
        <v>482.5</v>
      </c>
    </row>
    <row r="2005" spans="1:8" x14ac:dyDescent="0.3">
      <c r="A2005" t="str">
        <v>tOfu</v>
      </c>
      <c r="B2005" t="str">
        <v>Marci</v>
      </c>
      <c r="C2005" t="str" cm="1">
        <f t="array" ref="C2005">_xlfn.XLOOKUP(1,([3]!players[name]=A2005)*([3]!players[hero_name]=B2005),[3]!players[lane_name])</f>
        <v>Hard Support</v>
      </c>
      <c r="D2005">
        <f>COUNTIFS([3]!players[name],A2005,[3]!players[hero_name],B2005)</f>
        <v>2</v>
      </c>
      <c r="E2005">
        <f>COUNTIFS([3]!players[name],A2005,[3]!players[hero_name],B2005, [3]!players[win], 1)</f>
        <v>1</v>
      </c>
      <c r="F2005" s="1">
        <f t="shared" si="31"/>
        <v>0.5</v>
      </c>
      <c r="G2005" s="2">
        <f>AVERAGEIFS([3]!players[gold_per_min], [3]!players[name],A2005,[3]!players[hero_name],B2005)</f>
        <v>302.5</v>
      </c>
      <c r="H2005" s="2">
        <f>AVERAGEIFS([3]!players[xp_per_min], [3]!players[name],A2005,[3]!players[hero_name],B2005)</f>
        <v>526</v>
      </c>
    </row>
    <row r="2006" spans="1:8" x14ac:dyDescent="0.3">
      <c r="A2006" t="str">
        <v>tOfu</v>
      </c>
      <c r="B2006" t="str">
        <v>Venomancer</v>
      </c>
      <c r="C2006" t="str" cm="1">
        <f t="array" ref="C2006">_xlfn.XLOOKUP(1,([3]!players[name]=A2006)*([3]!players[hero_name]=B2006),[3]!players[lane_name])</f>
        <v>Roam</v>
      </c>
      <c r="D2006">
        <f>COUNTIFS([3]!players[name],A2006,[3]!players[hero_name],B2006)</f>
        <v>3</v>
      </c>
      <c r="E2006">
        <f>COUNTIFS([3]!players[name],A2006,[3]!players[hero_name],B2006, [3]!players[win], 1)</f>
        <v>2</v>
      </c>
      <c r="F2006" s="1">
        <f t="shared" si="31"/>
        <v>0.66666666666666663</v>
      </c>
      <c r="G2006" s="2">
        <f>AVERAGEIFS([3]!players[gold_per_min], [3]!players[name],A2006,[3]!players[hero_name],B2006)</f>
        <v>429.66666666666669</v>
      </c>
      <c r="H2006" s="2">
        <f>AVERAGEIFS([3]!players[xp_per_min], [3]!players[name],A2006,[3]!players[hero_name],B2006)</f>
        <v>583.33333333333337</v>
      </c>
    </row>
    <row r="2007" spans="1:8" x14ac:dyDescent="0.3">
      <c r="A2007" t="str">
        <v>tOfu</v>
      </c>
      <c r="B2007" t="str">
        <v>Tusk</v>
      </c>
      <c r="C2007" t="str" cm="1">
        <f t="array" ref="C2007">_xlfn.XLOOKUP(1,([3]!players[name]=A2007)*([3]!players[hero_name]=B2007),[3]!players[lane_name])</f>
        <v>Hard Support</v>
      </c>
      <c r="D2007">
        <f>COUNTIFS([3]!players[name],A2007,[3]!players[hero_name],B2007)</f>
        <v>2</v>
      </c>
      <c r="E2007">
        <f>COUNTIFS([3]!players[name],A2007,[3]!players[hero_name],B2007, [3]!players[win], 1)</f>
        <v>1</v>
      </c>
      <c r="F2007" s="1">
        <f t="shared" si="31"/>
        <v>0.5</v>
      </c>
      <c r="G2007" s="2">
        <f>AVERAGEIFS([3]!players[gold_per_min], [3]!players[name],A2007,[3]!players[hero_name],B2007)</f>
        <v>336</v>
      </c>
      <c r="H2007" s="2">
        <f>AVERAGEIFS([3]!players[xp_per_min], [3]!players[name],A2007,[3]!players[hero_name],B2007)</f>
        <v>614</v>
      </c>
    </row>
    <row r="2008" spans="1:8" x14ac:dyDescent="0.3">
      <c r="A2008" t="str">
        <v>tOfu</v>
      </c>
      <c r="B2008" t="str">
        <v>Disruptor</v>
      </c>
      <c r="C2008" t="str" cm="1">
        <f t="array" ref="C2008">_xlfn.XLOOKUP(1,([3]!players[name]=A2008)*([3]!players[hero_name]=B2008),[3]!players[lane_name])</f>
        <v>Roam</v>
      </c>
      <c r="D2008">
        <f>COUNTIFS([3]!players[name],A2008,[3]!players[hero_name],B2008)</f>
        <v>1</v>
      </c>
      <c r="E2008">
        <f>COUNTIFS([3]!players[name],A2008,[3]!players[hero_name],B2008, [3]!players[win], 1)</f>
        <v>0</v>
      </c>
      <c r="F2008" s="1">
        <f t="shared" si="31"/>
        <v>0</v>
      </c>
      <c r="G2008" s="2">
        <f>AVERAGEIFS([3]!players[gold_per_min], [3]!players[name],A2008,[3]!players[hero_name],B2008)</f>
        <v>209</v>
      </c>
      <c r="H2008" s="2">
        <f>AVERAGEIFS([3]!players[xp_per_min], [3]!players[name],A2008,[3]!players[hero_name],B2008)</f>
        <v>237</v>
      </c>
    </row>
    <row r="2009" spans="1:8" x14ac:dyDescent="0.3">
      <c r="A2009" t="str">
        <v>tOfu</v>
      </c>
      <c r="B2009" t="str">
        <v>Rubick</v>
      </c>
      <c r="C2009" t="str" cm="1">
        <f t="array" ref="C2009">_xlfn.XLOOKUP(1,([3]!players[name]=A2009)*([3]!players[hero_name]=B2009),[3]!players[lane_name])</f>
        <v>Soft Support</v>
      </c>
      <c r="D2009">
        <f>COUNTIFS([3]!players[name],A2009,[3]!players[hero_name],B2009)</f>
        <v>4</v>
      </c>
      <c r="E2009">
        <f>COUNTIFS([3]!players[name],A2009,[3]!players[hero_name],B2009, [3]!players[win], 1)</f>
        <v>1</v>
      </c>
      <c r="F2009" s="1">
        <f t="shared" si="31"/>
        <v>0.25</v>
      </c>
      <c r="G2009" s="2">
        <f>AVERAGEIFS([3]!players[gold_per_min], [3]!players[name],A2009,[3]!players[hero_name],B2009)</f>
        <v>343.25</v>
      </c>
      <c r="H2009" s="2">
        <f>AVERAGEIFS([3]!players[xp_per_min], [3]!players[name],A2009,[3]!players[hero_name],B2009)</f>
        <v>445.75</v>
      </c>
    </row>
    <row r="2010" spans="1:8" x14ac:dyDescent="0.3">
      <c r="A2010" t="str">
        <v>tOfu</v>
      </c>
      <c r="B2010" t="str">
        <v>Oracle</v>
      </c>
      <c r="C2010" t="str" cm="1">
        <f t="array" ref="C2010">_xlfn.XLOOKUP(1,([3]!players[name]=A2010)*([3]!players[hero_name]=B2010),[3]!players[lane_name])</f>
        <v>Hard Support</v>
      </c>
      <c r="D2010">
        <f>COUNTIFS([3]!players[name],A2010,[3]!players[hero_name],B2010)</f>
        <v>5</v>
      </c>
      <c r="E2010">
        <f>COUNTIFS([3]!players[name],A2010,[3]!players[hero_name],B2010, [3]!players[win], 1)</f>
        <v>2</v>
      </c>
      <c r="F2010" s="1">
        <f t="shared" si="31"/>
        <v>0.4</v>
      </c>
      <c r="G2010" s="2">
        <f>AVERAGEIFS([3]!players[gold_per_min], [3]!players[name],A2010,[3]!players[hero_name],B2010)</f>
        <v>303.2</v>
      </c>
      <c r="H2010" s="2">
        <f>AVERAGEIFS([3]!players[xp_per_min], [3]!players[name],A2010,[3]!players[hero_name],B2010)</f>
        <v>488.2</v>
      </c>
    </row>
    <row r="2011" spans="1:8" x14ac:dyDescent="0.3">
      <c r="A2011" t="str">
        <v>tOfu</v>
      </c>
      <c r="B2011" t="str">
        <v>Grimstroke</v>
      </c>
      <c r="C2011" t="str" cm="1">
        <f t="array" ref="C2011">_xlfn.XLOOKUP(1,([3]!players[name]=A2011)*([3]!players[hero_name]=B2011),[3]!players[lane_name])</f>
        <v>Hard Support</v>
      </c>
      <c r="D2011">
        <f>COUNTIFS([3]!players[name],A2011,[3]!players[hero_name],B2011)</f>
        <v>2</v>
      </c>
      <c r="E2011">
        <f>COUNTIFS([3]!players[name],A2011,[3]!players[hero_name],B2011, [3]!players[win], 1)</f>
        <v>2</v>
      </c>
      <c r="F2011" s="1">
        <f t="shared" si="31"/>
        <v>1</v>
      </c>
      <c r="G2011" s="2">
        <f>AVERAGEIFS([3]!players[gold_per_min], [3]!players[name],A2011,[3]!players[hero_name],B2011)</f>
        <v>373.5</v>
      </c>
      <c r="H2011" s="2">
        <f>AVERAGEIFS([3]!players[xp_per_min], [3]!players[name],A2011,[3]!players[hero_name],B2011)</f>
        <v>588.5</v>
      </c>
    </row>
    <row r="2012" spans="1:8" x14ac:dyDescent="0.3">
      <c r="A2012" t="str">
        <v>tOfu</v>
      </c>
      <c r="B2012" t="str">
        <v>Jakiro</v>
      </c>
      <c r="C2012" t="str" cm="1">
        <f t="array" ref="C2012">_xlfn.XLOOKUP(1,([3]!players[name]=A2012)*([3]!players[hero_name]=B2012),[3]!players[lane_name])</f>
        <v>Hard Support</v>
      </c>
      <c r="D2012">
        <f>COUNTIFS([3]!players[name],A2012,[3]!players[hero_name],B2012)</f>
        <v>1</v>
      </c>
      <c r="E2012">
        <f>COUNTIFS([3]!players[name],A2012,[3]!players[hero_name],B2012, [3]!players[win], 1)</f>
        <v>1</v>
      </c>
      <c r="F2012" s="1">
        <f t="shared" si="31"/>
        <v>1</v>
      </c>
      <c r="G2012" s="2">
        <f>AVERAGEIFS([3]!players[gold_per_min], [3]!players[name],A2012,[3]!players[hero_name],B2012)</f>
        <v>363</v>
      </c>
      <c r="H2012" s="2">
        <f>AVERAGEIFS([3]!players[xp_per_min], [3]!players[name],A2012,[3]!players[hero_name],B2012)</f>
        <v>497</v>
      </c>
    </row>
    <row r="2013" spans="1:8" x14ac:dyDescent="0.3">
      <c r="A2013" t="str">
        <v>tOfu</v>
      </c>
      <c r="B2013" t="str">
        <v>Death Prophet</v>
      </c>
      <c r="C2013" t="str" cm="1">
        <f t="array" ref="C2013">_xlfn.XLOOKUP(1,([3]!players[name]=A2013)*([3]!players[hero_name]=B2013),[3]!players[lane_name])</f>
        <v>Roam</v>
      </c>
      <c r="D2013">
        <f>COUNTIFS([3]!players[name],A2013,[3]!players[hero_name],B2013)</f>
        <v>1</v>
      </c>
      <c r="E2013">
        <f>COUNTIFS([3]!players[name],A2013,[3]!players[hero_name],B2013, [3]!players[win], 1)</f>
        <v>1</v>
      </c>
      <c r="F2013" s="1">
        <f t="shared" si="31"/>
        <v>1</v>
      </c>
      <c r="G2013" s="2">
        <f>AVERAGEIFS([3]!players[gold_per_min], [3]!players[name],A2013,[3]!players[hero_name],B2013)</f>
        <v>489</v>
      </c>
      <c r="H2013" s="2">
        <f>AVERAGEIFS([3]!players[xp_per_min], [3]!players[name],A2013,[3]!players[hero_name],B2013)</f>
        <v>655</v>
      </c>
    </row>
    <row r="2014" spans="1:8" x14ac:dyDescent="0.3">
      <c r="A2014" t="str">
        <v>tOfu</v>
      </c>
      <c r="B2014" t="str">
        <v>Lich</v>
      </c>
      <c r="C2014" t="str" cm="1">
        <f t="array" ref="C2014">_xlfn.XLOOKUP(1,([3]!players[name]=A2014)*([3]!players[hero_name]=B2014),[3]!players[lane_name])</f>
        <v>Soft Support</v>
      </c>
      <c r="D2014">
        <f>COUNTIFS([3]!players[name],A2014,[3]!players[hero_name],B2014)</f>
        <v>1</v>
      </c>
      <c r="E2014">
        <f>COUNTIFS([3]!players[name],A2014,[3]!players[hero_name],B2014, [3]!players[win], 1)</f>
        <v>0</v>
      </c>
      <c r="F2014" s="1">
        <f t="shared" si="31"/>
        <v>0</v>
      </c>
      <c r="G2014" s="2">
        <f>AVERAGEIFS([3]!players[gold_per_min], [3]!players[name],A2014,[3]!players[hero_name],B2014)</f>
        <v>318</v>
      </c>
      <c r="H2014" s="2">
        <f>AVERAGEIFS([3]!players[xp_per_min], [3]!players[name],A2014,[3]!players[hero_name],B2014)</f>
        <v>400</v>
      </c>
    </row>
    <row r="2015" spans="1:8" x14ac:dyDescent="0.3">
      <c r="A2015" t="str">
        <v>tOfu</v>
      </c>
      <c r="B2015" t="str">
        <v>Techies</v>
      </c>
      <c r="C2015" t="str" cm="1">
        <f t="array" ref="C2015">_xlfn.XLOOKUP(1,([3]!players[name]=A2015)*([3]!players[hero_name]=B2015),[3]!players[lane_name])</f>
        <v>Hard Support</v>
      </c>
      <c r="D2015">
        <f>COUNTIFS([3]!players[name],A2015,[3]!players[hero_name],B2015)</f>
        <v>3</v>
      </c>
      <c r="E2015">
        <f>COUNTIFS([3]!players[name],A2015,[3]!players[hero_name],B2015, [3]!players[win], 1)</f>
        <v>3</v>
      </c>
      <c r="F2015" s="1">
        <f t="shared" si="31"/>
        <v>1</v>
      </c>
      <c r="G2015" s="2">
        <f>AVERAGEIFS([3]!players[gold_per_min], [3]!players[name],A2015,[3]!players[hero_name],B2015)</f>
        <v>368.33333333333331</v>
      </c>
      <c r="H2015" s="2">
        <f>AVERAGEIFS([3]!players[xp_per_min], [3]!players[name],A2015,[3]!players[hero_name],B2015)</f>
        <v>485.66666666666669</v>
      </c>
    </row>
    <row r="2016" spans="1:8" x14ac:dyDescent="0.3">
      <c r="A2016" t="str">
        <v>ukiyo</v>
      </c>
      <c r="B2016" t="str">
        <v>Gyrocopter</v>
      </c>
      <c r="C2016" t="str" cm="1">
        <f t="array" ref="C2016">_xlfn.XLOOKUP(1,([3]!players[name]=A2016)*([3]!players[hero_name]=B2016),[3]!players[lane_name])</f>
        <v>Carry</v>
      </c>
      <c r="D2016">
        <f>COUNTIFS([3]!players[name],A2016,[3]!players[hero_name],B2016)</f>
        <v>2</v>
      </c>
      <c r="E2016">
        <f>COUNTIFS([3]!players[name],A2016,[3]!players[hero_name],B2016, [3]!players[win], 1)</f>
        <v>0</v>
      </c>
      <c r="F2016" s="1">
        <f t="shared" si="31"/>
        <v>0</v>
      </c>
      <c r="G2016" s="2">
        <f>AVERAGEIFS([3]!players[gold_per_min], [3]!players[name],A2016,[3]!players[hero_name],B2016)</f>
        <v>711</v>
      </c>
      <c r="H2016" s="2">
        <f>AVERAGEIFS([3]!players[xp_per_min], [3]!players[name],A2016,[3]!players[hero_name],B2016)</f>
        <v>724</v>
      </c>
    </row>
    <row r="2017" spans="1:8" x14ac:dyDescent="0.3">
      <c r="A2017" t="str">
        <v>ukiyo</v>
      </c>
      <c r="B2017" t="str">
        <v>Templar Assassin</v>
      </c>
      <c r="C2017" t="str" cm="1">
        <f t="array" ref="C2017">_xlfn.XLOOKUP(1,([3]!players[name]=A2017)*([3]!players[hero_name]=B2017),[3]!players[lane_name])</f>
        <v>Carry</v>
      </c>
      <c r="D2017">
        <f>COUNTIFS([3]!players[name],A2017,[3]!players[hero_name],B2017)</f>
        <v>2</v>
      </c>
      <c r="E2017">
        <f>COUNTIFS([3]!players[name],A2017,[3]!players[hero_name],B2017, [3]!players[win], 1)</f>
        <v>1</v>
      </c>
      <c r="F2017" s="1">
        <f t="shared" si="31"/>
        <v>0.5</v>
      </c>
      <c r="G2017" s="2">
        <f>AVERAGEIFS([3]!players[gold_per_min], [3]!players[name],A2017,[3]!players[hero_name],B2017)</f>
        <v>678.5</v>
      </c>
      <c r="H2017" s="2">
        <f>AVERAGEIFS([3]!players[xp_per_min], [3]!players[name],A2017,[3]!players[hero_name],B2017)</f>
        <v>830</v>
      </c>
    </row>
    <row r="2018" spans="1:8" x14ac:dyDescent="0.3">
      <c r="A2018" t="str">
        <v>ukiyo</v>
      </c>
      <c r="B2018" t="str">
        <v>Faceless Void</v>
      </c>
      <c r="C2018" t="str" cm="1">
        <f t="array" ref="C2018">_xlfn.XLOOKUP(1,([3]!players[name]=A2018)*([3]!players[hero_name]=B2018),[3]!players[lane_name])</f>
        <v>Carry</v>
      </c>
      <c r="D2018">
        <f>COUNTIFS([3]!players[name],A2018,[3]!players[hero_name],B2018)</f>
        <v>3</v>
      </c>
      <c r="E2018">
        <f>COUNTIFS([3]!players[name],A2018,[3]!players[hero_name],B2018, [3]!players[win], 1)</f>
        <v>1</v>
      </c>
      <c r="F2018" s="1">
        <f t="shared" si="31"/>
        <v>0.33333333333333331</v>
      </c>
      <c r="G2018" s="2">
        <f>AVERAGEIFS([3]!players[gold_per_min], [3]!players[name],A2018,[3]!players[hero_name],B2018)</f>
        <v>630</v>
      </c>
      <c r="H2018" s="2">
        <f>AVERAGEIFS([3]!players[xp_per_min], [3]!players[name],A2018,[3]!players[hero_name],B2018)</f>
        <v>801.66666666666663</v>
      </c>
    </row>
    <row r="2019" spans="1:8" x14ac:dyDescent="0.3">
      <c r="A2019" t="str">
        <v>ukiyo</v>
      </c>
      <c r="B2019" t="str">
        <v>Slark</v>
      </c>
      <c r="C2019" t="str" cm="1">
        <f t="array" ref="C2019">_xlfn.XLOOKUP(1,([3]!players[name]=A2019)*([3]!players[hero_name]=B2019),[3]!players[lane_name])</f>
        <v>Carry</v>
      </c>
      <c r="D2019">
        <f>COUNTIFS([3]!players[name],A2019,[3]!players[hero_name],B2019)</f>
        <v>1</v>
      </c>
      <c r="E2019">
        <f>COUNTIFS([3]!players[name],A2019,[3]!players[hero_name],B2019, [3]!players[win], 1)</f>
        <v>0</v>
      </c>
      <c r="F2019" s="1">
        <f t="shared" si="31"/>
        <v>0</v>
      </c>
      <c r="G2019" s="2">
        <f>AVERAGEIFS([3]!players[gold_per_min], [3]!players[name],A2019,[3]!players[hero_name],B2019)</f>
        <v>483</v>
      </c>
      <c r="H2019" s="2">
        <f>AVERAGEIFS([3]!players[xp_per_min], [3]!players[name],A2019,[3]!players[hero_name],B2019)</f>
        <v>506</v>
      </c>
    </row>
    <row r="2020" spans="1:8" x14ac:dyDescent="0.3">
      <c r="A2020" t="str">
        <v>ukiyo</v>
      </c>
      <c r="B2020" t="str">
        <v>Terrorblade</v>
      </c>
      <c r="C2020" t="str" cm="1">
        <f t="array" ref="C2020">_xlfn.XLOOKUP(1,([3]!players[name]=A2020)*([3]!players[hero_name]=B2020),[3]!players[lane_name])</f>
        <v>Carry</v>
      </c>
      <c r="D2020">
        <f>COUNTIFS([3]!players[name],A2020,[3]!players[hero_name],B2020)</f>
        <v>6</v>
      </c>
      <c r="E2020">
        <f>COUNTIFS([3]!players[name],A2020,[3]!players[hero_name],B2020, [3]!players[win], 1)</f>
        <v>5</v>
      </c>
      <c r="F2020" s="1">
        <f t="shared" si="31"/>
        <v>0.83333333333333337</v>
      </c>
      <c r="G2020" s="2">
        <f>AVERAGEIFS([3]!players[gold_per_min], [3]!players[name],A2020,[3]!players[hero_name],B2020)</f>
        <v>833.83333333333337</v>
      </c>
      <c r="H2020" s="2">
        <f>AVERAGEIFS([3]!players[xp_per_min], [3]!players[name],A2020,[3]!players[hero_name],B2020)</f>
        <v>835.83333333333337</v>
      </c>
    </row>
    <row r="2021" spans="1:8" x14ac:dyDescent="0.3">
      <c r="A2021" t="str">
        <v>ukiyo</v>
      </c>
      <c r="B2021" t="str">
        <v>Muerta</v>
      </c>
      <c r="C2021" t="str" cm="1">
        <f t="array" ref="C2021">_xlfn.XLOOKUP(1,([3]!players[name]=A2021)*([3]!players[hero_name]=B2021),[3]!players[lane_name])</f>
        <v>Carry</v>
      </c>
      <c r="D2021">
        <f>COUNTIFS([3]!players[name],A2021,[3]!players[hero_name],B2021)</f>
        <v>1</v>
      </c>
      <c r="E2021">
        <f>COUNTIFS([3]!players[name],A2021,[3]!players[hero_name],B2021, [3]!players[win], 1)</f>
        <v>0</v>
      </c>
      <c r="F2021" s="1">
        <f t="shared" si="31"/>
        <v>0</v>
      </c>
      <c r="G2021" s="2">
        <f>AVERAGEIFS([3]!players[gold_per_min], [3]!players[name],A2021,[3]!players[hero_name],B2021)</f>
        <v>707</v>
      </c>
      <c r="H2021" s="2">
        <f>AVERAGEIFS([3]!players[xp_per_min], [3]!players[name],A2021,[3]!players[hero_name],B2021)</f>
        <v>917</v>
      </c>
    </row>
    <row r="2022" spans="1:8" x14ac:dyDescent="0.3">
      <c r="A2022" t="str">
        <v>ukiyo</v>
      </c>
      <c r="B2022" t="str">
        <v>Alchemist</v>
      </c>
      <c r="C2022" t="str" cm="1">
        <f t="array" ref="C2022">_xlfn.XLOOKUP(1,([3]!players[name]=A2022)*([3]!players[hero_name]=B2022),[3]!players[lane_name])</f>
        <v>Carry</v>
      </c>
      <c r="D2022">
        <f>COUNTIFS([3]!players[name],A2022,[3]!players[hero_name],B2022)</f>
        <v>4</v>
      </c>
      <c r="E2022">
        <f>COUNTIFS([3]!players[name],A2022,[3]!players[hero_name],B2022, [3]!players[win], 1)</f>
        <v>3</v>
      </c>
      <c r="F2022" s="1">
        <f t="shared" si="31"/>
        <v>0.75</v>
      </c>
      <c r="G2022" s="2">
        <f>AVERAGEIFS([3]!players[gold_per_min], [3]!players[name],A2022,[3]!players[hero_name],B2022)</f>
        <v>864.25</v>
      </c>
      <c r="H2022" s="2">
        <f>AVERAGEIFS([3]!players[xp_per_min], [3]!players[name],A2022,[3]!players[hero_name],B2022)</f>
        <v>837.75</v>
      </c>
    </row>
    <row r="2023" spans="1:8" x14ac:dyDescent="0.3">
      <c r="A2023" t="str">
        <v>ukiyo</v>
      </c>
      <c r="B2023" t="str">
        <v>Luna</v>
      </c>
      <c r="C2023" t="str" cm="1">
        <f t="array" ref="C2023">_xlfn.XLOOKUP(1,([3]!players[name]=A2023)*([3]!players[hero_name]=B2023),[3]!players[lane_name])</f>
        <v>Carry</v>
      </c>
      <c r="D2023">
        <f>COUNTIFS([3]!players[name],A2023,[3]!players[hero_name],B2023)</f>
        <v>3</v>
      </c>
      <c r="E2023">
        <f>COUNTIFS([3]!players[name],A2023,[3]!players[hero_name],B2023, [3]!players[win], 1)</f>
        <v>1</v>
      </c>
      <c r="F2023" s="1">
        <f t="shared" si="31"/>
        <v>0.33333333333333331</v>
      </c>
      <c r="G2023" s="2">
        <f>AVERAGEIFS([3]!players[gold_per_min], [3]!players[name],A2023,[3]!players[hero_name],B2023)</f>
        <v>654.33333333333337</v>
      </c>
      <c r="H2023" s="2">
        <f>AVERAGEIFS([3]!players[xp_per_min], [3]!players[name],A2023,[3]!players[hero_name],B2023)</f>
        <v>663</v>
      </c>
    </row>
    <row r="2024" spans="1:8" x14ac:dyDescent="0.3">
      <c r="A2024" t="str">
        <v>ukiyo</v>
      </c>
      <c r="B2024" t="str">
        <v>Bristleback</v>
      </c>
      <c r="C2024" t="str" cm="1">
        <f t="array" ref="C2024">_xlfn.XLOOKUP(1,([3]!players[name]=A2024)*([3]!players[hero_name]=B2024),[3]!players[lane_name])</f>
        <v>Carry</v>
      </c>
      <c r="D2024">
        <f>COUNTIFS([3]!players[name],A2024,[3]!players[hero_name],B2024)</f>
        <v>5</v>
      </c>
      <c r="E2024">
        <f>COUNTIFS([3]!players[name],A2024,[3]!players[hero_name],B2024, [3]!players[win], 1)</f>
        <v>2</v>
      </c>
      <c r="F2024" s="1">
        <f t="shared" si="31"/>
        <v>0.4</v>
      </c>
      <c r="G2024" s="2">
        <f>AVERAGEIFS([3]!players[gold_per_min], [3]!players[name],A2024,[3]!players[hero_name],B2024)</f>
        <v>637.20000000000005</v>
      </c>
      <c r="H2024" s="2">
        <f>AVERAGEIFS([3]!players[xp_per_min], [3]!players[name],A2024,[3]!players[hero_name],B2024)</f>
        <v>730.6</v>
      </c>
    </row>
    <row r="2025" spans="1:8" x14ac:dyDescent="0.3">
      <c r="A2025" t="str">
        <v>ukiyo</v>
      </c>
      <c r="B2025" t="str">
        <v>Morphling</v>
      </c>
      <c r="C2025" t="str" cm="1">
        <f t="array" ref="C2025">_xlfn.XLOOKUP(1,([3]!players[name]=A2025)*([3]!players[hero_name]=B2025),[3]!players[lane_name])</f>
        <v>Carry</v>
      </c>
      <c r="D2025">
        <f>COUNTIFS([3]!players[name],A2025,[3]!players[hero_name],B2025)</f>
        <v>2</v>
      </c>
      <c r="E2025">
        <f>COUNTIFS([3]!players[name],A2025,[3]!players[hero_name],B2025, [3]!players[win], 1)</f>
        <v>1</v>
      </c>
      <c r="F2025" s="1">
        <f t="shared" si="31"/>
        <v>0.5</v>
      </c>
      <c r="G2025" s="2">
        <f>AVERAGEIFS([3]!players[gold_per_min], [3]!players[name],A2025,[3]!players[hero_name],B2025)</f>
        <v>650.5</v>
      </c>
      <c r="H2025" s="2">
        <f>AVERAGEIFS([3]!players[xp_per_min], [3]!players[name],A2025,[3]!players[hero_name],B2025)</f>
        <v>748</v>
      </c>
    </row>
    <row r="2026" spans="1:8" x14ac:dyDescent="0.3">
      <c r="A2026" t="str">
        <v>ukiyo</v>
      </c>
      <c r="B2026" t="str">
        <v>Beastmaster</v>
      </c>
      <c r="C2026" t="str" cm="1">
        <f t="array" ref="C2026">_xlfn.XLOOKUP(1,([3]!players[name]=A2026)*([3]!players[hero_name]=B2026),[3]!players[lane_name])</f>
        <v>Carry</v>
      </c>
      <c r="D2026">
        <f>COUNTIFS([3]!players[name],A2026,[3]!players[hero_name],B2026)</f>
        <v>1</v>
      </c>
      <c r="E2026">
        <f>COUNTIFS([3]!players[name],A2026,[3]!players[hero_name],B2026, [3]!players[win], 1)</f>
        <v>0</v>
      </c>
      <c r="F2026" s="1">
        <f t="shared" si="31"/>
        <v>0</v>
      </c>
      <c r="G2026" s="2">
        <f>AVERAGEIFS([3]!players[gold_per_min], [3]!players[name],A2026,[3]!players[hero_name],B2026)</f>
        <v>733</v>
      </c>
      <c r="H2026" s="2">
        <f>AVERAGEIFS([3]!players[xp_per_min], [3]!players[name],A2026,[3]!players[hero_name],B2026)</f>
        <v>890</v>
      </c>
    </row>
    <row r="2027" spans="1:8" x14ac:dyDescent="0.3">
      <c r="A2027" t="str">
        <v>ukiyo</v>
      </c>
      <c r="B2027" t="str">
        <v>Queen of Pain</v>
      </c>
      <c r="C2027" t="str" cm="1">
        <f t="array" ref="C2027">_xlfn.XLOOKUP(1,([3]!players[name]=A2027)*([3]!players[hero_name]=B2027),[3]!players[lane_name])</f>
        <v>Carry</v>
      </c>
      <c r="D2027">
        <f>COUNTIFS([3]!players[name],A2027,[3]!players[hero_name],B2027)</f>
        <v>2</v>
      </c>
      <c r="E2027">
        <f>COUNTIFS([3]!players[name],A2027,[3]!players[hero_name],B2027, [3]!players[win], 1)</f>
        <v>1</v>
      </c>
      <c r="F2027" s="1">
        <f t="shared" si="31"/>
        <v>0.5</v>
      </c>
      <c r="G2027" s="2">
        <f>AVERAGEIFS([3]!players[gold_per_min], [3]!players[name],A2027,[3]!players[hero_name],B2027)</f>
        <v>678</v>
      </c>
      <c r="H2027" s="2">
        <f>AVERAGEIFS([3]!players[xp_per_min], [3]!players[name],A2027,[3]!players[hero_name],B2027)</f>
        <v>801.5</v>
      </c>
    </row>
    <row r="2028" spans="1:8" x14ac:dyDescent="0.3">
      <c r="A2028" t="str">
        <v>ukiyo</v>
      </c>
      <c r="B2028" t="str">
        <v>Tiny</v>
      </c>
      <c r="C2028" t="str" cm="1">
        <f t="array" ref="C2028">_xlfn.XLOOKUP(1,([3]!players[name]=A2028)*([3]!players[hero_name]=B2028),[3]!players[lane_name])</f>
        <v>Carry</v>
      </c>
      <c r="D2028">
        <f>COUNTIFS([3]!players[name],A2028,[3]!players[hero_name],B2028)</f>
        <v>2</v>
      </c>
      <c r="E2028">
        <f>COUNTIFS([3]!players[name],A2028,[3]!players[hero_name],B2028, [3]!players[win], 1)</f>
        <v>0</v>
      </c>
      <c r="F2028" s="1">
        <f t="shared" si="31"/>
        <v>0</v>
      </c>
      <c r="G2028" s="2">
        <f>AVERAGEIFS([3]!players[gold_per_min], [3]!players[name],A2028,[3]!players[hero_name],B2028)</f>
        <v>479</v>
      </c>
      <c r="H2028" s="2">
        <f>AVERAGEIFS([3]!players[xp_per_min], [3]!players[name],A2028,[3]!players[hero_name],B2028)</f>
        <v>492</v>
      </c>
    </row>
    <row r="2029" spans="1:8" x14ac:dyDescent="0.3">
      <c r="A2029" t="str">
        <v>ukiyo</v>
      </c>
      <c r="B2029" t="str">
        <v>Weaver</v>
      </c>
      <c r="C2029" t="str" cm="1">
        <f t="array" ref="C2029">_xlfn.XLOOKUP(1,([3]!players[name]=A2029)*([3]!players[hero_name]=B2029),[3]!players[lane_name])</f>
        <v>Carry</v>
      </c>
      <c r="D2029">
        <f>COUNTIFS([3]!players[name],A2029,[3]!players[hero_name],B2029)</f>
        <v>2</v>
      </c>
      <c r="E2029">
        <f>COUNTIFS([3]!players[name],A2029,[3]!players[hero_name],B2029, [3]!players[win], 1)</f>
        <v>0</v>
      </c>
      <c r="F2029" s="1">
        <f t="shared" si="31"/>
        <v>0</v>
      </c>
      <c r="G2029" s="2">
        <f>AVERAGEIFS([3]!players[gold_per_min], [3]!players[name],A2029,[3]!players[hero_name],B2029)</f>
        <v>748</v>
      </c>
      <c r="H2029" s="2">
        <f>AVERAGEIFS([3]!players[xp_per_min], [3]!players[name],A2029,[3]!players[hero_name],B2029)</f>
        <v>1053.5</v>
      </c>
    </row>
    <row r="2030" spans="1:8" x14ac:dyDescent="0.3">
      <c r="A2030" t="str">
        <v>ukiyo</v>
      </c>
      <c r="B2030" t="str">
        <v>Spectre</v>
      </c>
      <c r="C2030" t="str" cm="1">
        <f t="array" ref="C2030">_xlfn.XLOOKUP(1,([3]!players[name]=A2030)*([3]!players[hero_name]=B2030),[3]!players[lane_name])</f>
        <v>Carry</v>
      </c>
      <c r="D2030">
        <f>COUNTIFS([3]!players[name],A2030,[3]!players[hero_name],B2030)</f>
        <v>1</v>
      </c>
      <c r="E2030">
        <f>COUNTIFS([3]!players[name],A2030,[3]!players[hero_name],B2030, [3]!players[win], 1)</f>
        <v>0</v>
      </c>
      <c r="F2030" s="1">
        <f t="shared" si="31"/>
        <v>0</v>
      </c>
      <c r="G2030" s="2">
        <f>AVERAGEIFS([3]!players[gold_per_min], [3]!players[name],A2030,[3]!players[hero_name],B2030)</f>
        <v>301</v>
      </c>
      <c r="H2030" s="2">
        <f>AVERAGEIFS([3]!players[xp_per_min], [3]!players[name],A2030,[3]!players[hero_name],B2030)</f>
        <v>321</v>
      </c>
    </row>
    <row r="2031" spans="1:8" x14ac:dyDescent="0.3">
      <c r="A2031" t="str">
        <v>ukiyo</v>
      </c>
      <c r="B2031" t="str">
        <v>Troll Warlord</v>
      </c>
      <c r="C2031" t="str" cm="1">
        <f t="array" ref="C2031">_xlfn.XLOOKUP(1,([3]!players[name]=A2031)*([3]!players[hero_name]=B2031),[3]!players[lane_name])</f>
        <v>Carry</v>
      </c>
      <c r="D2031">
        <f>COUNTIFS([3]!players[name],A2031,[3]!players[hero_name],B2031)</f>
        <v>1</v>
      </c>
      <c r="E2031">
        <f>COUNTIFS([3]!players[name],A2031,[3]!players[hero_name],B2031, [3]!players[win], 1)</f>
        <v>1</v>
      </c>
      <c r="F2031" s="1">
        <f t="shared" si="31"/>
        <v>1</v>
      </c>
      <c r="G2031" s="2">
        <f>AVERAGEIFS([3]!players[gold_per_min], [3]!players[name],A2031,[3]!players[hero_name],B2031)</f>
        <v>816</v>
      </c>
      <c r="H2031" s="2">
        <f>AVERAGEIFS([3]!players[xp_per_min], [3]!players[name],A2031,[3]!players[hero_name],B2031)</f>
        <v>916</v>
      </c>
    </row>
    <row r="2032" spans="1:8" x14ac:dyDescent="0.3">
      <c r="A2032" t="str">
        <v>ukiyo</v>
      </c>
      <c r="B2032" t="str">
        <v>Windranger</v>
      </c>
      <c r="C2032" t="str" cm="1">
        <f t="array" ref="C2032">_xlfn.XLOOKUP(1,([3]!players[name]=A2032)*([3]!players[hero_name]=B2032),[3]!players[lane_name])</f>
        <v>Carry</v>
      </c>
      <c r="D2032">
        <f>COUNTIFS([3]!players[name],A2032,[3]!players[hero_name],B2032)</f>
        <v>1</v>
      </c>
      <c r="E2032">
        <f>COUNTIFS([3]!players[name],A2032,[3]!players[hero_name],B2032, [3]!players[win], 1)</f>
        <v>0</v>
      </c>
      <c r="F2032" s="1">
        <f t="shared" si="31"/>
        <v>0</v>
      </c>
      <c r="G2032" s="2">
        <f>AVERAGEIFS([3]!players[gold_per_min], [3]!players[name],A2032,[3]!players[hero_name],B2032)</f>
        <v>477</v>
      </c>
      <c r="H2032" s="2">
        <f>AVERAGEIFS([3]!players[xp_per_min], [3]!players[name],A2032,[3]!players[hero_name],B2032)</f>
        <v>544</v>
      </c>
    </row>
    <row r="2033" spans="1:8" x14ac:dyDescent="0.3">
      <c r="A2033" t="str">
        <v>v1olentâ€“</v>
      </c>
      <c r="B2033" t="str">
        <v>Alchemist</v>
      </c>
      <c r="C2033" t="str" cm="1">
        <f t="array" ref="C2033">_xlfn.XLOOKUP(1,([3]!players[name]=A2033)*([3]!players[hero_name]=B2033),[3]!players[lane_name])</f>
        <v>Carry</v>
      </c>
      <c r="D2033">
        <f>COUNTIFS([3]!players[name],A2033,[3]!players[hero_name],B2033)</f>
        <v>7</v>
      </c>
      <c r="E2033">
        <f>COUNTIFS([3]!players[name],A2033,[3]!players[hero_name],B2033, [3]!players[win], 1)</f>
        <v>3</v>
      </c>
      <c r="F2033" s="1">
        <f t="shared" si="31"/>
        <v>0.42857142857142855</v>
      </c>
      <c r="G2033" s="2">
        <f>AVERAGEIFS([3]!players[gold_per_min], [3]!players[name],A2033,[3]!players[hero_name],B2033)</f>
        <v>824.85714285714289</v>
      </c>
      <c r="H2033" s="2">
        <f>AVERAGEIFS([3]!players[xp_per_min], [3]!players[name],A2033,[3]!players[hero_name],B2033)</f>
        <v>756.14285714285711</v>
      </c>
    </row>
    <row r="2034" spans="1:8" x14ac:dyDescent="0.3">
      <c r="A2034" t="str">
        <v>v1olentâ€“</v>
      </c>
      <c r="B2034" t="str">
        <v>Faceless Void</v>
      </c>
      <c r="C2034" t="str" cm="1">
        <f t="array" ref="C2034">_xlfn.XLOOKUP(1,([3]!players[name]=A2034)*([3]!players[hero_name]=B2034),[3]!players[lane_name])</f>
        <v>Carry</v>
      </c>
      <c r="D2034">
        <f>COUNTIFS([3]!players[name],A2034,[3]!players[hero_name],B2034)</f>
        <v>2</v>
      </c>
      <c r="E2034">
        <f>COUNTIFS([3]!players[name],A2034,[3]!players[hero_name],B2034, [3]!players[win], 1)</f>
        <v>1</v>
      </c>
      <c r="F2034" s="1">
        <f t="shared" si="31"/>
        <v>0.5</v>
      </c>
      <c r="G2034" s="2">
        <f>AVERAGEIFS([3]!players[gold_per_min], [3]!players[name],A2034,[3]!players[hero_name],B2034)</f>
        <v>682</v>
      </c>
      <c r="H2034" s="2">
        <f>AVERAGEIFS([3]!players[xp_per_min], [3]!players[name],A2034,[3]!players[hero_name],B2034)</f>
        <v>869.5</v>
      </c>
    </row>
    <row r="2035" spans="1:8" x14ac:dyDescent="0.3">
      <c r="A2035" t="str">
        <v>v1olentâ€“</v>
      </c>
      <c r="B2035" t="str">
        <v>Bristleback</v>
      </c>
      <c r="C2035" t="str" cm="1">
        <f t="array" ref="C2035">_xlfn.XLOOKUP(1,([3]!players[name]=A2035)*([3]!players[hero_name]=B2035),[3]!players[lane_name])</f>
        <v>Carry</v>
      </c>
      <c r="D2035">
        <f>COUNTIFS([3]!players[name],A2035,[3]!players[hero_name],B2035)</f>
        <v>2</v>
      </c>
      <c r="E2035">
        <f>COUNTIFS([3]!players[name],A2035,[3]!players[hero_name],B2035, [3]!players[win], 1)</f>
        <v>1</v>
      </c>
      <c r="F2035" s="1">
        <f t="shared" si="31"/>
        <v>0.5</v>
      </c>
      <c r="G2035" s="2">
        <f>AVERAGEIFS([3]!players[gold_per_min], [3]!players[name],A2035,[3]!players[hero_name],B2035)</f>
        <v>618.5</v>
      </c>
      <c r="H2035" s="2">
        <f>AVERAGEIFS([3]!players[xp_per_min], [3]!players[name],A2035,[3]!players[hero_name],B2035)</f>
        <v>786</v>
      </c>
    </row>
    <row r="2036" spans="1:8" x14ac:dyDescent="0.3">
      <c r="A2036" t="str">
        <v>v1olentâ€“</v>
      </c>
      <c r="B2036" t="str">
        <v>Monkey King</v>
      </c>
      <c r="C2036" t="str" cm="1">
        <f t="array" ref="C2036">_xlfn.XLOOKUP(1,([3]!players[name]=A2036)*([3]!players[hero_name]=B2036),[3]!players[lane_name])</f>
        <v>Carry</v>
      </c>
      <c r="D2036">
        <f>COUNTIFS([3]!players[name],A2036,[3]!players[hero_name],B2036)</f>
        <v>9</v>
      </c>
      <c r="E2036">
        <f>COUNTIFS([3]!players[name],A2036,[3]!players[hero_name],B2036, [3]!players[win], 1)</f>
        <v>5</v>
      </c>
      <c r="F2036" s="1">
        <f t="shared" si="31"/>
        <v>0.55555555555555558</v>
      </c>
      <c r="G2036" s="2">
        <f>AVERAGEIFS([3]!players[gold_per_min], [3]!players[name],A2036,[3]!players[hero_name],B2036)</f>
        <v>674.55555555555554</v>
      </c>
      <c r="H2036" s="2">
        <f>AVERAGEIFS([3]!players[xp_per_min], [3]!players[name],A2036,[3]!players[hero_name],B2036)</f>
        <v>809.66666666666663</v>
      </c>
    </row>
    <row r="2037" spans="1:8" x14ac:dyDescent="0.3">
      <c r="A2037" t="str">
        <v>v1olentâ€“</v>
      </c>
      <c r="B2037" t="str">
        <v>Beastmaster</v>
      </c>
      <c r="C2037" t="str" cm="1">
        <f t="array" ref="C2037">_xlfn.XLOOKUP(1,([3]!players[name]=A2037)*([3]!players[hero_name]=B2037),[3]!players[lane_name])</f>
        <v>Carry</v>
      </c>
      <c r="D2037">
        <f>COUNTIFS([3]!players[name],A2037,[3]!players[hero_name],B2037)</f>
        <v>1</v>
      </c>
      <c r="E2037">
        <f>COUNTIFS([3]!players[name],A2037,[3]!players[hero_name],B2037, [3]!players[win], 1)</f>
        <v>1</v>
      </c>
      <c r="F2037" s="1">
        <f t="shared" si="31"/>
        <v>1</v>
      </c>
      <c r="G2037" s="2">
        <f>AVERAGEIFS([3]!players[gold_per_min], [3]!players[name],A2037,[3]!players[hero_name],B2037)</f>
        <v>775</v>
      </c>
      <c r="H2037" s="2">
        <f>AVERAGEIFS([3]!players[xp_per_min], [3]!players[name],A2037,[3]!players[hero_name],B2037)</f>
        <v>839</v>
      </c>
    </row>
    <row r="2038" spans="1:8" x14ac:dyDescent="0.3">
      <c r="A2038" t="str">
        <v>v1olentâ€“</v>
      </c>
      <c r="B2038" t="str">
        <v>Lifestealer</v>
      </c>
      <c r="C2038" t="str" cm="1">
        <f t="array" ref="C2038">_xlfn.XLOOKUP(1,([3]!players[name]=A2038)*([3]!players[hero_name]=B2038),[3]!players[lane_name])</f>
        <v>Carry</v>
      </c>
      <c r="D2038">
        <f>COUNTIFS([3]!players[name],A2038,[3]!players[hero_name],B2038)</f>
        <v>3</v>
      </c>
      <c r="E2038">
        <f>COUNTIFS([3]!players[name],A2038,[3]!players[hero_name],B2038, [3]!players[win], 1)</f>
        <v>2</v>
      </c>
      <c r="F2038" s="1">
        <f t="shared" si="31"/>
        <v>0.66666666666666663</v>
      </c>
      <c r="G2038" s="2">
        <f>AVERAGEIFS([3]!players[gold_per_min], [3]!players[name],A2038,[3]!players[hero_name],B2038)</f>
        <v>698.33333333333337</v>
      </c>
      <c r="H2038" s="2">
        <f>AVERAGEIFS([3]!players[xp_per_min], [3]!players[name],A2038,[3]!players[hero_name],B2038)</f>
        <v>839.33333333333337</v>
      </c>
    </row>
    <row r="2039" spans="1:8" x14ac:dyDescent="0.3">
      <c r="A2039" t="str">
        <v>v1olentâ€“</v>
      </c>
      <c r="B2039" t="str">
        <v>Weaver</v>
      </c>
      <c r="C2039" t="str" cm="1">
        <f t="array" ref="C2039">_xlfn.XLOOKUP(1,([3]!players[name]=A2039)*([3]!players[hero_name]=B2039),[3]!players[lane_name])</f>
        <v>Carry</v>
      </c>
      <c r="D2039">
        <f>COUNTIFS([3]!players[name],A2039,[3]!players[hero_name],B2039)</f>
        <v>1</v>
      </c>
      <c r="E2039">
        <f>COUNTIFS([3]!players[name],A2039,[3]!players[hero_name],B2039, [3]!players[win], 1)</f>
        <v>0</v>
      </c>
      <c r="F2039" s="1">
        <f t="shared" si="31"/>
        <v>0</v>
      </c>
      <c r="G2039" s="2">
        <f>AVERAGEIFS([3]!players[gold_per_min], [3]!players[name],A2039,[3]!players[hero_name],B2039)</f>
        <v>587</v>
      </c>
      <c r="H2039" s="2">
        <f>AVERAGEIFS([3]!players[xp_per_min], [3]!players[name],A2039,[3]!players[hero_name],B2039)</f>
        <v>667</v>
      </c>
    </row>
    <row r="2040" spans="1:8" x14ac:dyDescent="0.3">
      <c r="A2040" t="str">
        <v>v1olentâ€“</v>
      </c>
      <c r="B2040" t="str">
        <v>Meepo</v>
      </c>
      <c r="C2040" t="str" cm="1">
        <f t="array" ref="C2040">_xlfn.XLOOKUP(1,([3]!players[name]=A2040)*([3]!players[hero_name]=B2040),[3]!players[lane_name])</f>
        <v>Carry</v>
      </c>
      <c r="D2040">
        <f>COUNTIFS([3]!players[name],A2040,[3]!players[hero_name],B2040)</f>
        <v>1</v>
      </c>
      <c r="E2040">
        <f>COUNTIFS([3]!players[name],A2040,[3]!players[hero_name],B2040, [3]!players[win], 1)</f>
        <v>0</v>
      </c>
      <c r="F2040" s="1">
        <f t="shared" si="31"/>
        <v>0</v>
      </c>
      <c r="G2040" s="2">
        <f>AVERAGEIFS([3]!players[gold_per_min], [3]!players[name],A2040,[3]!players[hero_name],B2040)</f>
        <v>690</v>
      </c>
      <c r="H2040" s="2">
        <f>AVERAGEIFS([3]!players[xp_per_min], [3]!players[name],A2040,[3]!players[hero_name],B2040)</f>
        <v>656</v>
      </c>
    </row>
    <row r="2041" spans="1:8" x14ac:dyDescent="0.3">
      <c r="A2041" t="str">
        <v>v1olentâ€“</v>
      </c>
      <c r="B2041" t="str">
        <v>Naga Siren</v>
      </c>
      <c r="C2041" t="str" cm="1">
        <f t="array" ref="C2041">_xlfn.XLOOKUP(1,([3]!players[name]=A2041)*([3]!players[hero_name]=B2041),[3]!players[lane_name])</f>
        <v>Off Lane</v>
      </c>
      <c r="D2041">
        <f>COUNTIFS([3]!players[name],A2041,[3]!players[hero_name],B2041)</f>
        <v>2</v>
      </c>
      <c r="E2041">
        <f>COUNTIFS([3]!players[name],A2041,[3]!players[hero_name],B2041, [3]!players[win], 1)</f>
        <v>1</v>
      </c>
      <c r="F2041" s="1">
        <f t="shared" si="31"/>
        <v>0.5</v>
      </c>
      <c r="G2041" s="2">
        <f>AVERAGEIFS([3]!players[gold_per_min], [3]!players[name],A2041,[3]!players[hero_name],B2041)</f>
        <v>656</v>
      </c>
      <c r="H2041" s="2">
        <f>AVERAGEIFS([3]!players[xp_per_min], [3]!players[name],A2041,[3]!players[hero_name],B2041)</f>
        <v>448</v>
      </c>
    </row>
    <row r="2042" spans="1:8" x14ac:dyDescent="0.3">
      <c r="A2042" t="str">
        <v>v1olentâ€“</v>
      </c>
      <c r="B2042" t="str">
        <v>Juggernaut</v>
      </c>
      <c r="C2042" t="str" cm="1">
        <f t="array" ref="C2042">_xlfn.XLOOKUP(1,([3]!players[name]=A2042)*([3]!players[hero_name]=B2042),[3]!players[lane_name])</f>
        <v>Carry</v>
      </c>
      <c r="D2042">
        <f>COUNTIFS([3]!players[name],A2042,[3]!players[hero_name],B2042)</f>
        <v>1</v>
      </c>
      <c r="E2042">
        <f>COUNTIFS([3]!players[name],A2042,[3]!players[hero_name],B2042, [3]!players[win], 1)</f>
        <v>0</v>
      </c>
      <c r="F2042" s="1">
        <f t="shared" si="31"/>
        <v>0</v>
      </c>
      <c r="G2042" s="2">
        <f>AVERAGEIFS([3]!players[gold_per_min], [3]!players[name],A2042,[3]!players[hero_name],B2042)</f>
        <v>686</v>
      </c>
      <c r="H2042" s="2">
        <f>AVERAGEIFS([3]!players[xp_per_min], [3]!players[name],A2042,[3]!players[hero_name],B2042)</f>
        <v>736</v>
      </c>
    </row>
    <row r="2043" spans="1:8" x14ac:dyDescent="0.3">
      <c r="A2043" t="str">
        <v>v1olentâ€“</v>
      </c>
      <c r="B2043" t="str">
        <v>Mars</v>
      </c>
      <c r="C2043" t="str" cm="1">
        <f t="array" ref="C2043">_xlfn.XLOOKUP(1,([3]!players[name]=A2043)*([3]!players[hero_name]=B2043),[3]!players[lane_name])</f>
        <v>Carry</v>
      </c>
      <c r="D2043">
        <f>COUNTIFS([3]!players[name],A2043,[3]!players[hero_name],B2043)</f>
        <v>1</v>
      </c>
      <c r="E2043">
        <f>COUNTIFS([3]!players[name],A2043,[3]!players[hero_name],B2043, [3]!players[win], 1)</f>
        <v>1</v>
      </c>
      <c r="F2043" s="1">
        <f t="shared" si="31"/>
        <v>1</v>
      </c>
      <c r="G2043" s="2">
        <f>AVERAGEIFS([3]!players[gold_per_min], [3]!players[name],A2043,[3]!players[hero_name],B2043)</f>
        <v>622</v>
      </c>
      <c r="H2043" s="2">
        <f>AVERAGEIFS([3]!players[xp_per_min], [3]!players[name],A2043,[3]!players[hero_name],B2043)</f>
        <v>720</v>
      </c>
    </row>
    <row r="2044" spans="1:8" x14ac:dyDescent="0.3">
      <c r="A2044" t="str">
        <v>v1olentâ€“</v>
      </c>
      <c r="B2044" t="str">
        <v>Doom</v>
      </c>
      <c r="C2044" t="str" cm="1">
        <f t="array" ref="C2044">_xlfn.XLOOKUP(1,([3]!players[name]=A2044)*([3]!players[hero_name]=B2044),[3]!players[lane_name])</f>
        <v>Carry</v>
      </c>
      <c r="D2044">
        <f>COUNTIFS([3]!players[name],A2044,[3]!players[hero_name],B2044)</f>
        <v>2</v>
      </c>
      <c r="E2044">
        <f>COUNTIFS([3]!players[name],A2044,[3]!players[hero_name],B2044, [3]!players[win], 1)</f>
        <v>0</v>
      </c>
      <c r="F2044" s="1">
        <f t="shared" si="31"/>
        <v>0</v>
      </c>
      <c r="G2044" s="2">
        <f>AVERAGEIFS([3]!players[gold_per_min], [3]!players[name],A2044,[3]!players[hero_name],B2044)</f>
        <v>722</v>
      </c>
      <c r="H2044" s="2">
        <f>AVERAGEIFS([3]!players[xp_per_min], [3]!players[name],A2044,[3]!players[hero_name],B2044)</f>
        <v>860.5</v>
      </c>
    </row>
    <row r="2045" spans="1:8" x14ac:dyDescent="0.3">
      <c r="A2045" t="str">
        <v>v1olentâ€“</v>
      </c>
      <c r="B2045" t="str">
        <v>Lone Druid</v>
      </c>
      <c r="C2045" t="str" cm="1">
        <f t="array" ref="C2045">_xlfn.XLOOKUP(1,([3]!players[name]=A2045)*([3]!players[hero_name]=B2045),[3]!players[lane_name])</f>
        <v>Carry</v>
      </c>
      <c r="D2045">
        <f>COUNTIFS([3]!players[name],A2045,[3]!players[hero_name],B2045)</f>
        <v>4</v>
      </c>
      <c r="E2045">
        <f>COUNTIFS([3]!players[name],A2045,[3]!players[hero_name],B2045, [3]!players[win], 1)</f>
        <v>2</v>
      </c>
      <c r="F2045" s="1">
        <f t="shared" si="31"/>
        <v>0.5</v>
      </c>
      <c r="G2045" s="2">
        <f>AVERAGEIFS([3]!players[gold_per_min], [3]!players[name],A2045,[3]!players[hero_name],B2045)</f>
        <v>742.75</v>
      </c>
      <c r="H2045" s="2">
        <f>AVERAGEIFS([3]!players[xp_per_min], [3]!players[name],A2045,[3]!players[hero_name],B2045)</f>
        <v>655.5</v>
      </c>
    </row>
    <row r="2046" spans="1:8" x14ac:dyDescent="0.3">
      <c r="A2046" t="str">
        <v>v1olentâ€“</v>
      </c>
      <c r="B2046" t="str">
        <v>Terrorblade</v>
      </c>
      <c r="C2046" t="str" cm="1">
        <f t="array" ref="C2046">_xlfn.XLOOKUP(1,([3]!players[name]=A2046)*([3]!players[hero_name]=B2046),[3]!players[lane_name])</f>
        <v>Carry</v>
      </c>
      <c r="D2046">
        <f>COUNTIFS([3]!players[name],A2046,[3]!players[hero_name],B2046)</f>
        <v>2</v>
      </c>
      <c r="E2046">
        <f>COUNTIFS([3]!players[name],A2046,[3]!players[hero_name],B2046, [3]!players[win], 1)</f>
        <v>2</v>
      </c>
      <c r="F2046" s="1">
        <f t="shared" si="31"/>
        <v>1</v>
      </c>
      <c r="G2046" s="2">
        <f>AVERAGEIFS([3]!players[gold_per_min], [3]!players[name],A2046,[3]!players[hero_name],B2046)</f>
        <v>725.5</v>
      </c>
      <c r="H2046" s="2">
        <f>AVERAGEIFS([3]!players[xp_per_min], [3]!players[name],A2046,[3]!players[hero_name],B2046)</f>
        <v>671.5</v>
      </c>
    </row>
    <row r="2047" spans="1:8" x14ac:dyDescent="0.3">
      <c r="A2047" t="str">
        <v>v1olentâ€“</v>
      </c>
      <c r="B2047" t="str">
        <v>Tiny</v>
      </c>
      <c r="C2047" t="str" cm="1">
        <f t="array" ref="C2047">_xlfn.XLOOKUP(1,([3]!players[name]=A2047)*([3]!players[hero_name]=B2047),[3]!players[lane_name])</f>
        <v>Carry</v>
      </c>
      <c r="D2047">
        <f>COUNTIFS([3]!players[name],A2047,[3]!players[hero_name],B2047)</f>
        <v>3</v>
      </c>
      <c r="E2047">
        <f>COUNTIFS([3]!players[name],A2047,[3]!players[hero_name],B2047, [3]!players[win], 1)</f>
        <v>1</v>
      </c>
      <c r="F2047" s="1">
        <f t="shared" si="31"/>
        <v>0.33333333333333331</v>
      </c>
      <c r="G2047" s="2">
        <f>AVERAGEIFS([3]!players[gold_per_min], [3]!players[name],A2047,[3]!players[hero_name],B2047)</f>
        <v>586.33333333333337</v>
      </c>
      <c r="H2047" s="2">
        <f>AVERAGEIFS([3]!players[xp_per_min], [3]!players[name],A2047,[3]!players[hero_name],B2047)</f>
        <v>759.33333333333337</v>
      </c>
    </row>
    <row r="2048" spans="1:8" x14ac:dyDescent="0.3">
      <c r="A2048" t="str">
        <v>v1olentâ€“</v>
      </c>
      <c r="B2048" t="str">
        <v>Luna</v>
      </c>
      <c r="C2048" t="str" cm="1">
        <f t="array" ref="C2048">_xlfn.XLOOKUP(1,([3]!players[name]=A2048)*([3]!players[hero_name]=B2048),[3]!players[lane_name])</f>
        <v>Carry</v>
      </c>
      <c r="D2048">
        <f>COUNTIFS([3]!players[name],A2048,[3]!players[hero_name],B2048)</f>
        <v>2</v>
      </c>
      <c r="E2048">
        <f>COUNTIFS([3]!players[name],A2048,[3]!players[hero_name],B2048, [3]!players[win], 1)</f>
        <v>1</v>
      </c>
      <c r="F2048" s="1">
        <f t="shared" si="31"/>
        <v>0.5</v>
      </c>
      <c r="G2048" s="2">
        <f>AVERAGEIFS([3]!players[gold_per_min], [3]!players[name],A2048,[3]!players[hero_name],B2048)</f>
        <v>902.5</v>
      </c>
      <c r="H2048" s="2">
        <f>AVERAGEIFS([3]!players[xp_per_min], [3]!players[name],A2048,[3]!players[hero_name],B2048)</f>
        <v>962</v>
      </c>
    </row>
    <row r="2049" spans="1:8" x14ac:dyDescent="0.3">
      <c r="A2049" t="str">
        <v>v1olentâ€“</v>
      </c>
      <c r="B2049" t="str">
        <v>Muerta</v>
      </c>
      <c r="C2049" t="str" cm="1">
        <f t="array" ref="C2049">_xlfn.XLOOKUP(1,([3]!players[name]=A2049)*([3]!players[hero_name]=B2049),[3]!players[lane_name])</f>
        <v>Carry</v>
      </c>
      <c r="D2049">
        <f>COUNTIFS([3]!players[name],A2049,[3]!players[hero_name],B2049)</f>
        <v>1</v>
      </c>
      <c r="E2049">
        <f>COUNTIFS([3]!players[name],A2049,[3]!players[hero_name],B2049, [3]!players[win], 1)</f>
        <v>0</v>
      </c>
      <c r="F2049" s="1">
        <f t="shared" si="31"/>
        <v>0</v>
      </c>
      <c r="G2049" s="2">
        <f>AVERAGEIFS([3]!players[gold_per_min], [3]!players[name],A2049,[3]!players[hero_name],B2049)</f>
        <v>572</v>
      </c>
      <c r="H2049" s="2">
        <f>AVERAGEIFS([3]!players[xp_per_min], [3]!players[name],A2049,[3]!players[hero_name],B2049)</f>
        <v>569</v>
      </c>
    </row>
    <row r="2050" spans="1:8" x14ac:dyDescent="0.3">
      <c r="A2050" t="str">
        <v>v1olentâ€“</v>
      </c>
      <c r="B2050" t="str">
        <v>Slark</v>
      </c>
      <c r="C2050" t="str" cm="1">
        <f t="array" ref="C2050">_xlfn.XLOOKUP(1,([3]!players[name]=A2050)*([3]!players[hero_name]=B2050),[3]!players[lane_name])</f>
        <v>Carry</v>
      </c>
      <c r="D2050">
        <f>COUNTIFS([3]!players[name],A2050,[3]!players[hero_name],B2050)</f>
        <v>1</v>
      </c>
      <c r="E2050">
        <f>COUNTIFS([3]!players[name],A2050,[3]!players[hero_name],B2050, [3]!players[win], 1)</f>
        <v>1</v>
      </c>
      <c r="F2050" s="1">
        <f t="shared" si="31"/>
        <v>1</v>
      </c>
      <c r="G2050" s="2">
        <f>AVERAGEIFS([3]!players[gold_per_min], [3]!players[name],A2050,[3]!players[hero_name],B2050)</f>
        <v>571</v>
      </c>
      <c r="H2050" s="2">
        <f>AVERAGEIFS([3]!players[xp_per_min], [3]!players[name],A2050,[3]!players[hero_name],B2050)</f>
        <v>610</v>
      </c>
    </row>
    <row r="2051" spans="1:8" x14ac:dyDescent="0.3">
      <c r="A2051" t="str">
        <v>v1olentâ€“</v>
      </c>
      <c r="B2051" t="str">
        <v>Gyrocopter</v>
      </c>
      <c r="C2051" t="str" cm="1">
        <f t="array" ref="C2051">_xlfn.XLOOKUP(1,([3]!players[name]=A2051)*([3]!players[hero_name]=B2051),[3]!players[lane_name])</f>
        <v>Carry</v>
      </c>
      <c r="D2051">
        <f>COUNTIFS([3]!players[name],A2051,[3]!players[hero_name],B2051)</f>
        <v>1</v>
      </c>
      <c r="E2051">
        <f>COUNTIFS([3]!players[name],A2051,[3]!players[hero_name],B2051, [3]!players[win], 1)</f>
        <v>1</v>
      </c>
      <c r="F2051" s="1">
        <f t="shared" ref="F2051:F2114" si="32">E2051/D2051</f>
        <v>1</v>
      </c>
      <c r="G2051" s="2">
        <f>AVERAGEIFS([3]!players[gold_per_min], [3]!players[name],A2051,[3]!players[hero_name],B2051)</f>
        <v>819</v>
      </c>
      <c r="H2051" s="2">
        <f>AVERAGEIFS([3]!players[xp_per_min], [3]!players[name],A2051,[3]!players[hero_name],B2051)</f>
        <v>722</v>
      </c>
    </row>
    <row r="2052" spans="1:8" x14ac:dyDescent="0.3">
      <c r="A2052" t="str">
        <v>v1olentâ€“</v>
      </c>
      <c r="B2052" t="str">
        <v>Kez</v>
      </c>
      <c r="C2052" t="str" cm="1">
        <f t="array" ref="C2052">_xlfn.XLOOKUP(1,([3]!players[name]=A2052)*([3]!players[hero_name]=B2052),[3]!players[lane_name])</f>
        <v>Carry</v>
      </c>
      <c r="D2052">
        <f>COUNTIFS([3]!players[name],A2052,[3]!players[hero_name],B2052)</f>
        <v>3</v>
      </c>
      <c r="E2052">
        <f>COUNTIFS([3]!players[name],A2052,[3]!players[hero_name],B2052, [3]!players[win], 1)</f>
        <v>1</v>
      </c>
      <c r="F2052" s="1">
        <f t="shared" si="32"/>
        <v>0.33333333333333331</v>
      </c>
      <c r="G2052" s="2">
        <f>AVERAGEIFS([3]!players[gold_per_min], [3]!players[name],A2052,[3]!players[hero_name],B2052)</f>
        <v>558.33333333333337</v>
      </c>
      <c r="H2052" s="2">
        <f>AVERAGEIFS([3]!players[xp_per_min], [3]!players[name],A2052,[3]!players[hero_name],B2052)</f>
        <v>679</v>
      </c>
    </row>
    <row r="2053" spans="1:8" x14ac:dyDescent="0.3">
      <c r="A2053" t="str">
        <v>v1olentâ€“</v>
      </c>
      <c r="B2053" t="str">
        <v>Troll Warlord</v>
      </c>
      <c r="C2053" t="str" cm="1">
        <f t="array" ref="C2053">_xlfn.XLOOKUP(1,([3]!players[name]=A2053)*([3]!players[hero_name]=B2053),[3]!players[lane_name])</f>
        <v>Carry</v>
      </c>
      <c r="D2053">
        <f>COUNTIFS([3]!players[name],A2053,[3]!players[hero_name],B2053)</f>
        <v>1</v>
      </c>
      <c r="E2053">
        <f>COUNTIFS([3]!players[name],A2053,[3]!players[hero_name],B2053, [3]!players[win], 1)</f>
        <v>0</v>
      </c>
      <c r="F2053" s="1">
        <f t="shared" si="32"/>
        <v>0</v>
      </c>
      <c r="G2053" s="2">
        <f>AVERAGEIFS([3]!players[gold_per_min], [3]!players[name],A2053,[3]!players[hero_name],B2053)</f>
        <v>552</v>
      </c>
      <c r="H2053" s="2">
        <f>AVERAGEIFS([3]!players[xp_per_min], [3]!players[name],A2053,[3]!players[hero_name],B2053)</f>
        <v>658</v>
      </c>
    </row>
    <row r="2054" spans="1:8" x14ac:dyDescent="0.3">
      <c r="A2054" t="str">
        <v>Varizh</v>
      </c>
      <c r="B2054" t="str">
        <v>Witch Doctor</v>
      </c>
      <c r="C2054" t="str" cm="1">
        <f t="array" ref="C2054">_xlfn.XLOOKUP(1,([3]!players[name]=A2054)*([3]!players[hero_name]=B2054),[3]!players[lane_name])</f>
        <v>Hard Support</v>
      </c>
      <c r="D2054">
        <f>COUNTIFS([3]!players[name],A2054,[3]!players[hero_name],B2054)</f>
        <v>1</v>
      </c>
      <c r="E2054">
        <f>COUNTIFS([3]!players[name],A2054,[3]!players[hero_name],B2054, [3]!players[win], 1)</f>
        <v>1</v>
      </c>
      <c r="F2054" s="1">
        <f t="shared" si="32"/>
        <v>1</v>
      </c>
      <c r="G2054" s="2">
        <f>AVERAGEIFS([3]!players[gold_per_min], [3]!players[name],A2054,[3]!players[hero_name],B2054)</f>
        <v>334</v>
      </c>
      <c r="H2054" s="2">
        <f>AVERAGEIFS([3]!players[xp_per_min], [3]!players[name],A2054,[3]!players[hero_name],B2054)</f>
        <v>423</v>
      </c>
    </row>
    <row r="2055" spans="1:8" x14ac:dyDescent="0.3">
      <c r="A2055" t="str">
        <v>Varizh</v>
      </c>
      <c r="B2055" t="str">
        <v>Lion</v>
      </c>
      <c r="C2055" t="str" cm="1">
        <f t="array" ref="C2055">_xlfn.XLOOKUP(1,([3]!players[name]=A2055)*([3]!players[hero_name]=B2055),[3]!players[lane_name])</f>
        <v>Hard Support</v>
      </c>
      <c r="D2055">
        <f>COUNTIFS([3]!players[name],A2055,[3]!players[hero_name],B2055)</f>
        <v>3</v>
      </c>
      <c r="E2055">
        <f>COUNTIFS([3]!players[name],A2055,[3]!players[hero_name],B2055, [3]!players[win], 1)</f>
        <v>1</v>
      </c>
      <c r="F2055" s="1">
        <f t="shared" si="32"/>
        <v>0.33333333333333331</v>
      </c>
      <c r="G2055" s="2">
        <f>AVERAGEIFS([3]!players[gold_per_min], [3]!players[name],A2055,[3]!players[hero_name],B2055)</f>
        <v>299</v>
      </c>
      <c r="H2055" s="2">
        <f>AVERAGEIFS([3]!players[xp_per_min], [3]!players[name],A2055,[3]!players[hero_name],B2055)</f>
        <v>400</v>
      </c>
    </row>
    <row r="2056" spans="1:8" x14ac:dyDescent="0.3">
      <c r="A2056" t="str">
        <v>Varizh</v>
      </c>
      <c r="B2056" t="str">
        <v>Phoenix</v>
      </c>
      <c r="C2056" t="str" cm="1">
        <f t="array" ref="C2056">_xlfn.XLOOKUP(1,([3]!players[name]=A2056)*([3]!players[hero_name]=B2056),[3]!players[lane_name])</f>
        <v>Soft Support</v>
      </c>
      <c r="D2056">
        <f>COUNTIFS([3]!players[name],A2056,[3]!players[hero_name],B2056)</f>
        <v>7</v>
      </c>
      <c r="E2056">
        <f>COUNTIFS([3]!players[name],A2056,[3]!players[hero_name],B2056, [3]!players[win], 1)</f>
        <v>5</v>
      </c>
      <c r="F2056" s="1">
        <f t="shared" si="32"/>
        <v>0.7142857142857143</v>
      </c>
      <c r="G2056" s="2">
        <f>AVERAGEIFS([3]!players[gold_per_min], [3]!players[name],A2056,[3]!players[hero_name],B2056)</f>
        <v>390.85714285714283</v>
      </c>
      <c r="H2056" s="2">
        <f>AVERAGEIFS([3]!players[xp_per_min], [3]!players[name],A2056,[3]!players[hero_name],B2056)</f>
        <v>534.42857142857144</v>
      </c>
    </row>
    <row r="2057" spans="1:8" x14ac:dyDescent="0.3">
      <c r="A2057" t="str">
        <v>Varizh</v>
      </c>
      <c r="B2057" t="str">
        <v>Disruptor</v>
      </c>
      <c r="C2057" t="str" cm="1">
        <f t="array" ref="C2057">_xlfn.XLOOKUP(1,([3]!players[name]=A2057)*([3]!players[hero_name]=B2057),[3]!players[lane_name])</f>
        <v>Hard Support</v>
      </c>
      <c r="D2057">
        <f>COUNTIFS([3]!players[name],A2057,[3]!players[hero_name],B2057)</f>
        <v>4</v>
      </c>
      <c r="E2057">
        <f>COUNTIFS([3]!players[name],A2057,[3]!players[hero_name],B2057, [3]!players[win], 1)</f>
        <v>4</v>
      </c>
      <c r="F2057" s="1">
        <f t="shared" si="32"/>
        <v>1</v>
      </c>
      <c r="G2057" s="2">
        <f>AVERAGEIFS([3]!players[gold_per_min], [3]!players[name],A2057,[3]!players[hero_name],B2057)</f>
        <v>330.5</v>
      </c>
      <c r="H2057" s="2">
        <f>AVERAGEIFS([3]!players[xp_per_min], [3]!players[name],A2057,[3]!players[hero_name],B2057)</f>
        <v>527.5</v>
      </c>
    </row>
    <row r="2058" spans="1:8" x14ac:dyDescent="0.3">
      <c r="A2058" t="str">
        <v>Varizh</v>
      </c>
      <c r="B2058" t="str">
        <v>Dazzle</v>
      </c>
      <c r="C2058" t="str" cm="1">
        <f t="array" ref="C2058">_xlfn.XLOOKUP(1,([3]!players[name]=A2058)*([3]!players[hero_name]=B2058),[3]!players[lane_name])</f>
        <v>Hard Support</v>
      </c>
      <c r="D2058">
        <f>COUNTIFS([3]!players[name],A2058,[3]!players[hero_name],B2058)</f>
        <v>1</v>
      </c>
      <c r="E2058">
        <f>COUNTIFS([3]!players[name],A2058,[3]!players[hero_name],B2058, [3]!players[win], 1)</f>
        <v>0</v>
      </c>
      <c r="F2058" s="1">
        <f t="shared" si="32"/>
        <v>0</v>
      </c>
      <c r="G2058" s="2">
        <f>AVERAGEIFS([3]!players[gold_per_min], [3]!players[name],A2058,[3]!players[hero_name],B2058)</f>
        <v>207</v>
      </c>
      <c r="H2058" s="2">
        <f>AVERAGEIFS([3]!players[xp_per_min], [3]!players[name],A2058,[3]!players[hero_name],B2058)</f>
        <v>251</v>
      </c>
    </row>
    <row r="2059" spans="1:8" x14ac:dyDescent="0.3">
      <c r="A2059" t="str">
        <v>Varizh</v>
      </c>
      <c r="B2059" t="str">
        <v>Grimstroke</v>
      </c>
      <c r="C2059" t="str" cm="1">
        <f t="array" ref="C2059">_xlfn.XLOOKUP(1,([3]!players[name]=A2059)*([3]!players[hero_name]=B2059),[3]!players[lane_name])</f>
        <v>Hard Support</v>
      </c>
      <c r="D2059">
        <f>COUNTIFS([3]!players[name],A2059,[3]!players[hero_name],B2059)</f>
        <v>1</v>
      </c>
      <c r="E2059">
        <f>COUNTIFS([3]!players[name],A2059,[3]!players[hero_name],B2059, [3]!players[win], 1)</f>
        <v>1</v>
      </c>
      <c r="F2059" s="1">
        <f t="shared" si="32"/>
        <v>1</v>
      </c>
      <c r="G2059" s="2">
        <f>AVERAGEIFS([3]!players[gold_per_min], [3]!players[name],A2059,[3]!players[hero_name],B2059)</f>
        <v>433</v>
      </c>
      <c r="H2059" s="2">
        <f>AVERAGEIFS([3]!players[xp_per_min], [3]!players[name],A2059,[3]!players[hero_name],B2059)</f>
        <v>624</v>
      </c>
    </row>
    <row r="2060" spans="1:8" x14ac:dyDescent="0.3">
      <c r="A2060" t="str">
        <v>Varizh</v>
      </c>
      <c r="B2060" t="str">
        <v>Treant Protector</v>
      </c>
      <c r="C2060" t="str" cm="1">
        <f t="array" ref="C2060">_xlfn.XLOOKUP(1,([3]!players[name]=A2060)*([3]!players[hero_name]=B2060),[3]!players[lane_name])</f>
        <v>Hard Support</v>
      </c>
      <c r="D2060">
        <f>COUNTIFS([3]!players[name],A2060,[3]!players[hero_name],B2060)</f>
        <v>1</v>
      </c>
      <c r="E2060">
        <f>COUNTIFS([3]!players[name],A2060,[3]!players[hero_name],B2060, [3]!players[win], 1)</f>
        <v>1</v>
      </c>
      <c r="F2060" s="1">
        <f t="shared" si="32"/>
        <v>1</v>
      </c>
      <c r="G2060" s="2">
        <f>AVERAGEIFS([3]!players[gold_per_min], [3]!players[name],A2060,[3]!players[hero_name],B2060)</f>
        <v>352</v>
      </c>
      <c r="H2060" s="2">
        <f>AVERAGEIFS([3]!players[xp_per_min], [3]!players[name],A2060,[3]!players[hero_name],B2060)</f>
        <v>504</v>
      </c>
    </row>
    <row r="2061" spans="1:8" x14ac:dyDescent="0.3">
      <c r="A2061" t="str">
        <v>Varizh</v>
      </c>
      <c r="B2061" t="str">
        <v>Ogre Magi</v>
      </c>
      <c r="C2061" t="str" cm="1">
        <f t="array" ref="C2061">_xlfn.XLOOKUP(1,([3]!players[name]=A2061)*([3]!players[hero_name]=B2061),[3]!players[lane_name])</f>
        <v>Hard Support</v>
      </c>
      <c r="D2061">
        <f>COUNTIFS([3]!players[name],A2061,[3]!players[hero_name],B2061)</f>
        <v>1</v>
      </c>
      <c r="E2061">
        <f>COUNTIFS([3]!players[name],A2061,[3]!players[hero_name],B2061, [3]!players[win], 1)</f>
        <v>1</v>
      </c>
      <c r="F2061" s="1">
        <f t="shared" si="32"/>
        <v>1</v>
      </c>
      <c r="G2061" s="2">
        <f>AVERAGEIFS([3]!players[gold_per_min], [3]!players[name],A2061,[3]!players[hero_name],B2061)</f>
        <v>340</v>
      </c>
      <c r="H2061" s="2">
        <f>AVERAGEIFS([3]!players[xp_per_min], [3]!players[name],A2061,[3]!players[hero_name],B2061)</f>
        <v>417</v>
      </c>
    </row>
    <row r="2062" spans="1:8" x14ac:dyDescent="0.3">
      <c r="A2062" t="str">
        <v>Varizh</v>
      </c>
      <c r="B2062" t="str">
        <v>Warlock</v>
      </c>
      <c r="C2062" t="str" cm="1">
        <f t="array" ref="C2062">_xlfn.XLOOKUP(1,([3]!players[name]=A2062)*([3]!players[hero_name]=B2062),[3]!players[lane_name])</f>
        <v>Hard Support</v>
      </c>
      <c r="D2062">
        <f>COUNTIFS([3]!players[name],A2062,[3]!players[hero_name],B2062)</f>
        <v>1</v>
      </c>
      <c r="E2062">
        <f>COUNTIFS([3]!players[name],A2062,[3]!players[hero_name],B2062, [3]!players[win], 1)</f>
        <v>1</v>
      </c>
      <c r="F2062" s="1">
        <f t="shared" si="32"/>
        <v>1</v>
      </c>
      <c r="G2062" s="2">
        <f>AVERAGEIFS([3]!players[gold_per_min], [3]!players[name],A2062,[3]!players[hero_name],B2062)</f>
        <v>466</v>
      </c>
      <c r="H2062" s="2">
        <f>AVERAGEIFS([3]!players[xp_per_min], [3]!players[name],A2062,[3]!players[hero_name],B2062)</f>
        <v>711</v>
      </c>
    </row>
    <row r="2063" spans="1:8" x14ac:dyDescent="0.3">
      <c r="A2063" t="str">
        <v>Varizh</v>
      </c>
      <c r="B2063" t="str">
        <v>Enchantress</v>
      </c>
      <c r="C2063" t="str" cm="1">
        <f t="array" ref="C2063">_xlfn.XLOOKUP(1,([3]!players[name]=A2063)*([3]!players[hero_name]=B2063),[3]!players[lane_name])</f>
        <v>Soft Support</v>
      </c>
      <c r="D2063">
        <f>COUNTIFS([3]!players[name],A2063,[3]!players[hero_name],B2063)</f>
        <v>1</v>
      </c>
      <c r="E2063">
        <f>COUNTIFS([3]!players[name],A2063,[3]!players[hero_name],B2063, [3]!players[win], 1)</f>
        <v>0</v>
      </c>
      <c r="F2063" s="1">
        <f t="shared" si="32"/>
        <v>0</v>
      </c>
      <c r="G2063" s="2">
        <f>AVERAGEIFS([3]!players[gold_per_min], [3]!players[name],A2063,[3]!players[hero_name],B2063)</f>
        <v>304</v>
      </c>
      <c r="H2063" s="2">
        <f>AVERAGEIFS([3]!players[xp_per_min], [3]!players[name],A2063,[3]!players[hero_name],B2063)</f>
        <v>393</v>
      </c>
    </row>
    <row r="2064" spans="1:8" x14ac:dyDescent="0.3">
      <c r="A2064" t="str">
        <v>Vitaly èª‡ã‚Š</v>
      </c>
      <c r="B2064" t="str">
        <v>Tidehunter</v>
      </c>
      <c r="C2064" t="str" cm="1">
        <f t="array" ref="C2064">_xlfn.XLOOKUP(1,([3]!players[name]=A2064)*([3]!players[hero_name]=B2064),[3]!players[lane_name])</f>
        <v>Off Lane</v>
      </c>
      <c r="D2064">
        <f>COUNTIFS([3]!players[name],A2064,[3]!players[hero_name],B2064)</f>
        <v>4</v>
      </c>
      <c r="E2064">
        <f>COUNTIFS([3]!players[name],A2064,[3]!players[hero_name],B2064, [3]!players[win], 1)</f>
        <v>1</v>
      </c>
      <c r="F2064" s="1">
        <f t="shared" si="32"/>
        <v>0.25</v>
      </c>
      <c r="G2064" s="2">
        <f>AVERAGEIFS([3]!players[gold_per_min], [3]!players[name],A2064,[3]!players[hero_name],B2064)</f>
        <v>484.25</v>
      </c>
      <c r="H2064" s="2">
        <f>AVERAGEIFS([3]!players[xp_per_min], [3]!players[name],A2064,[3]!players[hero_name],B2064)</f>
        <v>668.75</v>
      </c>
    </row>
    <row r="2065" spans="1:8" x14ac:dyDescent="0.3">
      <c r="A2065" t="str">
        <v>Vitaly èª‡ã‚Š</v>
      </c>
      <c r="B2065" t="str">
        <v>Brewmaster</v>
      </c>
      <c r="C2065" t="str" cm="1">
        <f t="array" ref="C2065">_xlfn.XLOOKUP(1,([3]!players[name]=A2065)*([3]!players[hero_name]=B2065),[3]!players[lane_name])</f>
        <v>Off Lane</v>
      </c>
      <c r="D2065">
        <f>COUNTIFS([3]!players[name],A2065,[3]!players[hero_name],B2065)</f>
        <v>2</v>
      </c>
      <c r="E2065">
        <f>COUNTIFS([3]!players[name],A2065,[3]!players[hero_name],B2065, [3]!players[win], 1)</f>
        <v>1</v>
      </c>
      <c r="F2065" s="1">
        <f t="shared" si="32"/>
        <v>0.5</v>
      </c>
      <c r="G2065" s="2">
        <f>AVERAGEIFS([3]!players[gold_per_min], [3]!players[name],A2065,[3]!players[hero_name],B2065)</f>
        <v>567</v>
      </c>
      <c r="H2065" s="2">
        <f>AVERAGEIFS([3]!players[xp_per_min], [3]!players[name],A2065,[3]!players[hero_name],B2065)</f>
        <v>758</v>
      </c>
    </row>
    <row r="2066" spans="1:8" x14ac:dyDescent="0.3">
      <c r="A2066" t="str">
        <v>Vitaly èª‡ã‚Š</v>
      </c>
      <c r="B2066" t="str">
        <v>Batrider</v>
      </c>
      <c r="C2066" t="str" cm="1">
        <f t="array" ref="C2066">_xlfn.XLOOKUP(1,([3]!players[name]=A2066)*([3]!players[hero_name]=B2066),[3]!players[lane_name])</f>
        <v>Off Lane</v>
      </c>
      <c r="D2066">
        <f>COUNTIFS([3]!players[name],A2066,[3]!players[hero_name],B2066)</f>
        <v>2</v>
      </c>
      <c r="E2066">
        <f>COUNTIFS([3]!players[name],A2066,[3]!players[hero_name],B2066, [3]!players[win], 1)</f>
        <v>1</v>
      </c>
      <c r="F2066" s="1">
        <f t="shared" si="32"/>
        <v>0.5</v>
      </c>
      <c r="G2066" s="2">
        <f>AVERAGEIFS([3]!players[gold_per_min], [3]!players[name],A2066,[3]!players[hero_name],B2066)</f>
        <v>554</v>
      </c>
      <c r="H2066" s="2">
        <f>AVERAGEIFS([3]!players[xp_per_min], [3]!players[name],A2066,[3]!players[hero_name],B2066)</f>
        <v>857</v>
      </c>
    </row>
    <row r="2067" spans="1:8" x14ac:dyDescent="0.3">
      <c r="A2067" t="str">
        <v>Vitaly èª‡ã‚Š</v>
      </c>
      <c r="B2067" t="str">
        <v>Undying</v>
      </c>
      <c r="C2067" t="str" cm="1">
        <f t="array" ref="C2067">_xlfn.XLOOKUP(1,([3]!players[name]=A2067)*([3]!players[hero_name]=B2067),[3]!players[lane_name])</f>
        <v>Off Lane</v>
      </c>
      <c r="D2067">
        <f>COUNTIFS([3]!players[name],A2067,[3]!players[hero_name],B2067)</f>
        <v>2</v>
      </c>
      <c r="E2067">
        <f>COUNTIFS([3]!players[name],A2067,[3]!players[hero_name],B2067, [3]!players[win], 1)</f>
        <v>1</v>
      </c>
      <c r="F2067" s="1">
        <f t="shared" si="32"/>
        <v>0.5</v>
      </c>
      <c r="G2067" s="2">
        <f>AVERAGEIFS([3]!players[gold_per_min], [3]!players[name],A2067,[3]!players[hero_name],B2067)</f>
        <v>506</v>
      </c>
      <c r="H2067" s="2">
        <f>AVERAGEIFS([3]!players[xp_per_min], [3]!players[name],A2067,[3]!players[hero_name],B2067)</f>
        <v>661.5</v>
      </c>
    </row>
    <row r="2068" spans="1:8" x14ac:dyDescent="0.3">
      <c r="A2068" t="str">
        <v>Vitaly èª‡ã‚Š</v>
      </c>
      <c r="B2068" t="str">
        <v>Slardar</v>
      </c>
      <c r="C2068" t="str" cm="1">
        <f t="array" ref="C2068">_xlfn.XLOOKUP(1,([3]!players[name]=A2068)*([3]!players[hero_name]=B2068),[3]!players[lane_name])</f>
        <v>Off Lane</v>
      </c>
      <c r="D2068">
        <f>COUNTIFS([3]!players[name],A2068,[3]!players[hero_name],B2068)</f>
        <v>2</v>
      </c>
      <c r="E2068">
        <f>COUNTIFS([3]!players[name],A2068,[3]!players[hero_name],B2068, [3]!players[win], 1)</f>
        <v>1</v>
      </c>
      <c r="F2068" s="1">
        <f t="shared" si="32"/>
        <v>0.5</v>
      </c>
      <c r="G2068" s="2">
        <f>AVERAGEIFS([3]!players[gold_per_min], [3]!players[name],A2068,[3]!players[hero_name],B2068)</f>
        <v>512.5</v>
      </c>
      <c r="H2068" s="2">
        <f>AVERAGEIFS([3]!players[xp_per_min], [3]!players[name],A2068,[3]!players[hero_name],B2068)</f>
        <v>578.5</v>
      </c>
    </row>
    <row r="2069" spans="1:8" x14ac:dyDescent="0.3">
      <c r="A2069" t="str">
        <v>Vitaly èª‡ã‚Š</v>
      </c>
      <c r="B2069" t="str">
        <v>Centaur Warrunner</v>
      </c>
      <c r="C2069" t="str" cm="1">
        <f t="array" ref="C2069">_xlfn.XLOOKUP(1,([3]!players[name]=A2069)*([3]!players[hero_name]=B2069),[3]!players[lane_name])</f>
        <v>Off Lane</v>
      </c>
      <c r="D2069">
        <f>COUNTIFS([3]!players[name],A2069,[3]!players[hero_name],B2069)</f>
        <v>1</v>
      </c>
      <c r="E2069">
        <f>COUNTIFS([3]!players[name],A2069,[3]!players[hero_name],B2069, [3]!players[win], 1)</f>
        <v>0</v>
      </c>
      <c r="F2069" s="1">
        <f t="shared" si="32"/>
        <v>0</v>
      </c>
      <c r="G2069" s="2">
        <f>AVERAGEIFS([3]!players[gold_per_min], [3]!players[name],A2069,[3]!players[hero_name],B2069)</f>
        <v>537</v>
      </c>
      <c r="H2069" s="2">
        <f>AVERAGEIFS([3]!players[xp_per_min], [3]!players[name],A2069,[3]!players[hero_name],B2069)</f>
        <v>779</v>
      </c>
    </row>
    <row r="2070" spans="1:8" x14ac:dyDescent="0.3">
      <c r="A2070" t="str">
        <v>VoidRift</v>
      </c>
      <c r="B2070" t="str">
        <v>Pudge</v>
      </c>
      <c r="C2070" t="str" cm="1">
        <f t="array" ref="C2070">_xlfn.XLOOKUP(1,([3]!players[name]=A2070)*([3]!players[hero_name]=B2070),[3]!players[lane_name])</f>
        <v>Mid</v>
      </c>
      <c r="D2070">
        <f>COUNTIFS([3]!players[name],A2070,[3]!players[hero_name],B2070)</f>
        <v>3</v>
      </c>
      <c r="E2070">
        <f>COUNTIFS([3]!players[name],A2070,[3]!players[hero_name],B2070, [3]!players[win], 1)</f>
        <v>2</v>
      </c>
      <c r="F2070" s="1">
        <f t="shared" si="32"/>
        <v>0.66666666666666663</v>
      </c>
      <c r="G2070" s="2">
        <f>AVERAGEIFS([3]!players[gold_per_min], [3]!players[name],A2070,[3]!players[hero_name],B2070)</f>
        <v>503.66666666666669</v>
      </c>
      <c r="H2070" s="2">
        <f>AVERAGEIFS([3]!players[xp_per_min], [3]!players[name],A2070,[3]!players[hero_name],B2070)</f>
        <v>730</v>
      </c>
    </row>
    <row r="2071" spans="1:8" x14ac:dyDescent="0.3">
      <c r="A2071" t="str">
        <v>VoidRift</v>
      </c>
      <c r="B2071" t="str">
        <v>Shadow Fiend</v>
      </c>
      <c r="C2071" t="str" cm="1">
        <f t="array" ref="C2071">_xlfn.XLOOKUP(1,([3]!players[name]=A2071)*([3]!players[hero_name]=B2071),[3]!players[lane_name])</f>
        <v>Mid</v>
      </c>
      <c r="D2071">
        <f>COUNTIFS([3]!players[name],A2071,[3]!players[hero_name],B2071)</f>
        <v>21</v>
      </c>
      <c r="E2071">
        <f>COUNTIFS([3]!players[name],A2071,[3]!players[hero_name],B2071, [3]!players[win], 1)</f>
        <v>12</v>
      </c>
      <c r="F2071" s="1">
        <f t="shared" si="32"/>
        <v>0.5714285714285714</v>
      </c>
      <c r="G2071" s="2">
        <f>AVERAGEIFS([3]!players[gold_per_min], [3]!players[name],A2071,[3]!players[hero_name],B2071)</f>
        <v>650.23809523809518</v>
      </c>
      <c r="H2071" s="2">
        <f>AVERAGEIFS([3]!players[xp_per_min], [3]!players[name],A2071,[3]!players[hero_name],B2071)</f>
        <v>924</v>
      </c>
    </row>
    <row r="2072" spans="1:8" x14ac:dyDescent="0.3">
      <c r="A2072" t="str">
        <v>VoidRift</v>
      </c>
      <c r="B2072" t="str">
        <v>Rubick</v>
      </c>
      <c r="C2072" t="str" cm="1">
        <f t="array" ref="C2072">_xlfn.XLOOKUP(1,([3]!players[name]=A2072)*([3]!players[hero_name]=B2072),[3]!players[lane_name])</f>
        <v>Mid</v>
      </c>
      <c r="D2072">
        <f>COUNTIFS([3]!players[name],A2072,[3]!players[hero_name],B2072)</f>
        <v>16</v>
      </c>
      <c r="E2072">
        <f>COUNTIFS([3]!players[name],A2072,[3]!players[hero_name],B2072, [3]!players[win], 1)</f>
        <v>11</v>
      </c>
      <c r="F2072" s="1">
        <f t="shared" si="32"/>
        <v>0.6875</v>
      </c>
      <c r="G2072" s="2">
        <f>AVERAGEIFS([3]!players[gold_per_min], [3]!players[name],A2072,[3]!players[hero_name],B2072)</f>
        <v>575.4375</v>
      </c>
      <c r="H2072" s="2">
        <f>AVERAGEIFS([3]!players[xp_per_min], [3]!players[name],A2072,[3]!players[hero_name],B2072)</f>
        <v>794.8125</v>
      </c>
    </row>
    <row r="2073" spans="1:8" x14ac:dyDescent="0.3">
      <c r="A2073" t="str">
        <v>VoidRift</v>
      </c>
      <c r="B2073" t="str">
        <v>Riki</v>
      </c>
      <c r="C2073" t="str" cm="1">
        <f t="array" ref="C2073">_xlfn.XLOOKUP(1,([3]!players[name]=A2073)*([3]!players[hero_name]=B2073),[3]!players[lane_name])</f>
        <v>Mid</v>
      </c>
      <c r="D2073">
        <f>COUNTIFS([3]!players[name],A2073,[3]!players[hero_name],B2073)</f>
        <v>3</v>
      </c>
      <c r="E2073">
        <f>COUNTIFS([3]!players[name],A2073,[3]!players[hero_name],B2073, [3]!players[win], 1)</f>
        <v>3</v>
      </c>
      <c r="F2073" s="1">
        <f t="shared" si="32"/>
        <v>1</v>
      </c>
      <c r="G2073" s="2">
        <f>AVERAGEIFS([3]!players[gold_per_min], [3]!players[name],A2073,[3]!players[hero_name],B2073)</f>
        <v>559.33333333333337</v>
      </c>
      <c r="H2073" s="2">
        <f>AVERAGEIFS([3]!players[xp_per_min], [3]!players[name],A2073,[3]!players[hero_name],B2073)</f>
        <v>1070.6666666666667</v>
      </c>
    </row>
    <row r="2074" spans="1:8" x14ac:dyDescent="0.3">
      <c r="A2074" t="str">
        <v>VoidRift</v>
      </c>
      <c r="B2074" t="str">
        <v>Queen of Pain</v>
      </c>
      <c r="C2074" t="str" cm="1">
        <f t="array" ref="C2074">_xlfn.XLOOKUP(1,([3]!players[name]=A2074)*([3]!players[hero_name]=B2074),[3]!players[lane_name])</f>
        <v>Mid</v>
      </c>
      <c r="D2074">
        <f>COUNTIFS([3]!players[name],A2074,[3]!players[hero_name],B2074)</f>
        <v>14</v>
      </c>
      <c r="E2074">
        <f>COUNTIFS([3]!players[name],A2074,[3]!players[hero_name],B2074, [3]!players[win], 1)</f>
        <v>2</v>
      </c>
      <c r="F2074" s="1">
        <f t="shared" si="32"/>
        <v>0.14285714285714285</v>
      </c>
      <c r="G2074" s="2">
        <f>AVERAGEIFS([3]!players[gold_per_min], [3]!players[name],A2074,[3]!players[hero_name],B2074)</f>
        <v>530.21428571428567</v>
      </c>
      <c r="H2074" s="2">
        <f>AVERAGEIFS([3]!players[xp_per_min], [3]!players[name],A2074,[3]!players[hero_name],B2074)</f>
        <v>770.71428571428567</v>
      </c>
    </row>
    <row r="2075" spans="1:8" x14ac:dyDescent="0.3">
      <c r="A2075" t="str">
        <v>VoidRift</v>
      </c>
      <c r="B2075" t="str">
        <v>Beastmaster</v>
      </c>
      <c r="C2075" t="str" cm="1">
        <f t="array" ref="C2075">_xlfn.XLOOKUP(1,([3]!players[name]=A2075)*([3]!players[hero_name]=B2075),[3]!players[lane_name])</f>
        <v>Mid</v>
      </c>
      <c r="D2075">
        <f>COUNTIFS([3]!players[name],A2075,[3]!players[hero_name],B2075)</f>
        <v>2</v>
      </c>
      <c r="E2075">
        <f>COUNTIFS([3]!players[name],A2075,[3]!players[hero_name],B2075, [3]!players[win], 1)</f>
        <v>0</v>
      </c>
      <c r="F2075" s="1">
        <f t="shared" si="32"/>
        <v>0</v>
      </c>
      <c r="G2075" s="2">
        <f>AVERAGEIFS([3]!players[gold_per_min], [3]!players[name],A2075,[3]!players[hero_name],B2075)</f>
        <v>652.5</v>
      </c>
      <c r="H2075" s="2">
        <f>AVERAGEIFS([3]!players[xp_per_min], [3]!players[name],A2075,[3]!players[hero_name],B2075)</f>
        <v>985</v>
      </c>
    </row>
    <row r="2076" spans="1:8" x14ac:dyDescent="0.3">
      <c r="A2076" t="str">
        <v>VoidRift</v>
      </c>
      <c r="B2076" t="str">
        <v>Earth Spirit</v>
      </c>
      <c r="C2076" t="str" cm="1">
        <f t="array" ref="C2076">_xlfn.XLOOKUP(1,([3]!players[name]=A2076)*([3]!players[hero_name]=B2076),[3]!players[lane_name])</f>
        <v>Mid</v>
      </c>
      <c r="D2076">
        <f>COUNTIFS([3]!players[name],A2076,[3]!players[hero_name],B2076)</f>
        <v>2</v>
      </c>
      <c r="E2076">
        <f>COUNTIFS([3]!players[name],A2076,[3]!players[hero_name],B2076, [3]!players[win], 1)</f>
        <v>0</v>
      </c>
      <c r="F2076" s="1">
        <f t="shared" si="32"/>
        <v>0</v>
      </c>
      <c r="G2076" s="2">
        <f>AVERAGEIFS([3]!players[gold_per_min], [3]!players[name],A2076,[3]!players[hero_name],B2076)</f>
        <v>501</v>
      </c>
      <c r="H2076" s="2">
        <f>AVERAGEIFS([3]!players[xp_per_min], [3]!players[name],A2076,[3]!players[hero_name],B2076)</f>
        <v>712</v>
      </c>
    </row>
    <row r="2077" spans="1:8" x14ac:dyDescent="0.3">
      <c r="A2077" t="str">
        <v>VoidRift</v>
      </c>
      <c r="B2077" t="str">
        <v>Lina</v>
      </c>
      <c r="C2077" t="str" cm="1">
        <f t="array" ref="C2077">_xlfn.XLOOKUP(1,([3]!players[name]=A2077)*([3]!players[hero_name]=B2077),[3]!players[lane_name])</f>
        <v>Mid</v>
      </c>
      <c r="D2077">
        <f>COUNTIFS([3]!players[name],A2077,[3]!players[hero_name],B2077)</f>
        <v>10</v>
      </c>
      <c r="E2077">
        <f>COUNTIFS([3]!players[name],A2077,[3]!players[hero_name],B2077, [3]!players[win], 1)</f>
        <v>3</v>
      </c>
      <c r="F2077" s="1">
        <f t="shared" si="32"/>
        <v>0.3</v>
      </c>
      <c r="G2077" s="2">
        <f>AVERAGEIFS([3]!players[gold_per_min], [3]!players[name],A2077,[3]!players[hero_name],B2077)</f>
        <v>636.79999999999995</v>
      </c>
      <c r="H2077" s="2">
        <f>AVERAGEIFS([3]!players[xp_per_min], [3]!players[name],A2077,[3]!players[hero_name],B2077)</f>
        <v>875.3</v>
      </c>
    </row>
    <row r="2078" spans="1:8" x14ac:dyDescent="0.3">
      <c r="A2078" t="str">
        <v>VoidRift</v>
      </c>
      <c r="B2078" t="str">
        <v>Batrider</v>
      </c>
      <c r="C2078" t="str" cm="1">
        <f t="array" ref="C2078">_xlfn.XLOOKUP(1,([3]!players[name]=A2078)*([3]!players[hero_name]=B2078),[3]!players[lane_name])</f>
        <v>Mid</v>
      </c>
      <c r="D2078">
        <f>COUNTIFS([3]!players[name],A2078,[3]!players[hero_name],B2078)</f>
        <v>2</v>
      </c>
      <c r="E2078">
        <f>COUNTIFS([3]!players[name],A2078,[3]!players[hero_name],B2078, [3]!players[win], 1)</f>
        <v>2</v>
      </c>
      <c r="F2078" s="1">
        <f t="shared" si="32"/>
        <v>1</v>
      </c>
      <c r="G2078" s="2">
        <f>AVERAGEIFS([3]!players[gold_per_min], [3]!players[name],A2078,[3]!players[hero_name],B2078)</f>
        <v>539.5</v>
      </c>
      <c r="H2078" s="2">
        <f>AVERAGEIFS([3]!players[xp_per_min], [3]!players[name],A2078,[3]!players[hero_name],B2078)</f>
        <v>850.5</v>
      </c>
    </row>
    <row r="2079" spans="1:8" x14ac:dyDescent="0.3">
      <c r="A2079" t="str">
        <v>VoidRift</v>
      </c>
      <c r="B2079" t="str">
        <v>Primal Beast</v>
      </c>
      <c r="C2079" t="str" cm="1">
        <f t="array" ref="C2079">_xlfn.XLOOKUP(1,([3]!players[name]=A2079)*([3]!players[hero_name]=B2079),[3]!players[lane_name])</f>
        <v>Mid</v>
      </c>
      <c r="D2079">
        <f>COUNTIFS([3]!players[name],A2079,[3]!players[hero_name],B2079)</f>
        <v>1</v>
      </c>
      <c r="E2079">
        <f>COUNTIFS([3]!players[name],A2079,[3]!players[hero_name],B2079, [3]!players[win], 1)</f>
        <v>0</v>
      </c>
      <c r="F2079" s="1">
        <f t="shared" si="32"/>
        <v>0</v>
      </c>
      <c r="G2079" s="2">
        <f>AVERAGEIFS([3]!players[gold_per_min], [3]!players[name],A2079,[3]!players[hero_name],B2079)</f>
        <v>333</v>
      </c>
      <c r="H2079" s="2">
        <f>AVERAGEIFS([3]!players[xp_per_min], [3]!players[name],A2079,[3]!players[hero_name],B2079)</f>
        <v>385</v>
      </c>
    </row>
    <row r="2080" spans="1:8" x14ac:dyDescent="0.3">
      <c r="A2080" t="str">
        <v>VoidRift</v>
      </c>
      <c r="B2080" t="str">
        <v>Storm Spirit</v>
      </c>
      <c r="C2080" t="str" cm="1">
        <f t="array" ref="C2080">_xlfn.XLOOKUP(1,([3]!players[name]=A2080)*([3]!players[hero_name]=B2080),[3]!players[lane_name])</f>
        <v>Mid</v>
      </c>
      <c r="D2080">
        <f>COUNTIFS([3]!players[name],A2080,[3]!players[hero_name],B2080)</f>
        <v>5</v>
      </c>
      <c r="E2080">
        <f>COUNTIFS([3]!players[name],A2080,[3]!players[hero_name],B2080, [3]!players[win], 1)</f>
        <v>5</v>
      </c>
      <c r="F2080" s="1">
        <f t="shared" si="32"/>
        <v>1</v>
      </c>
      <c r="G2080" s="2">
        <f>AVERAGEIFS([3]!players[gold_per_min], [3]!players[name],A2080,[3]!players[hero_name],B2080)</f>
        <v>712.2</v>
      </c>
      <c r="H2080" s="2">
        <f>AVERAGEIFS([3]!players[xp_per_min], [3]!players[name],A2080,[3]!players[hero_name],B2080)</f>
        <v>1116</v>
      </c>
    </row>
    <row r="2081" spans="1:8" x14ac:dyDescent="0.3">
      <c r="A2081" t="str">
        <v>VoidRift</v>
      </c>
      <c r="B2081" t="str">
        <v>Skywrath Mage</v>
      </c>
      <c r="C2081" t="str" cm="1">
        <f t="array" ref="C2081">_xlfn.XLOOKUP(1,([3]!players[name]=A2081)*([3]!players[hero_name]=B2081),[3]!players[lane_name])</f>
        <v>Mid</v>
      </c>
      <c r="D2081">
        <f>COUNTIFS([3]!players[name],A2081,[3]!players[hero_name],B2081)</f>
        <v>2</v>
      </c>
      <c r="E2081">
        <f>COUNTIFS([3]!players[name],A2081,[3]!players[hero_name],B2081, [3]!players[win], 1)</f>
        <v>1</v>
      </c>
      <c r="F2081" s="1">
        <f t="shared" si="32"/>
        <v>0.5</v>
      </c>
      <c r="G2081" s="2">
        <f>AVERAGEIFS([3]!players[gold_per_min], [3]!players[name],A2081,[3]!players[hero_name],B2081)</f>
        <v>508</v>
      </c>
      <c r="H2081" s="2">
        <f>AVERAGEIFS([3]!players[xp_per_min], [3]!players[name],A2081,[3]!players[hero_name],B2081)</f>
        <v>786.5</v>
      </c>
    </row>
    <row r="2082" spans="1:8" x14ac:dyDescent="0.3">
      <c r="A2082" t="str">
        <v>VoidRift</v>
      </c>
      <c r="B2082" t="str">
        <v>Alchemist</v>
      </c>
      <c r="C2082" t="str" cm="1">
        <f t="array" ref="C2082">_xlfn.XLOOKUP(1,([3]!players[name]=A2082)*([3]!players[hero_name]=B2082),[3]!players[lane_name])</f>
        <v>Mid</v>
      </c>
      <c r="D2082">
        <f>COUNTIFS([3]!players[name],A2082,[3]!players[hero_name],B2082)</f>
        <v>2</v>
      </c>
      <c r="E2082">
        <f>COUNTIFS([3]!players[name],A2082,[3]!players[hero_name],B2082, [3]!players[win], 1)</f>
        <v>1</v>
      </c>
      <c r="F2082" s="1">
        <f t="shared" si="32"/>
        <v>0.5</v>
      </c>
      <c r="G2082" s="2">
        <f>AVERAGEIFS([3]!players[gold_per_min], [3]!players[name],A2082,[3]!players[hero_name],B2082)</f>
        <v>796</v>
      </c>
      <c r="H2082" s="2">
        <f>AVERAGEIFS([3]!players[xp_per_min], [3]!players[name],A2082,[3]!players[hero_name],B2082)</f>
        <v>906.5</v>
      </c>
    </row>
    <row r="2083" spans="1:8" x14ac:dyDescent="0.3">
      <c r="A2083" t="str">
        <v>VoidRift</v>
      </c>
      <c r="B2083" t="str">
        <v>Invoker</v>
      </c>
      <c r="C2083" t="str" cm="1">
        <f t="array" ref="C2083">_xlfn.XLOOKUP(1,([3]!players[name]=A2083)*([3]!players[hero_name]=B2083),[3]!players[lane_name])</f>
        <v>Mid</v>
      </c>
      <c r="D2083">
        <f>COUNTIFS([3]!players[name],A2083,[3]!players[hero_name],B2083)</f>
        <v>5</v>
      </c>
      <c r="E2083">
        <f>COUNTIFS([3]!players[name],A2083,[3]!players[hero_name],B2083, [3]!players[win], 1)</f>
        <v>3</v>
      </c>
      <c r="F2083" s="1">
        <f t="shared" si="32"/>
        <v>0.6</v>
      </c>
      <c r="G2083" s="2">
        <f>AVERAGEIFS([3]!players[gold_per_min], [3]!players[name],A2083,[3]!players[hero_name],B2083)</f>
        <v>520.20000000000005</v>
      </c>
      <c r="H2083" s="2">
        <f>AVERAGEIFS([3]!players[xp_per_min], [3]!players[name],A2083,[3]!players[hero_name],B2083)</f>
        <v>689.8</v>
      </c>
    </row>
    <row r="2084" spans="1:8" x14ac:dyDescent="0.3">
      <c r="A2084" t="str">
        <v>VoidRift</v>
      </c>
      <c r="B2084" t="str">
        <v>Pangolier</v>
      </c>
      <c r="C2084" t="str" cm="1">
        <f t="array" ref="C2084">_xlfn.XLOOKUP(1,([3]!players[name]=A2084)*([3]!players[hero_name]=B2084),[3]!players[lane_name])</f>
        <v>Mid</v>
      </c>
      <c r="D2084">
        <f>COUNTIFS([3]!players[name],A2084,[3]!players[hero_name],B2084)</f>
        <v>1</v>
      </c>
      <c r="E2084">
        <f>COUNTIFS([3]!players[name],A2084,[3]!players[hero_name],B2084, [3]!players[win], 1)</f>
        <v>1</v>
      </c>
      <c r="F2084" s="1">
        <f t="shared" si="32"/>
        <v>1</v>
      </c>
      <c r="G2084" s="2">
        <f>AVERAGEIFS([3]!players[gold_per_min], [3]!players[name],A2084,[3]!players[hero_name],B2084)</f>
        <v>675</v>
      </c>
      <c r="H2084" s="2">
        <f>AVERAGEIFS([3]!players[xp_per_min], [3]!players[name],A2084,[3]!players[hero_name],B2084)</f>
        <v>826</v>
      </c>
    </row>
    <row r="2085" spans="1:8" x14ac:dyDescent="0.3">
      <c r="A2085" t="str">
        <v>VoidRift</v>
      </c>
      <c r="B2085" t="str">
        <v>Puck</v>
      </c>
      <c r="C2085" t="str" cm="1">
        <f t="array" ref="C2085">_xlfn.XLOOKUP(1,([3]!players[name]=A2085)*([3]!players[hero_name]=B2085),[3]!players[lane_name])</f>
        <v>Mid</v>
      </c>
      <c r="D2085">
        <f>COUNTIFS([3]!players[name],A2085,[3]!players[hero_name],B2085)</f>
        <v>2</v>
      </c>
      <c r="E2085">
        <f>COUNTIFS([3]!players[name],A2085,[3]!players[hero_name],B2085, [3]!players[win], 1)</f>
        <v>1</v>
      </c>
      <c r="F2085" s="1">
        <f t="shared" si="32"/>
        <v>0.5</v>
      </c>
      <c r="G2085" s="2">
        <f>AVERAGEIFS([3]!players[gold_per_min], [3]!players[name],A2085,[3]!players[hero_name],B2085)</f>
        <v>592.5</v>
      </c>
      <c r="H2085" s="2">
        <f>AVERAGEIFS([3]!players[xp_per_min], [3]!players[name],A2085,[3]!players[hero_name],B2085)</f>
        <v>852.5</v>
      </c>
    </row>
    <row r="2086" spans="1:8" x14ac:dyDescent="0.3">
      <c r="A2086" t="str">
        <v>VoidRift</v>
      </c>
      <c r="B2086" t="str">
        <v>Nature's Prophet</v>
      </c>
      <c r="C2086" t="str" cm="1">
        <f t="array" ref="C2086">_xlfn.XLOOKUP(1,([3]!players[name]=A2086)*([3]!players[hero_name]=B2086),[3]!players[lane_name])</f>
        <v>Mid</v>
      </c>
      <c r="D2086">
        <f>COUNTIFS([3]!players[name],A2086,[3]!players[hero_name],B2086)</f>
        <v>3</v>
      </c>
      <c r="E2086">
        <f>COUNTIFS([3]!players[name],A2086,[3]!players[hero_name],B2086, [3]!players[win], 1)</f>
        <v>0</v>
      </c>
      <c r="F2086" s="1">
        <f t="shared" si="32"/>
        <v>0</v>
      </c>
      <c r="G2086" s="2">
        <f>AVERAGEIFS([3]!players[gold_per_min], [3]!players[name],A2086,[3]!players[hero_name],B2086)</f>
        <v>498.33333333333331</v>
      </c>
      <c r="H2086" s="2">
        <f>AVERAGEIFS([3]!players[xp_per_min], [3]!players[name],A2086,[3]!players[hero_name],B2086)</f>
        <v>594.33333333333337</v>
      </c>
    </row>
    <row r="2087" spans="1:8" x14ac:dyDescent="0.3">
      <c r="A2087" t="str">
        <v>VoidRift</v>
      </c>
      <c r="B2087" t="str">
        <v>Outworld Destroyer</v>
      </c>
      <c r="C2087" t="str" cm="1">
        <f t="array" ref="C2087">_xlfn.XLOOKUP(1,([3]!players[name]=A2087)*([3]!players[hero_name]=B2087),[3]!players[lane_name])</f>
        <v>Mid</v>
      </c>
      <c r="D2087">
        <f>COUNTIFS([3]!players[name],A2087,[3]!players[hero_name],B2087)</f>
        <v>2</v>
      </c>
      <c r="E2087">
        <f>COUNTIFS([3]!players[name],A2087,[3]!players[hero_name],B2087, [3]!players[win], 1)</f>
        <v>1</v>
      </c>
      <c r="F2087" s="1">
        <f t="shared" si="32"/>
        <v>0.5</v>
      </c>
      <c r="G2087" s="2">
        <f>AVERAGEIFS([3]!players[gold_per_min], [3]!players[name],A2087,[3]!players[hero_name],B2087)</f>
        <v>539</v>
      </c>
      <c r="H2087" s="2">
        <f>AVERAGEIFS([3]!players[xp_per_min], [3]!players[name],A2087,[3]!players[hero_name],B2087)</f>
        <v>760</v>
      </c>
    </row>
    <row r="2088" spans="1:8" x14ac:dyDescent="0.3">
      <c r="A2088" t="str">
        <v>VoidRift</v>
      </c>
      <c r="B2088" t="str">
        <v>Leshrac</v>
      </c>
      <c r="C2088" t="str" cm="1">
        <f t="array" ref="C2088">_xlfn.XLOOKUP(1,([3]!players[name]=A2088)*([3]!players[hero_name]=B2088),[3]!players[lane_name])</f>
        <v>Mid</v>
      </c>
      <c r="D2088">
        <f>COUNTIFS([3]!players[name],A2088,[3]!players[hero_name],B2088)</f>
        <v>1</v>
      </c>
      <c r="E2088">
        <f>COUNTIFS([3]!players[name],A2088,[3]!players[hero_name],B2088, [3]!players[win], 1)</f>
        <v>0</v>
      </c>
      <c r="F2088" s="1">
        <f t="shared" si="32"/>
        <v>0</v>
      </c>
      <c r="G2088" s="2">
        <f>AVERAGEIFS([3]!players[gold_per_min], [3]!players[name],A2088,[3]!players[hero_name],B2088)</f>
        <v>401</v>
      </c>
      <c r="H2088" s="2">
        <f>AVERAGEIFS([3]!players[xp_per_min], [3]!players[name],A2088,[3]!players[hero_name],B2088)</f>
        <v>486</v>
      </c>
    </row>
    <row r="2089" spans="1:8" x14ac:dyDescent="0.3">
      <c r="A2089" t="str">
        <v>VoidRift</v>
      </c>
      <c r="B2089" t="str">
        <v>Monkey King</v>
      </c>
      <c r="C2089" t="str" cm="1">
        <f t="array" ref="C2089">_xlfn.XLOOKUP(1,([3]!players[name]=A2089)*([3]!players[hero_name]=B2089),[3]!players[lane_name])</f>
        <v>Mid</v>
      </c>
      <c r="D2089">
        <f>COUNTIFS([3]!players[name],A2089,[3]!players[hero_name],B2089)</f>
        <v>1</v>
      </c>
      <c r="E2089">
        <f>COUNTIFS([3]!players[name],A2089,[3]!players[hero_name],B2089, [3]!players[win], 1)</f>
        <v>1</v>
      </c>
      <c r="F2089" s="1">
        <f t="shared" si="32"/>
        <v>1</v>
      </c>
      <c r="G2089" s="2">
        <f>AVERAGEIFS([3]!players[gold_per_min], [3]!players[name],A2089,[3]!players[hero_name],B2089)</f>
        <v>516</v>
      </c>
      <c r="H2089" s="2">
        <f>AVERAGEIFS([3]!players[xp_per_min], [3]!players[name],A2089,[3]!players[hero_name],B2089)</f>
        <v>622</v>
      </c>
    </row>
    <row r="2090" spans="1:8" x14ac:dyDescent="0.3">
      <c r="A2090" t="str">
        <v>VoidRift</v>
      </c>
      <c r="B2090" t="str">
        <v>Tinker</v>
      </c>
      <c r="C2090" t="str" cm="1">
        <f t="array" ref="C2090">_xlfn.XLOOKUP(1,([3]!players[name]=A2090)*([3]!players[hero_name]=B2090),[3]!players[lane_name])</f>
        <v>Mid</v>
      </c>
      <c r="D2090">
        <f>COUNTIFS([3]!players[name],A2090,[3]!players[hero_name],B2090)</f>
        <v>1</v>
      </c>
      <c r="E2090">
        <f>COUNTIFS([3]!players[name],A2090,[3]!players[hero_name],B2090, [3]!players[win], 1)</f>
        <v>0</v>
      </c>
      <c r="F2090" s="1">
        <f t="shared" si="32"/>
        <v>0</v>
      </c>
      <c r="G2090" s="2">
        <f>AVERAGEIFS([3]!players[gold_per_min], [3]!players[name],A2090,[3]!players[hero_name],B2090)</f>
        <v>442</v>
      </c>
      <c r="H2090" s="2">
        <f>AVERAGEIFS([3]!players[xp_per_min], [3]!players[name],A2090,[3]!players[hero_name],B2090)</f>
        <v>613</v>
      </c>
    </row>
    <row r="2091" spans="1:8" x14ac:dyDescent="0.3">
      <c r="A2091" t="str">
        <v>VoidRift</v>
      </c>
      <c r="B2091" t="str">
        <v>Meepo</v>
      </c>
      <c r="C2091" t="str" cm="1">
        <f t="array" ref="C2091">_xlfn.XLOOKUP(1,([3]!players[name]=A2091)*([3]!players[hero_name]=B2091),[3]!players[lane_name])</f>
        <v>Mid</v>
      </c>
      <c r="D2091">
        <f>COUNTIFS([3]!players[name],A2091,[3]!players[hero_name],B2091)</f>
        <v>2</v>
      </c>
      <c r="E2091">
        <f>COUNTIFS([3]!players[name],A2091,[3]!players[hero_name],B2091, [3]!players[win], 1)</f>
        <v>1</v>
      </c>
      <c r="F2091" s="1">
        <f t="shared" si="32"/>
        <v>0.5</v>
      </c>
      <c r="G2091" s="2">
        <f>AVERAGEIFS([3]!players[gold_per_min], [3]!players[name],A2091,[3]!players[hero_name],B2091)</f>
        <v>587</v>
      </c>
      <c r="H2091" s="2">
        <f>AVERAGEIFS([3]!players[xp_per_min], [3]!players[name],A2091,[3]!players[hero_name],B2091)</f>
        <v>795.5</v>
      </c>
    </row>
    <row r="2092" spans="1:8" x14ac:dyDescent="0.3">
      <c r="A2092" t="str">
        <v>VoidRift</v>
      </c>
      <c r="B2092" t="str">
        <v>Viper</v>
      </c>
      <c r="C2092" t="str" cm="1">
        <f t="array" ref="C2092">_xlfn.XLOOKUP(1,([3]!players[name]=A2092)*([3]!players[hero_name]=B2092),[3]!players[lane_name])</f>
        <v>Mid</v>
      </c>
      <c r="D2092">
        <f>COUNTIFS([3]!players[name],A2092,[3]!players[hero_name],B2092)</f>
        <v>2</v>
      </c>
      <c r="E2092">
        <f>COUNTIFS([3]!players[name],A2092,[3]!players[hero_name],B2092, [3]!players[win], 1)</f>
        <v>2</v>
      </c>
      <c r="F2092" s="1">
        <f t="shared" si="32"/>
        <v>1</v>
      </c>
      <c r="G2092" s="2">
        <f>AVERAGEIFS([3]!players[gold_per_min], [3]!players[name],A2092,[3]!players[hero_name],B2092)</f>
        <v>712.5</v>
      </c>
      <c r="H2092" s="2">
        <f>AVERAGEIFS([3]!players[xp_per_min], [3]!players[name],A2092,[3]!players[hero_name],B2092)</f>
        <v>1060</v>
      </c>
    </row>
    <row r="2093" spans="1:8" x14ac:dyDescent="0.3">
      <c r="A2093" t="str">
        <v>VoidRift</v>
      </c>
      <c r="B2093" t="str">
        <v>Ember Spirit</v>
      </c>
      <c r="C2093" t="str" cm="1">
        <f t="array" ref="C2093">_xlfn.XLOOKUP(1,([3]!players[name]=A2093)*([3]!players[hero_name]=B2093),[3]!players[lane_name])</f>
        <v>Mid</v>
      </c>
      <c r="D2093">
        <f>COUNTIFS([3]!players[name],A2093,[3]!players[hero_name],B2093)</f>
        <v>2</v>
      </c>
      <c r="E2093">
        <f>COUNTIFS([3]!players[name],A2093,[3]!players[hero_name],B2093, [3]!players[win], 1)</f>
        <v>1</v>
      </c>
      <c r="F2093" s="1">
        <f t="shared" si="32"/>
        <v>0.5</v>
      </c>
      <c r="G2093" s="2">
        <f>AVERAGEIFS([3]!players[gold_per_min], [3]!players[name],A2093,[3]!players[hero_name],B2093)</f>
        <v>552.5</v>
      </c>
      <c r="H2093" s="2">
        <f>AVERAGEIFS([3]!players[xp_per_min], [3]!players[name],A2093,[3]!players[hero_name],B2093)</f>
        <v>940</v>
      </c>
    </row>
    <row r="2094" spans="1:8" x14ac:dyDescent="0.3">
      <c r="A2094" t="str">
        <v>VoidRift</v>
      </c>
      <c r="B2094" t="str">
        <v>Dragon Knight</v>
      </c>
      <c r="C2094" t="str" cm="1">
        <f t="array" ref="C2094">_xlfn.XLOOKUP(1,([3]!players[name]=A2094)*([3]!players[hero_name]=B2094),[3]!players[lane_name])</f>
        <v>Mid</v>
      </c>
      <c r="D2094">
        <f>COUNTIFS([3]!players[name],A2094,[3]!players[hero_name],B2094)</f>
        <v>2</v>
      </c>
      <c r="E2094">
        <f>COUNTIFS([3]!players[name],A2094,[3]!players[hero_name],B2094, [3]!players[win], 1)</f>
        <v>1</v>
      </c>
      <c r="F2094" s="1">
        <f t="shared" si="32"/>
        <v>0.5</v>
      </c>
      <c r="G2094" s="2">
        <f>AVERAGEIFS([3]!players[gold_per_min], [3]!players[name],A2094,[3]!players[hero_name],B2094)</f>
        <v>680.5</v>
      </c>
      <c r="H2094" s="2">
        <f>AVERAGEIFS([3]!players[xp_per_min], [3]!players[name],A2094,[3]!players[hero_name],B2094)</f>
        <v>956</v>
      </c>
    </row>
    <row r="2095" spans="1:8" x14ac:dyDescent="0.3">
      <c r="A2095" t="str">
        <v>VoidRift</v>
      </c>
      <c r="B2095" t="str">
        <v>Lone Druid</v>
      </c>
      <c r="C2095" t="str" cm="1">
        <f t="array" ref="C2095">_xlfn.XLOOKUP(1,([3]!players[name]=A2095)*([3]!players[hero_name]=B2095),[3]!players[lane_name])</f>
        <v>Mid</v>
      </c>
      <c r="D2095">
        <f>COUNTIFS([3]!players[name],A2095,[3]!players[hero_name],B2095)</f>
        <v>2</v>
      </c>
      <c r="E2095">
        <f>COUNTIFS([3]!players[name],A2095,[3]!players[hero_name],B2095, [3]!players[win], 1)</f>
        <v>2</v>
      </c>
      <c r="F2095" s="1">
        <f t="shared" si="32"/>
        <v>1</v>
      </c>
      <c r="G2095" s="2">
        <f>AVERAGEIFS([3]!players[gold_per_min], [3]!players[name],A2095,[3]!players[hero_name],B2095)</f>
        <v>555</v>
      </c>
      <c r="H2095" s="2">
        <f>AVERAGEIFS([3]!players[xp_per_min], [3]!players[name],A2095,[3]!players[hero_name],B2095)</f>
        <v>719</v>
      </c>
    </row>
    <row r="2096" spans="1:8" x14ac:dyDescent="0.3">
      <c r="A2096" t="str">
        <v>VoidRift</v>
      </c>
      <c r="B2096" t="str">
        <v>Muerta</v>
      </c>
      <c r="C2096" t="str" cm="1">
        <f t="array" ref="C2096">_xlfn.XLOOKUP(1,([3]!players[name]=A2096)*([3]!players[hero_name]=B2096),[3]!players[lane_name])</f>
        <v>Mid</v>
      </c>
      <c r="D2096">
        <f>COUNTIFS([3]!players[name],A2096,[3]!players[hero_name],B2096)</f>
        <v>1</v>
      </c>
      <c r="E2096">
        <f>COUNTIFS([3]!players[name],A2096,[3]!players[hero_name],B2096, [3]!players[win], 1)</f>
        <v>1</v>
      </c>
      <c r="F2096" s="1">
        <f t="shared" si="32"/>
        <v>1</v>
      </c>
      <c r="G2096" s="2">
        <f>AVERAGEIFS([3]!players[gold_per_min], [3]!players[name],A2096,[3]!players[hero_name],B2096)</f>
        <v>510</v>
      </c>
      <c r="H2096" s="2">
        <f>AVERAGEIFS([3]!players[xp_per_min], [3]!players[name],A2096,[3]!players[hero_name],B2096)</f>
        <v>721</v>
      </c>
    </row>
    <row r="2097" spans="1:8" x14ac:dyDescent="0.3">
      <c r="A2097" t="str">
        <v>VoidRift</v>
      </c>
      <c r="B2097" t="str">
        <v>Slardar</v>
      </c>
      <c r="C2097" t="str" cm="1">
        <f t="array" ref="C2097">_xlfn.XLOOKUP(1,([3]!players[name]=A2097)*([3]!players[hero_name]=B2097),[3]!players[lane_name])</f>
        <v>Mid</v>
      </c>
      <c r="D2097">
        <f>COUNTIFS([3]!players[name],A2097,[3]!players[hero_name],B2097)</f>
        <v>1</v>
      </c>
      <c r="E2097">
        <f>COUNTIFS([3]!players[name],A2097,[3]!players[hero_name],B2097, [3]!players[win], 1)</f>
        <v>0</v>
      </c>
      <c r="F2097" s="1">
        <f t="shared" si="32"/>
        <v>0</v>
      </c>
      <c r="G2097" s="2">
        <f>AVERAGEIFS([3]!players[gold_per_min], [3]!players[name],A2097,[3]!players[hero_name],B2097)</f>
        <v>486</v>
      </c>
      <c r="H2097" s="2">
        <f>AVERAGEIFS([3]!players[xp_per_min], [3]!players[name],A2097,[3]!players[hero_name],B2097)</f>
        <v>589</v>
      </c>
    </row>
    <row r="2098" spans="1:8" x14ac:dyDescent="0.3">
      <c r="A2098" t="str">
        <v>VoidRift</v>
      </c>
      <c r="B2098" t="str">
        <v>Necrophos</v>
      </c>
      <c r="C2098" t="str" cm="1">
        <f t="array" ref="C2098">_xlfn.XLOOKUP(1,([3]!players[name]=A2098)*([3]!players[hero_name]=B2098),[3]!players[lane_name])</f>
        <v>Mid</v>
      </c>
      <c r="D2098">
        <f>COUNTIFS([3]!players[name],A2098,[3]!players[hero_name],B2098)</f>
        <v>1</v>
      </c>
      <c r="E2098">
        <f>COUNTIFS([3]!players[name],A2098,[3]!players[hero_name],B2098, [3]!players[win], 1)</f>
        <v>0</v>
      </c>
      <c r="F2098" s="1">
        <f t="shared" si="32"/>
        <v>0</v>
      </c>
      <c r="G2098" s="2">
        <f>AVERAGEIFS([3]!players[gold_per_min], [3]!players[name],A2098,[3]!players[hero_name],B2098)</f>
        <v>474</v>
      </c>
      <c r="H2098" s="2">
        <f>AVERAGEIFS([3]!players[xp_per_min], [3]!players[name],A2098,[3]!players[hero_name],B2098)</f>
        <v>578</v>
      </c>
    </row>
    <row r="2099" spans="1:8" x14ac:dyDescent="0.3">
      <c r="A2099" t="str">
        <v>VoidRift</v>
      </c>
      <c r="B2099" t="str">
        <v>Huskar</v>
      </c>
      <c r="C2099" t="str" cm="1">
        <f t="array" ref="C2099">_xlfn.XLOOKUP(1,([3]!players[name]=A2099)*([3]!players[hero_name]=B2099),[3]!players[lane_name])</f>
        <v>Mid</v>
      </c>
      <c r="D2099">
        <f>COUNTIFS([3]!players[name],A2099,[3]!players[hero_name],B2099)</f>
        <v>1</v>
      </c>
      <c r="E2099">
        <f>COUNTIFS([3]!players[name],A2099,[3]!players[hero_name],B2099, [3]!players[win], 1)</f>
        <v>1</v>
      </c>
      <c r="F2099" s="1">
        <f t="shared" si="32"/>
        <v>1</v>
      </c>
      <c r="G2099" s="2">
        <f>AVERAGEIFS([3]!players[gold_per_min], [3]!players[name],A2099,[3]!players[hero_name],B2099)</f>
        <v>881</v>
      </c>
      <c r="H2099" s="2">
        <f>AVERAGEIFS([3]!players[xp_per_min], [3]!players[name],A2099,[3]!players[hero_name],B2099)</f>
        <v>1359</v>
      </c>
    </row>
    <row r="2100" spans="1:8" x14ac:dyDescent="0.3">
      <c r="A2100" t="str">
        <v>VoidRift</v>
      </c>
      <c r="B2100" t="str">
        <v>Sniper</v>
      </c>
      <c r="C2100" t="str" cm="1">
        <f t="array" ref="C2100">_xlfn.XLOOKUP(1,([3]!players[name]=A2100)*([3]!players[hero_name]=B2100),[3]!players[lane_name])</f>
        <v>Mid</v>
      </c>
      <c r="D2100">
        <f>COUNTIFS([3]!players[name],A2100,[3]!players[hero_name],B2100)</f>
        <v>3</v>
      </c>
      <c r="E2100">
        <f>COUNTIFS([3]!players[name],A2100,[3]!players[hero_name],B2100, [3]!players[win], 1)</f>
        <v>3</v>
      </c>
      <c r="F2100" s="1">
        <f t="shared" si="32"/>
        <v>1</v>
      </c>
      <c r="G2100" s="2">
        <f>AVERAGEIFS([3]!players[gold_per_min], [3]!players[name],A2100,[3]!players[hero_name],B2100)</f>
        <v>752</v>
      </c>
      <c r="H2100" s="2">
        <f>AVERAGEIFS([3]!players[xp_per_min], [3]!players[name],A2100,[3]!players[hero_name],B2100)</f>
        <v>1005</v>
      </c>
    </row>
    <row r="2101" spans="1:8" x14ac:dyDescent="0.3">
      <c r="A2101" t="str">
        <v>VoidRift</v>
      </c>
      <c r="B2101" t="str">
        <v>Zeus</v>
      </c>
      <c r="C2101" t="str" cm="1">
        <f t="array" ref="C2101">_xlfn.XLOOKUP(1,([3]!players[name]=A2101)*([3]!players[hero_name]=B2101),[3]!players[lane_name])</f>
        <v>Mid</v>
      </c>
      <c r="D2101">
        <f>COUNTIFS([3]!players[name],A2101,[3]!players[hero_name],B2101)</f>
        <v>1</v>
      </c>
      <c r="E2101">
        <f>COUNTIFS([3]!players[name],A2101,[3]!players[hero_name],B2101, [3]!players[win], 1)</f>
        <v>0</v>
      </c>
      <c r="F2101" s="1">
        <f t="shared" si="32"/>
        <v>0</v>
      </c>
      <c r="G2101" s="2">
        <f>AVERAGEIFS([3]!players[gold_per_min], [3]!players[name],A2101,[3]!players[hero_name],B2101)</f>
        <v>530</v>
      </c>
      <c r="H2101" s="2">
        <f>AVERAGEIFS([3]!players[xp_per_min], [3]!players[name],A2101,[3]!players[hero_name],B2101)</f>
        <v>575</v>
      </c>
    </row>
    <row r="2102" spans="1:8" x14ac:dyDescent="0.3">
      <c r="A2102" t="str">
        <v>waveformn</v>
      </c>
      <c r="B2102" t="str">
        <v>Marci</v>
      </c>
      <c r="C2102" t="str" cm="1">
        <f t="array" ref="C2102">_xlfn.XLOOKUP(1,([3]!players[name]=A2102)*([3]!players[hero_name]=B2102),[3]!players[lane_name])</f>
        <v>Hard Support</v>
      </c>
      <c r="D2102">
        <f>COUNTIFS([3]!players[name],A2102,[3]!players[hero_name],B2102)</f>
        <v>2</v>
      </c>
      <c r="E2102">
        <f>COUNTIFS([3]!players[name],A2102,[3]!players[hero_name],B2102, [3]!players[win], 1)</f>
        <v>0</v>
      </c>
      <c r="F2102" s="1">
        <f t="shared" si="32"/>
        <v>0</v>
      </c>
      <c r="G2102" s="2">
        <f>AVERAGEIFS([3]!players[gold_per_min], [3]!players[name],A2102,[3]!players[hero_name],B2102)</f>
        <v>261</v>
      </c>
      <c r="H2102" s="2">
        <f>AVERAGEIFS([3]!players[xp_per_min], [3]!players[name],A2102,[3]!players[hero_name],B2102)</f>
        <v>388.5</v>
      </c>
    </row>
    <row r="2103" spans="1:8" x14ac:dyDescent="0.3">
      <c r="A2103" t="str">
        <v>waveformn</v>
      </c>
      <c r="B2103" t="str">
        <v>Spirit Breaker</v>
      </c>
      <c r="C2103" t="str" cm="1">
        <f t="array" ref="C2103">_xlfn.XLOOKUP(1,([3]!players[name]=A2103)*([3]!players[hero_name]=B2103),[3]!players[lane_name])</f>
        <v>Roam</v>
      </c>
      <c r="D2103">
        <f>COUNTIFS([3]!players[name],A2103,[3]!players[hero_name],B2103)</f>
        <v>2</v>
      </c>
      <c r="E2103">
        <f>COUNTIFS([3]!players[name],A2103,[3]!players[hero_name],B2103, [3]!players[win], 1)</f>
        <v>0</v>
      </c>
      <c r="F2103" s="1">
        <f t="shared" si="32"/>
        <v>0</v>
      </c>
      <c r="G2103" s="2">
        <f>AVERAGEIFS([3]!players[gold_per_min], [3]!players[name],A2103,[3]!players[hero_name],B2103)</f>
        <v>326.5</v>
      </c>
      <c r="H2103" s="2">
        <f>AVERAGEIFS([3]!players[xp_per_min], [3]!players[name],A2103,[3]!players[hero_name],B2103)</f>
        <v>432</v>
      </c>
    </row>
    <row r="2104" spans="1:8" x14ac:dyDescent="0.3">
      <c r="A2104" t="str">
        <v>waveformn</v>
      </c>
      <c r="B2104" t="str">
        <v>Hoodwink</v>
      </c>
      <c r="C2104" t="str" cm="1">
        <f t="array" ref="C2104">_xlfn.XLOOKUP(1,([3]!players[name]=A2104)*([3]!players[hero_name]=B2104),[3]!players[lane_name])</f>
        <v>Soft Support</v>
      </c>
      <c r="D2104">
        <f>COUNTIFS([3]!players[name],A2104,[3]!players[hero_name],B2104)</f>
        <v>12</v>
      </c>
      <c r="E2104">
        <f>COUNTIFS([3]!players[name],A2104,[3]!players[hero_name],B2104, [3]!players[win], 1)</f>
        <v>6</v>
      </c>
      <c r="F2104" s="1">
        <f t="shared" si="32"/>
        <v>0.5</v>
      </c>
      <c r="G2104" s="2">
        <f>AVERAGEIFS([3]!players[gold_per_min], [3]!players[name],A2104,[3]!players[hero_name],B2104)</f>
        <v>376.91666666666669</v>
      </c>
      <c r="H2104" s="2">
        <f>AVERAGEIFS([3]!players[xp_per_min], [3]!players[name],A2104,[3]!players[hero_name],B2104)</f>
        <v>535.08333333333337</v>
      </c>
    </row>
    <row r="2105" spans="1:8" x14ac:dyDescent="0.3">
      <c r="A2105" t="str">
        <v>waveformn</v>
      </c>
      <c r="B2105" t="str">
        <v>Muerta</v>
      </c>
      <c r="C2105" t="str" cm="1">
        <f t="array" ref="C2105">_xlfn.XLOOKUP(1,([3]!players[name]=A2105)*([3]!players[hero_name]=B2105),[3]!players[lane_name])</f>
        <v>Hard Support</v>
      </c>
      <c r="D2105">
        <f>COUNTIFS([3]!players[name],A2105,[3]!players[hero_name],B2105)</f>
        <v>1</v>
      </c>
      <c r="E2105">
        <f>COUNTIFS([3]!players[name],A2105,[3]!players[hero_name],B2105, [3]!players[win], 1)</f>
        <v>0</v>
      </c>
      <c r="F2105" s="1">
        <f t="shared" si="32"/>
        <v>0</v>
      </c>
      <c r="G2105" s="2">
        <f>AVERAGEIFS([3]!players[gold_per_min], [3]!players[name],A2105,[3]!players[hero_name],B2105)</f>
        <v>241</v>
      </c>
      <c r="H2105" s="2">
        <f>AVERAGEIFS([3]!players[xp_per_min], [3]!players[name],A2105,[3]!players[hero_name],B2105)</f>
        <v>433</v>
      </c>
    </row>
    <row r="2106" spans="1:8" x14ac:dyDescent="0.3">
      <c r="A2106" t="str">
        <v>waveformn</v>
      </c>
      <c r="B2106" t="str">
        <v>Rubick</v>
      </c>
      <c r="C2106" t="str" cm="1">
        <f t="array" ref="C2106">_xlfn.XLOOKUP(1,([3]!players[name]=A2106)*([3]!players[hero_name]=B2106),[3]!players[lane_name])</f>
        <v>Soft Support</v>
      </c>
      <c r="D2106">
        <f>COUNTIFS([3]!players[name],A2106,[3]!players[hero_name],B2106)</f>
        <v>10</v>
      </c>
      <c r="E2106">
        <f>COUNTIFS([3]!players[name],A2106,[3]!players[hero_name],B2106, [3]!players[win], 1)</f>
        <v>2</v>
      </c>
      <c r="F2106" s="1">
        <f t="shared" si="32"/>
        <v>0.2</v>
      </c>
      <c r="G2106" s="2">
        <f>AVERAGEIFS([3]!players[gold_per_min], [3]!players[name],A2106,[3]!players[hero_name],B2106)</f>
        <v>292.5</v>
      </c>
      <c r="H2106" s="2">
        <f>AVERAGEIFS([3]!players[xp_per_min], [3]!players[name],A2106,[3]!players[hero_name],B2106)</f>
        <v>355.6</v>
      </c>
    </row>
    <row r="2107" spans="1:8" x14ac:dyDescent="0.3">
      <c r="A2107" t="str">
        <v>waveformn</v>
      </c>
      <c r="B2107" t="str">
        <v>Tusk</v>
      </c>
      <c r="C2107" t="str" cm="1">
        <f t="array" ref="C2107">_xlfn.XLOOKUP(1,([3]!players[name]=A2107)*([3]!players[hero_name]=B2107),[3]!players[lane_name])</f>
        <v>Soft Support</v>
      </c>
      <c r="D2107">
        <f>COUNTIFS([3]!players[name],A2107,[3]!players[hero_name],B2107)</f>
        <v>7</v>
      </c>
      <c r="E2107">
        <f>COUNTIFS([3]!players[name],A2107,[3]!players[hero_name],B2107, [3]!players[win], 1)</f>
        <v>6</v>
      </c>
      <c r="F2107" s="1">
        <f t="shared" si="32"/>
        <v>0.8571428571428571</v>
      </c>
      <c r="G2107" s="2">
        <f>AVERAGEIFS([3]!players[gold_per_min], [3]!players[name],A2107,[3]!players[hero_name],B2107)</f>
        <v>388.57142857142856</v>
      </c>
      <c r="H2107" s="2">
        <f>AVERAGEIFS([3]!players[xp_per_min], [3]!players[name],A2107,[3]!players[hero_name],B2107)</f>
        <v>534.71428571428567</v>
      </c>
    </row>
    <row r="2108" spans="1:8" x14ac:dyDescent="0.3">
      <c r="A2108" t="str">
        <v>waveformn</v>
      </c>
      <c r="B2108" t="str">
        <v>Puck</v>
      </c>
      <c r="C2108" t="str" cm="1">
        <f t="array" ref="C2108">_xlfn.XLOOKUP(1,([3]!players[name]=A2108)*([3]!players[hero_name]=B2108),[3]!players[lane_name])</f>
        <v>Mid</v>
      </c>
      <c r="D2108">
        <f>COUNTIFS([3]!players[name],A2108,[3]!players[hero_name],B2108)</f>
        <v>1</v>
      </c>
      <c r="E2108">
        <f>COUNTIFS([3]!players[name],A2108,[3]!players[hero_name],B2108, [3]!players[win], 1)</f>
        <v>0</v>
      </c>
      <c r="F2108" s="1">
        <f t="shared" si="32"/>
        <v>0</v>
      </c>
      <c r="G2108" s="2">
        <f>AVERAGEIFS([3]!players[gold_per_min], [3]!players[name],A2108,[3]!players[hero_name],B2108)</f>
        <v>307</v>
      </c>
      <c r="H2108" s="2">
        <f>AVERAGEIFS([3]!players[xp_per_min], [3]!players[name],A2108,[3]!players[hero_name],B2108)</f>
        <v>389</v>
      </c>
    </row>
    <row r="2109" spans="1:8" x14ac:dyDescent="0.3">
      <c r="A2109" t="str">
        <v>waveformn</v>
      </c>
      <c r="B2109" t="str">
        <v>Lion</v>
      </c>
      <c r="C2109" t="str" cm="1">
        <f t="array" ref="C2109">_xlfn.XLOOKUP(1,([3]!players[name]=A2109)*([3]!players[hero_name]=B2109),[3]!players[lane_name])</f>
        <v>Hard Support</v>
      </c>
      <c r="D2109">
        <f>COUNTIFS([3]!players[name],A2109,[3]!players[hero_name],B2109)</f>
        <v>3</v>
      </c>
      <c r="E2109">
        <f>COUNTIFS([3]!players[name],A2109,[3]!players[hero_name],B2109, [3]!players[win], 1)</f>
        <v>1</v>
      </c>
      <c r="F2109" s="1">
        <f t="shared" si="32"/>
        <v>0.33333333333333331</v>
      </c>
      <c r="G2109" s="2">
        <f>AVERAGEIFS([3]!players[gold_per_min], [3]!players[name],A2109,[3]!players[hero_name],B2109)</f>
        <v>257</v>
      </c>
      <c r="H2109" s="2">
        <f>AVERAGEIFS([3]!players[xp_per_min], [3]!players[name],A2109,[3]!players[hero_name],B2109)</f>
        <v>335.33333333333331</v>
      </c>
    </row>
    <row r="2110" spans="1:8" x14ac:dyDescent="0.3">
      <c r="A2110" t="str">
        <v>waveformn</v>
      </c>
      <c r="B2110" t="str">
        <v>Techies</v>
      </c>
      <c r="C2110" t="str" cm="1">
        <f t="array" ref="C2110">_xlfn.XLOOKUP(1,([3]!players[name]=A2110)*([3]!players[hero_name]=B2110),[3]!players[lane_name])</f>
        <v>Soft Support</v>
      </c>
      <c r="D2110">
        <f>COUNTIFS([3]!players[name],A2110,[3]!players[hero_name],B2110)</f>
        <v>1</v>
      </c>
      <c r="E2110">
        <f>COUNTIFS([3]!players[name],A2110,[3]!players[hero_name],B2110, [3]!players[win], 1)</f>
        <v>0</v>
      </c>
      <c r="F2110" s="1">
        <f t="shared" si="32"/>
        <v>0</v>
      </c>
      <c r="G2110" s="2">
        <f>AVERAGEIFS([3]!players[gold_per_min], [3]!players[name],A2110,[3]!players[hero_name],B2110)</f>
        <v>319</v>
      </c>
      <c r="H2110" s="2">
        <f>AVERAGEIFS([3]!players[xp_per_min], [3]!players[name],A2110,[3]!players[hero_name],B2110)</f>
        <v>355</v>
      </c>
    </row>
    <row r="2111" spans="1:8" x14ac:dyDescent="0.3">
      <c r="A2111" t="str">
        <v>waveformn</v>
      </c>
      <c r="B2111" t="str">
        <v>Io</v>
      </c>
      <c r="C2111" t="str" cm="1">
        <f t="array" ref="C2111">_xlfn.XLOOKUP(1,([3]!players[name]=A2111)*([3]!players[hero_name]=B2111),[3]!players[lane_name])</f>
        <v>Roam</v>
      </c>
      <c r="D2111">
        <f>COUNTIFS([3]!players[name],A2111,[3]!players[hero_name],B2111)</f>
        <v>3</v>
      </c>
      <c r="E2111">
        <f>COUNTIFS([3]!players[name],A2111,[3]!players[hero_name],B2111, [3]!players[win], 1)</f>
        <v>3</v>
      </c>
      <c r="F2111" s="1">
        <f t="shared" si="32"/>
        <v>1</v>
      </c>
      <c r="G2111" s="2">
        <f>AVERAGEIFS([3]!players[gold_per_min], [3]!players[name],A2111,[3]!players[hero_name],B2111)</f>
        <v>361.33333333333331</v>
      </c>
      <c r="H2111" s="2">
        <f>AVERAGEIFS([3]!players[xp_per_min], [3]!players[name],A2111,[3]!players[hero_name],B2111)</f>
        <v>612.66666666666663</v>
      </c>
    </row>
    <row r="2112" spans="1:8" x14ac:dyDescent="0.3">
      <c r="A2112" t="str">
        <v>Wisper</v>
      </c>
      <c r="B2112" t="str">
        <v>Weaver</v>
      </c>
      <c r="C2112" t="str" cm="1">
        <f t="array" ref="C2112">_xlfn.XLOOKUP(1,([3]!players[name]=A2112)*([3]!players[hero_name]=B2112),[3]!players[lane_name])</f>
        <v>Off Lane</v>
      </c>
      <c r="D2112">
        <f>COUNTIFS([3]!players[name],A2112,[3]!players[hero_name],B2112)</f>
        <v>1</v>
      </c>
      <c r="E2112">
        <f>COUNTIFS([3]!players[name],A2112,[3]!players[hero_name],B2112, [3]!players[win], 1)</f>
        <v>0</v>
      </c>
      <c r="F2112" s="1">
        <f t="shared" si="32"/>
        <v>0</v>
      </c>
      <c r="G2112" s="2">
        <f>AVERAGEIFS([3]!players[gold_per_min], [3]!players[name],A2112,[3]!players[hero_name],B2112)</f>
        <v>542</v>
      </c>
      <c r="H2112" s="2">
        <f>AVERAGEIFS([3]!players[xp_per_min], [3]!players[name],A2112,[3]!players[hero_name],B2112)</f>
        <v>630</v>
      </c>
    </row>
    <row r="2113" spans="1:8" x14ac:dyDescent="0.3">
      <c r="A2113" t="str">
        <v>Wisper</v>
      </c>
      <c r="B2113" t="str">
        <v>Pangolier</v>
      </c>
      <c r="C2113" t="str" cm="1">
        <f t="array" ref="C2113">_xlfn.XLOOKUP(1,([3]!players[name]=A2113)*([3]!players[hero_name]=B2113),[3]!players[lane_name])</f>
        <v>Off Lane</v>
      </c>
      <c r="D2113">
        <f>COUNTIFS([3]!players[name],A2113,[3]!players[hero_name],B2113)</f>
        <v>3</v>
      </c>
      <c r="E2113">
        <f>COUNTIFS([3]!players[name],A2113,[3]!players[hero_name],B2113, [3]!players[win], 1)</f>
        <v>2</v>
      </c>
      <c r="F2113" s="1">
        <f t="shared" si="32"/>
        <v>0.66666666666666663</v>
      </c>
      <c r="G2113" s="2">
        <f>AVERAGEIFS([3]!players[gold_per_min], [3]!players[name],A2113,[3]!players[hero_name],B2113)</f>
        <v>622</v>
      </c>
      <c r="H2113" s="2">
        <f>AVERAGEIFS([3]!players[xp_per_min], [3]!players[name],A2113,[3]!players[hero_name],B2113)</f>
        <v>845.66666666666663</v>
      </c>
    </row>
    <row r="2114" spans="1:8" x14ac:dyDescent="0.3">
      <c r="A2114" t="str">
        <v>Wisper</v>
      </c>
      <c r="B2114" t="str">
        <v>Bristleback</v>
      </c>
      <c r="C2114" t="str" cm="1">
        <f t="array" ref="C2114">_xlfn.XLOOKUP(1,([3]!players[name]=A2114)*([3]!players[hero_name]=B2114),[3]!players[lane_name])</f>
        <v>Off Lane</v>
      </c>
      <c r="D2114">
        <f>COUNTIFS([3]!players[name],A2114,[3]!players[hero_name],B2114)</f>
        <v>3</v>
      </c>
      <c r="E2114">
        <f>COUNTIFS([3]!players[name],A2114,[3]!players[hero_name],B2114, [3]!players[win], 1)</f>
        <v>1</v>
      </c>
      <c r="F2114" s="1">
        <f t="shared" si="32"/>
        <v>0.33333333333333331</v>
      </c>
      <c r="G2114" s="2">
        <f>AVERAGEIFS([3]!players[gold_per_min], [3]!players[name],A2114,[3]!players[hero_name],B2114)</f>
        <v>604.66666666666663</v>
      </c>
      <c r="H2114" s="2">
        <f>AVERAGEIFS([3]!players[xp_per_min], [3]!players[name],A2114,[3]!players[hero_name],B2114)</f>
        <v>730</v>
      </c>
    </row>
    <row r="2115" spans="1:8" x14ac:dyDescent="0.3">
      <c r="A2115" t="str">
        <v>Wisper</v>
      </c>
      <c r="B2115" t="str">
        <v>Magnus</v>
      </c>
      <c r="C2115" t="str" cm="1">
        <f t="array" ref="C2115">_xlfn.XLOOKUP(1,([3]!players[name]=A2115)*([3]!players[hero_name]=B2115),[3]!players[lane_name])</f>
        <v>Off Lane</v>
      </c>
      <c r="D2115">
        <f>COUNTIFS([3]!players[name],A2115,[3]!players[hero_name],B2115)</f>
        <v>2</v>
      </c>
      <c r="E2115">
        <f>COUNTIFS([3]!players[name],A2115,[3]!players[hero_name],B2115, [3]!players[win], 1)</f>
        <v>0</v>
      </c>
      <c r="F2115" s="1">
        <f t="shared" ref="F2115:F2178" si="33">E2115/D2115</f>
        <v>0</v>
      </c>
      <c r="G2115" s="2">
        <f>AVERAGEIFS([3]!players[gold_per_min], [3]!players[name],A2115,[3]!players[hero_name],B2115)</f>
        <v>501</v>
      </c>
      <c r="H2115" s="2">
        <f>AVERAGEIFS([3]!players[xp_per_min], [3]!players[name],A2115,[3]!players[hero_name],B2115)</f>
        <v>619.5</v>
      </c>
    </row>
    <row r="2116" spans="1:8" x14ac:dyDescent="0.3">
      <c r="A2116" t="str">
        <v>Wisper</v>
      </c>
      <c r="B2116" t="str">
        <v>Dark Seer</v>
      </c>
      <c r="C2116" t="str" cm="1">
        <f t="array" ref="C2116">_xlfn.XLOOKUP(1,([3]!players[name]=A2116)*([3]!players[hero_name]=B2116),[3]!players[lane_name])</f>
        <v>Off Lane</v>
      </c>
      <c r="D2116">
        <f>COUNTIFS([3]!players[name],A2116,[3]!players[hero_name],B2116)</f>
        <v>2</v>
      </c>
      <c r="E2116">
        <f>COUNTIFS([3]!players[name],A2116,[3]!players[hero_name],B2116, [3]!players[win], 1)</f>
        <v>1</v>
      </c>
      <c r="F2116" s="1">
        <f t="shared" si="33"/>
        <v>0.5</v>
      </c>
      <c r="G2116" s="2">
        <f>AVERAGEIFS([3]!players[gold_per_min], [3]!players[name],A2116,[3]!players[hero_name],B2116)</f>
        <v>698.5</v>
      </c>
      <c r="H2116" s="2">
        <f>AVERAGEIFS([3]!players[xp_per_min], [3]!players[name],A2116,[3]!players[hero_name],B2116)</f>
        <v>763.5</v>
      </c>
    </row>
    <row r="2117" spans="1:8" x14ac:dyDescent="0.3">
      <c r="A2117" t="str">
        <v>Wisper</v>
      </c>
      <c r="B2117" t="str">
        <v>Mars</v>
      </c>
      <c r="C2117" t="str" cm="1">
        <f t="array" ref="C2117">_xlfn.XLOOKUP(1,([3]!players[name]=A2117)*([3]!players[hero_name]=B2117),[3]!players[lane_name])</f>
        <v>Off Lane</v>
      </c>
      <c r="D2117">
        <f>COUNTIFS([3]!players[name],A2117,[3]!players[hero_name],B2117)</f>
        <v>3</v>
      </c>
      <c r="E2117">
        <f>COUNTIFS([3]!players[name],A2117,[3]!players[hero_name],B2117, [3]!players[win], 1)</f>
        <v>2</v>
      </c>
      <c r="F2117" s="1">
        <f t="shared" si="33"/>
        <v>0.66666666666666663</v>
      </c>
      <c r="G2117" s="2">
        <f>AVERAGEIFS([3]!players[gold_per_min], [3]!players[name],A2117,[3]!players[hero_name],B2117)</f>
        <v>553.66666666666663</v>
      </c>
      <c r="H2117" s="2">
        <f>AVERAGEIFS([3]!players[xp_per_min], [3]!players[name],A2117,[3]!players[hero_name],B2117)</f>
        <v>730.66666666666663</v>
      </c>
    </row>
    <row r="2118" spans="1:8" x14ac:dyDescent="0.3">
      <c r="A2118" t="str">
        <v>Wisper</v>
      </c>
      <c r="B2118" t="str">
        <v>Batrider</v>
      </c>
      <c r="C2118" t="str" cm="1">
        <f t="array" ref="C2118">_xlfn.XLOOKUP(1,([3]!players[name]=A2118)*([3]!players[hero_name]=B2118),[3]!players[lane_name])</f>
        <v>Off Lane</v>
      </c>
      <c r="D2118">
        <f>COUNTIFS([3]!players[name],A2118,[3]!players[hero_name],B2118)</f>
        <v>3</v>
      </c>
      <c r="E2118">
        <f>COUNTIFS([3]!players[name],A2118,[3]!players[hero_name],B2118, [3]!players[win], 1)</f>
        <v>3</v>
      </c>
      <c r="F2118" s="1">
        <f t="shared" si="33"/>
        <v>1</v>
      </c>
      <c r="G2118" s="2">
        <f>AVERAGEIFS([3]!players[gold_per_min], [3]!players[name],A2118,[3]!players[hero_name],B2118)</f>
        <v>691.66666666666663</v>
      </c>
      <c r="H2118" s="2">
        <f>AVERAGEIFS([3]!players[xp_per_min], [3]!players[name],A2118,[3]!players[hero_name],B2118)</f>
        <v>970.66666666666663</v>
      </c>
    </row>
    <row r="2119" spans="1:8" x14ac:dyDescent="0.3">
      <c r="A2119" t="str">
        <v>Wisper</v>
      </c>
      <c r="B2119" t="str">
        <v>Tidehunter</v>
      </c>
      <c r="C2119" t="str" cm="1">
        <f t="array" ref="C2119">_xlfn.XLOOKUP(1,([3]!players[name]=A2119)*([3]!players[hero_name]=B2119),[3]!players[lane_name])</f>
        <v>Off Lane</v>
      </c>
      <c r="D2119">
        <f>COUNTIFS([3]!players[name],A2119,[3]!players[hero_name],B2119)</f>
        <v>3</v>
      </c>
      <c r="E2119">
        <f>COUNTIFS([3]!players[name],A2119,[3]!players[hero_name],B2119, [3]!players[win], 1)</f>
        <v>3</v>
      </c>
      <c r="F2119" s="1">
        <f t="shared" si="33"/>
        <v>1</v>
      </c>
      <c r="G2119" s="2">
        <f>AVERAGEIFS([3]!players[gold_per_min], [3]!players[name],A2119,[3]!players[hero_name],B2119)</f>
        <v>597.33333333333337</v>
      </c>
      <c r="H2119" s="2">
        <f>AVERAGEIFS([3]!players[xp_per_min], [3]!players[name],A2119,[3]!players[hero_name],B2119)</f>
        <v>831.33333333333337</v>
      </c>
    </row>
    <row r="2120" spans="1:8" x14ac:dyDescent="0.3">
      <c r="A2120" t="str">
        <v>Wisper</v>
      </c>
      <c r="B2120" t="str">
        <v>Ember Spirit</v>
      </c>
      <c r="C2120" t="str" cm="1">
        <f t="array" ref="C2120">_xlfn.XLOOKUP(1,([3]!players[name]=A2120)*([3]!players[hero_name]=B2120),[3]!players[lane_name])</f>
        <v>Off Lane</v>
      </c>
      <c r="D2120">
        <f>COUNTIFS([3]!players[name],A2120,[3]!players[hero_name],B2120)</f>
        <v>1</v>
      </c>
      <c r="E2120">
        <f>COUNTIFS([3]!players[name],A2120,[3]!players[hero_name],B2120, [3]!players[win], 1)</f>
        <v>0</v>
      </c>
      <c r="F2120" s="1">
        <f t="shared" si="33"/>
        <v>0</v>
      </c>
      <c r="G2120" s="2">
        <f>AVERAGEIFS([3]!players[gold_per_min], [3]!players[name],A2120,[3]!players[hero_name],B2120)</f>
        <v>542</v>
      </c>
      <c r="H2120" s="2">
        <f>AVERAGEIFS([3]!players[xp_per_min], [3]!players[name],A2120,[3]!players[hero_name],B2120)</f>
        <v>686</v>
      </c>
    </row>
    <row r="2121" spans="1:8" x14ac:dyDescent="0.3">
      <c r="A2121" t="str">
        <v>Wisper</v>
      </c>
      <c r="B2121" t="str">
        <v>Beastmaster</v>
      </c>
      <c r="C2121" t="str" cm="1">
        <f t="array" ref="C2121">_xlfn.XLOOKUP(1,([3]!players[name]=A2121)*([3]!players[hero_name]=B2121),[3]!players[lane_name])</f>
        <v>Off Lane</v>
      </c>
      <c r="D2121">
        <f>COUNTIFS([3]!players[name],A2121,[3]!players[hero_name],B2121)</f>
        <v>1</v>
      </c>
      <c r="E2121">
        <f>COUNTIFS([3]!players[name],A2121,[3]!players[hero_name],B2121, [3]!players[win], 1)</f>
        <v>1</v>
      </c>
      <c r="F2121" s="1">
        <f t="shared" si="33"/>
        <v>1</v>
      </c>
      <c r="G2121" s="2">
        <f>AVERAGEIFS([3]!players[gold_per_min], [3]!players[name],A2121,[3]!players[hero_name],B2121)</f>
        <v>663</v>
      </c>
      <c r="H2121" s="2">
        <f>AVERAGEIFS([3]!players[xp_per_min], [3]!players[name],A2121,[3]!players[hero_name],B2121)</f>
        <v>738</v>
      </c>
    </row>
    <row r="2122" spans="1:8" x14ac:dyDescent="0.3">
      <c r="A2122" t="str">
        <v>Wisper</v>
      </c>
      <c r="B2122" t="str">
        <v>Timbersaw</v>
      </c>
      <c r="C2122" t="str" cm="1">
        <f t="array" ref="C2122">_xlfn.XLOOKUP(1,([3]!players[name]=A2122)*([3]!players[hero_name]=B2122),[3]!players[lane_name])</f>
        <v>Off Lane</v>
      </c>
      <c r="D2122">
        <f>COUNTIFS([3]!players[name],A2122,[3]!players[hero_name],B2122)</f>
        <v>3</v>
      </c>
      <c r="E2122">
        <f>COUNTIFS([3]!players[name],A2122,[3]!players[hero_name],B2122, [3]!players[win], 1)</f>
        <v>1</v>
      </c>
      <c r="F2122" s="1">
        <f t="shared" si="33"/>
        <v>0.33333333333333331</v>
      </c>
      <c r="G2122" s="2">
        <f>AVERAGEIFS([3]!players[gold_per_min], [3]!players[name],A2122,[3]!players[hero_name],B2122)</f>
        <v>671</v>
      </c>
      <c r="H2122" s="2">
        <f>AVERAGEIFS([3]!players[xp_per_min], [3]!players[name],A2122,[3]!players[hero_name],B2122)</f>
        <v>835.33333333333337</v>
      </c>
    </row>
    <row r="2123" spans="1:8" x14ac:dyDescent="0.3">
      <c r="A2123" t="str">
        <v>Wisper</v>
      </c>
      <c r="B2123" t="str">
        <v>Enigma</v>
      </c>
      <c r="C2123" t="str" cm="1">
        <f t="array" ref="C2123">_xlfn.XLOOKUP(1,([3]!players[name]=A2123)*([3]!players[hero_name]=B2123),[3]!players[lane_name])</f>
        <v>Off Lane</v>
      </c>
      <c r="D2123">
        <f>COUNTIFS([3]!players[name],A2123,[3]!players[hero_name],B2123)</f>
        <v>2</v>
      </c>
      <c r="E2123">
        <f>COUNTIFS([3]!players[name],A2123,[3]!players[hero_name],B2123, [3]!players[win], 1)</f>
        <v>0</v>
      </c>
      <c r="F2123" s="1">
        <f t="shared" si="33"/>
        <v>0</v>
      </c>
      <c r="G2123" s="2">
        <f>AVERAGEIFS([3]!players[gold_per_min], [3]!players[name],A2123,[3]!players[hero_name],B2123)</f>
        <v>488</v>
      </c>
      <c r="H2123" s="2">
        <f>AVERAGEIFS([3]!players[xp_per_min], [3]!players[name],A2123,[3]!players[hero_name],B2123)</f>
        <v>427.5</v>
      </c>
    </row>
    <row r="2124" spans="1:8" x14ac:dyDescent="0.3">
      <c r="A2124" t="str">
        <v>Wisper</v>
      </c>
      <c r="B2124" t="str">
        <v>Undying</v>
      </c>
      <c r="C2124" t="str" cm="1">
        <f t="array" ref="C2124">_xlfn.XLOOKUP(1,([3]!players[name]=A2124)*([3]!players[hero_name]=B2124),[3]!players[lane_name])</f>
        <v>Off Lane</v>
      </c>
      <c r="D2124">
        <f>COUNTIFS([3]!players[name],A2124,[3]!players[hero_name],B2124)</f>
        <v>1</v>
      </c>
      <c r="E2124">
        <f>COUNTIFS([3]!players[name],A2124,[3]!players[hero_name],B2124, [3]!players[win], 1)</f>
        <v>0</v>
      </c>
      <c r="F2124" s="1">
        <f t="shared" si="33"/>
        <v>0</v>
      </c>
      <c r="G2124" s="2">
        <f>AVERAGEIFS([3]!players[gold_per_min], [3]!players[name],A2124,[3]!players[hero_name],B2124)</f>
        <v>438</v>
      </c>
      <c r="H2124" s="2">
        <f>AVERAGEIFS([3]!players[xp_per_min], [3]!players[name],A2124,[3]!players[hero_name],B2124)</f>
        <v>531</v>
      </c>
    </row>
    <row r="2125" spans="1:8" x14ac:dyDescent="0.3">
      <c r="A2125" t="str">
        <v>Wisper</v>
      </c>
      <c r="B2125" t="str">
        <v>Doom</v>
      </c>
      <c r="C2125" t="str" cm="1">
        <f t="array" ref="C2125">_xlfn.XLOOKUP(1,([3]!players[name]=A2125)*([3]!players[hero_name]=B2125),[3]!players[lane_name])</f>
        <v>Off Lane</v>
      </c>
      <c r="D2125">
        <f>COUNTIFS([3]!players[name],A2125,[3]!players[hero_name],B2125)</f>
        <v>1</v>
      </c>
      <c r="E2125">
        <f>COUNTIFS([3]!players[name],A2125,[3]!players[hero_name],B2125, [3]!players[win], 1)</f>
        <v>1</v>
      </c>
      <c r="F2125" s="1">
        <f t="shared" si="33"/>
        <v>1</v>
      </c>
      <c r="G2125" s="2">
        <f>AVERAGEIFS([3]!players[gold_per_min], [3]!players[name],A2125,[3]!players[hero_name],B2125)</f>
        <v>629</v>
      </c>
      <c r="H2125" s="2">
        <f>AVERAGEIFS([3]!players[xp_per_min], [3]!players[name],A2125,[3]!players[hero_name],B2125)</f>
        <v>700</v>
      </c>
    </row>
    <row r="2126" spans="1:8" x14ac:dyDescent="0.3">
      <c r="A2126" t="str">
        <v>Wisper</v>
      </c>
      <c r="B2126" t="str">
        <v>Kunkka</v>
      </c>
      <c r="C2126" t="str" cm="1">
        <f t="array" ref="C2126">_xlfn.XLOOKUP(1,([3]!players[name]=A2126)*([3]!players[hero_name]=B2126),[3]!players[lane_name])</f>
        <v>Off Lane</v>
      </c>
      <c r="D2126">
        <f>COUNTIFS([3]!players[name],A2126,[3]!players[hero_name],B2126)</f>
        <v>1</v>
      </c>
      <c r="E2126">
        <f>COUNTIFS([3]!players[name],A2126,[3]!players[hero_name],B2126, [3]!players[win], 1)</f>
        <v>1</v>
      </c>
      <c r="F2126" s="1">
        <f t="shared" si="33"/>
        <v>1</v>
      </c>
      <c r="G2126" s="2">
        <f>AVERAGEIFS([3]!players[gold_per_min], [3]!players[name],A2126,[3]!players[hero_name],B2126)</f>
        <v>566</v>
      </c>
      <c r="H2126" s="2">
        <f>AVERAGEIFS([3]!players[xp_per_min], [3]!players[name],A2126,[3]!players[hero_name],B2126)</f>
        <v>855</v>
      </c>
    </row>
    <row r="2127" spans="1:8" x14ac:dyDescent="0.3">
      <c r="A2127" t="str">
        <v>Wisper</v>
      </c>
      <c r="B2127" t="str">
        <v>Underlord</v>
      </c>
      <c r="C2127" t="str" cm="1">
        <f t="array" ref="C2127">_xlfn.XLOOKUP(1,([3]!players[name]=A2127)*([3]!players[hero_name]=B2127),[3]!players[lane_name])</f>
        <v>Off Lane</v>
      </c>
      <c r="D2127">
        <f>COUNTIFS([3]!players[name],A2127,[3]!players[hero_name],B2127)</f>
        <v>1</v>
      </c>
      <c r="E2127">
        <f>COUNTIFS([3]!players[name],A2127,[3]!players[hero_name],B2127, [3]!players[win], 1)</f>
        <v>0</v>
      </c>
      <c r="F2127" s="1">
        <f t="shared" si="33"/>
        <v>0</v>
      </c>
      <c r="G2127" s="2">
        <f>AVERAGEIFS([3]!players[gold_per_min], [3]!players[name],A2127,[3]!players[hero_name],B2127)</f>
        <v>467</v>
      </c>
      <c r="H2127" s="2">
        <f>AVERAGEIFS([3]!players[xp_per_min], [3]!players[name],A2127,[3]!players[hero_name],B2127)</f>
        <v>513</v>
      </c>
    </row>
    <row r="2128" spans="1:8" x14ac:dyDescent="0.3">
      <c r="A2128" t="str">
        <v>Wisper</v>
      </c>
      <c r="B2128" t="str">
        <v>Dawnbreaker</v>
      </c>
      <c r="C2128" t="str" cm="1">
        <f t="array" ref="C2128">_xlfn.XLOOKUP(1,([3]!players[name]=A2128)*([3]!players[hero_name]=B2128),[3]!players[lane_name])</f>
        <v>Off Lane</v>
      </c>
      <c r="D2128">
        <f>COUNTIFS([3]!players[name],A2128,[3]!players[hero_name],B2128)</f>
        <v>1</v>
      </c>
      <c r="E2128">
        <f>COUNTIFS([3]!players[name],A2128,[3]!players[hero_name],B2128, [3]!players[win], 1)</f>
        <v>0</v>
      </c>
      <c r="F2128" s="1">
        <f t="shared" si="33"/>
        <v>0</v>
      </c>
      <c r="G2128" s="2">
        <f>AVERAGEIFS([3]!players[gold_per_min], [3]!players[name],A2128,[3]!players[hero_name],B2128)</f>
        <v>651</v>
      </c>
      <c r="H2128" s="2">
        <f>AVERAGEIFS([3]!players[xp_per_min], [3]!players[name],A2128,[3]!players[hero_name],B2128)</f>
        <v>880</v>
      </c>
    </row>
    <row r="2129" spans="1:8" x14ac:dyDescent="0.3">
      <c r="A2129" t="str">
        <v>Wisper</v>
      </c>
      <c r="B2129" t="str">
        <v>Brewmaster</v>
      </c>
      <c r="C2129" t="str" cm="1">
        <f t="array" ref="C2129">_xlfn.XLOOKUP(1,([3]!players[name]=A2129)*([3]!players[hero_name]=B2129),[3]!players[lane_name])</f>
        <v>Off Lane</v>
      </c>
      <c r="D2129">
        <f>COUNTIFS([3]!players[name],A2129,[3]!players[hero_name],B2129)</f>
        <v>1</v>
      </c>
      <c r="E2129">
        <f>COUNTIFS([3]!players[name],A2129,[3]!players[hero_name],B2129, [3]!players[win], 1)</f>
        <v>0</v>
      </c>
      <c r="F2129" s="1">
        <f t="shared" si="33"/>
        <v>0</v>
      </c>
      <c r="G2129" s="2">
        <f>AVERAGEIFS([3]!players[gold_per_min], [3]!players[name],A2129,[3]!players[hero_name],B2129)</f>
        <v>501</v>
      </c>
      <c r="H2129" s="2">
        <f>AVERAGEIFS([3]!players[xp_per_min], [3]!players[name],A2129,[3]!players[hero_name],B2129)</f>
        <v>620</v>
      </c>
    </row>
    <row r="2130" spans="1:8" x14ac:dyDescent="0.3">
      <c r="A2130" t="str">
        <v>Wits</v>
      </c>
      <c r="B2130" t="str">
        <v>Monkey King</v>
      </c>
      <c r="C2130" t="str" cm="1">
        <f t="array" ref="C2130">_xlfn.XLOOKUP(1,([3]!players[name]=A2130)*([3]!players[hero_name]=B2130),[3]!players[lane_name])</f>
        <v>Carry</v>
      </c>
      <c r="D2130">
        <f>COUNTIFS([3]!players[name],A2130,[3]!players[hero_name],B2130)</f>
        <v>12</v>
      </c>
      <c r="E2130">
        <f>COUNTIFS([3]!players[name],A2130,[3]!players[hero_name],B2130, [3]!players[win], 1)</f>
        <v>11</v>
      </c>
      <c r="F2130" s="1">
        <f t="shared" si="33"/>
        <v>0.91666666666666663</v>
      </c>
      <c r="G2130" s="2">
        <f>AVERAGEIFS([3]!players[gold_per_min], [3]!players[name],A2130,[3]!players[hero_name],B2130)</f>
        <v>656.41666666666663</v>
      </c>
      <c r="H2130" s="2">
        <f>AVERAGEIFS([3]!players[xp_per_min], [3]!players[name],A2130,[3]!players[hero_name],B2130)</f>
        <v>786.08333333333337</v>
      </c>
    </row>
    <row r="2131" spans="1:8" x14ac:dyDescent="0.3">
      <c r="A2131" t="str">
        <v>Wits</v>
      </c>
      <c r="B2131" t="str">
        <v>Kez</v>
      </c>
      <c r="C2131" t="str" cm="1">
        <f t="array" ref="C2131">_xlfn.XLOOKUP(1,([3]!players[name]=A2131)*([3]!players[hero_name]=B2131),[3]!players[lane_name])</f>
        <v>Carry</v>
      </c>
      <c r="D2131">
        <f>COUNTIFS([3]!players[name],A2131,[3]!players[hero_name],B2131)</f>
        <v>7</v>
      </c>
      <c r="E2131">
        <f>COUNTIFS([3]!players[name],A2131,[3]!players[hero_name],B2131, [3]!players[win], 1)</f>
        <v>2</v>
      </c>
      <c r="F2131" s="1">
        <f t="shared" si="33"/>
        <v>0.2857142857142857</v>
      </c>
      <c r="G2131" s="2">
        <f>AVERAGEIFS([3]!players[gold_per_min], [3]!players[name],A2131,[3]!players[hero_name],B2131)</f>
        <v>624.85714285714289</v>
      </c>
      <c r="H2131" s="2">
        <f>AVERAGEIFS([3]!players[xp_per_min], [3]!players[name],A2131,[3]!players[hero_name],B2131)</f>
        <v>752.42857142857144</v>
      </c>
    </row>
    <row r="2132" spans="1:8" x14ac:dyDescent="0.3">
      <c r="A2132" t="str">
        <v>Wits</v>
      </c>
      <c r="B2132" t="str">
        <v>Morphling</v>
      </c>
      <c r="C2132" t="str" cm="1">
        <f t="array" ref="C2132">_xlfn.XLOOKUP(1,([3]!players[name]=A2132)*([3]!players[hero_name]=B2132),[3]!players[lane_name])</f>
        <v>Carry</v>
      </c>
      <c r="D2132">
        <f>COUNTIFS([3]!players[name],A2132,[3]!players[hero_name],B2132)</f>
        <v>1</v>
      </c>
      <c r="E2132">
        <f>COUNTIFS([3]!players[name],A2132,[3]!players[hero_name],B2132, [3]!players[win], 1)</f>
        <v>1</v>
      </c>
      <c r="F2132" s="1">
        <f t="shared" si="33"/>
        <v>1</v>
      </c>
      <c r="G2132" s="2">
        <f>AVERAGEIFS([3]!players[gold_per_min], [3]!players[name],A2132,[3]!players[hero_name],B2132)</f>
        <v>622</v>
      </c>
      <c r="H2132" s="2">
        <f>AVERAGEIFS([3]!players[xp_per_min], [3]!players[name],A2132,[3]!players[hero_name],B2132)</f>
        <v>642</v>
      </c>
    </row>
    <row r="2133" spans="1:8" x14ac:dyDescent="0.3">
      <c r="A2133" t="str">
        <v>Wits</v>
      </c>
      <c r="B2133" t="str">
        <v>Slark</v>
      </c>
      <c r="C2133" t="str" cm="1">
        <f t="array" ref="C2133">_xlfn.XLOOKUP(1,([3]!players[name]=A2133)*([3]!players[hero_name]=B2133),[3]!players[lane_name])</f>
        <v>Carry</v>
      </c>
      <c r="D2133">
        <f>COUNTIFS([3]!players[name],A2133,[3]!players[hero_name],B2133)</f>
        <v>4</v>
      </c>
      <c r="E2133">
        <f>COUNTIFS([3]!players[name],A2133,[3]!players[hero_name],B2133, [3]!players[win], 1)</f>
        <v>2</v>
      </c>
      <c r="F2133" s="1">
        <f t="shared" si="33"/>
        <v>0.5</v>
      </c>
      <c r="G2133" s="2">
        <f>AVERAGEIFS([3]!players[gold_per_min], [3]!players[name],A2133,[3]!players[hero_name],B2133)</f>
        <v>578</v>
      </c>
      <c r="H2133" s="2">
        <f>AVERAGEIFS([3]!players[xp_per_min], [3]!players[name],A2133,[3]!players[hero_name],B2133)</f>
        <v>661</v>
      </c>
    </row>
    <row r="2134" spans="1:8" x14ac:dyDescent="0.3">
      <c r="A2134" t="str">
        <v>Wits</v>
      </c>
      <c r="B2134" t="str">
        <v>Beastmaster</v>
      </c>
      <c r="C2134" t="str" cm="1">
        <f t="array" ref="C2134">_xlfn.XLOOKUP(1,([3]!players[name]=A2134)*([3]!players[hero_name]=B2134),[3]!players[lane_name])</f>
        <v>Carry</v>
      </c>
      <c r="D2134">
        <f>COUNTIFS([3]!players[name],A2134,[3]!players[hero_name],B2134)</f>
        <v>6</v>
      </c>
      <c r="E2134">
        <f>COUNTIFS([3]!players[name],A2134,[3]!players[hero_name],B2134, [3]!players[win], 1)</f>
        <v>4</v>
      </c>
      <c r="F2134" s="1">
        <f t="shared" si="33"/>
        <v>0.66666666666666663</v>
      </c>
      <c r="G2134" s="2">
        <f>AVERAGEIFS([3]!players[gold_per_min], [3]!players[name],A2134,[3]!players[hero_name],B2134)</f>
        <v>694.16666666666663</v>
      </c>
      <c r="H2134" s="2">
        <f>AVERAGEIFS([3]!players[xp_per_min], [3]!players[name],A2134,[3]!players[hero_name],B2134)</f>
        <v>803.33333333333337</v>
      </c>
    </row>
    <row r="2135" spans="1:8" x14ac:dyDescent="0.3">
      <c r="A2135" t="str">
        <v>Wits</v>
      </c>
      <c r="B2135" t="str">
        <v>Doom</v>
      </c>
      <c r="C2135" t="str" cm="1">
        <f t="array" ref="C2135">_xlfn.XLOOKUP(1,([3]!players[name]=A2135)*([3]!players[hero_name]=B2135),[3]!players[lane_name])</f>
        <v>Carry</v>
      </c>
      <c r="D2135">
        <f>COUNTIFS([3]!players[name],A2135,[3]!players[hero_name],B2135)</f>
        <v>5</v>
      </c>
      <c r="E2135">
        <f>COUNTIFS([3]!players[name],A2135,[3]!players[hero_name],B2135, [3]!players[win], 1)</f>
        <v>4</v>
      </c>
      <c r="F2135" s="1">
        <f t="shared" si="33"/>
        <v>0.8</v>
      </c>
      <c r="G2135" s="2">
        <f>AVERAGEIFS([3]!players[gold_per_min], [3]!players[name],A2135,[3]!players[hero_name],B2135)</f>
        <v>712.8</v>
      </c>
      <c r="H2135" s="2">
        <f>AVERAGEIFS([3]!players[xp_per_min], [3]!players[name],A2135,[3]!players[hero_name],B2135)</f>
        <v>805.6</v>
      </c>
    </row>
    <row r="2136" spans="1:8" x14ac:dyDescent="0.3">
      <c r="A2136" t="str">
        <v>Wits</v>
      </c>
      <c r="B2136" t="str">
        <v>Ursa</v>
      </c>
      <c r="C2136" t="str" cm="1">
        <f t="array" ref="C2136">_xlfn.XLOOKUP(1,([3]!players[name]=A2136)*([3]!players[hero_name]=B2136),[3]!players[lane_name])</f>
        <v>Carry</v>
      </c>
      <c r="D2136">
        <f>COUNTIFS([3]!players[name],A2136,[3]!players[hero_name],B2136)</f>
        <v>1</v>
      </c>
      <c r="E2136">
        <f>COUNTIFS([3]!players[name],A2136,[3]!players[hero_name],B2136, [3]!players[win], 1)</f>
        <v>0</v>
      </c>
      <c r="F2136" s="1">
        <f t="shared" si="33"/>
        <v>0</v>
      </c>
      <c r="G2136" s="2">
        <f>AVERAGEIFS([3]!players[gold_per_min], [3]!players[name],A2136,[3]!players[hero_name],B2136)</f>
        <v>730</v>
      </c>
      <c r="H2136" s="2">
        <f>AVERAGEIFS([3]!players[xp_per_min], [3]!players[name],A2136,[3]!players[hero_name],B2136)</f>
        <v>863</v>
      </c>
    </row>
    <row r="2137" spans="1:8" x14ac:dyDescent="0.3">
      <c r="A2137" t="str">
        <v>Wits</v>
      </c>
      <c r="B2137" t="str">
        <v>Luna</v>
      </c>
      <c r="C2137" t="str" cm="1">
        <f t="array" ref="C2137">_xlfn.XLOOKUP(1,([3]!players[name]=A2137)*([3]!players[hero_name]=B2137),[3]!players[lane_name])</f>
        <v>Carry</v>
      </c>
      <c r="D2137">
        <f>COUNTIFS([3]!players[name],A2137,[3]!players[hero_name],B2137)</f>
        <v>2</v>
      </c>
      <c r="E2137">
        <f>COUNTIFS([3]!players[name],A2137,[3]!players[hero_name],B2137, [3]!players[win], 1)</f>
        <v>2</v>
      </c>
      <c r="F2137" s="1">
        <f t="shared" si="33"/>
        <v>1</v>
      </c>
      <c r="G2137" s="2">
        <f>AVERAGEIFS([3]!players[gold_per_min], [3]!players[name],A2137,[3]!players[hero_name],B2137)</f>
        <v>891.5</v>
      </c>
      <c r="H2137" s="2">
        <f>AVERAGEIFS([3]!players[xp_per_min], [3]!players[name],A2137,[3]!players[hero_name],B2137)</f>
        <v>943</v>
      </c>
    </row>
    <row r="2138" spans="1:8" x14ac:dyDescent="0.3">
      <c r="A2138" t="str">
        <v>Wits</v>
      </c>
      <c r="B2138" t="str">
        <v>Templar Assassin</v>
      </c>
      <c r="C2138" t="str" cm="1">
        <f t="array" ref="C2138">_xlfn.XLOOKUP(1,([3]!players[name]=A2138)*([3]!players[hero_name]=B2138),[3]!players[lane_name])</f>
        <v>Carry</v>
      </c>
      <c r="D2138">
        <f>COUNTIFS([3]!players[name],A2138,[3]!players[hero_name],B2138)</f>
        <v>1</v>
      </c>
      <c r="E2138">
        <f>COUNTIFS([3]!players[name],A2138,[3]!players[hero_name],B2138, [3]!players[win], 1)</f>
        <v>0</v>
      </c>
      <c r="F2138" s="1">
        <f t="shared" si="33"/>
        <v>0</v>
      </c>
      <c r="G2138" s="2">
        <f>AVERAGEIFS([3]!players[gold_per_min], [3]!players[name],A2138,[3]!players[hero_name],B2138)</f>
        <v>619</v>
      </c>
      <c r="H2138" s="2">
        <f>AVERAGEIFS([3]!players[xp_per_min], [3]!players[name],A2138,[3]!players[hero_name],B2138)</f>
        <v>628</v>
      </c>
    </row>
    <row r="2139" spans="1:8" x14ac:dyDescent="0.3">
      <c r="A2139" t="str">
        <v>Wits</v>
      </c>
      <c r="B2139" t="str">
        <v>Windranger</v>
      </c>
      <c r="C2139" t="str" cm="1">
        <f t="array" ref="C2139">_xlfn.XLOOKUP(1,([3]!players[name]=A2139)*([3]!players[hero_name]=B2139),[3]!players[lane_name])</f>
        <v>Carry</v>
      </c>
      <c r="D2139">
        <f>COUNTIFS([3]!players[name],A2139,[3]!players[hero_name],B2139)</f>
        <v>8</v>
      </c>
      <c r="E2139">
        <f>COUNTIFS([3]!players[name],A2139,[3]!players[hero_name],B2139, [3]!players[win], 1)</f>
        <v>3</v>
      </c>
      <c r="F2139" s="1">
        <f t="shared" si="33"/>
        <v>0.375</v>
      </c>
      <c r="G2139" s="2">
        <f>AVERAGEIFS([3]!players[gold_per_min], [3]!players[name],A2139,[3]!players[hero_name],B2139)</f>
        <v>608.125</v>
      </c>
      <c r="H2139" s="2">
        <f>AVERAGEIFS([3]!players[xp_per_min], [3]!players[name],A2139,[3]!players[hero_name],B2139)</f>
        <v>715.125</v>
      </c>
    </row>
    <row r="2140" spans="1:8" x14ac:dyDescent="0.3">
      <c r="A2140" t="str">
        <v>Wits</v>
      </c>
      <c r="B2140" t="str">
        <v>Lifestealer</v>
      </c>
      <c r="C2140" t="str" cm="1">
        <f t="array" ref="C2140">_xlfn.XLOOKUP(1,([3]!players[name]=A2140)*([3]!players[hero_name]=B2140),[3]!players[lane_name])</f>
        <v>Carry</v>
      </c>
      <c r="D2140">
        <f>COUNTIFS([3]!players[name],A2140,[3]!players[hero_name],B2140)</f>
        <v>2</v>
      </c>
      <c r="E2140">
        <f>COUNTIFS([3]!players[name],A2140,[3]!players[hero_name],B2140, [3]!players[win], 1)</f>
        <v>1</v>
      </c>
      <c r="F2140" s="1">
        <f t="shared" si="33"/>
        <v>0.5</v>
      </c>
      <c r="G2140" s="2">
        <f>AVERAGEIFS([3]!players[gold_per_min], [3]!players[name],A2140,[3]!players[hero_name],B2140)</f>
        <v>717</v>
      </c>
      <c r="H2140" s="2">
        <f>AVERAGEIFS([3]!players[xp_per_min], [3]!players[name],A2140,[3]!players[hero_name],B2140)</f>
        <v>760.5</v>
      </c>
    </row>
    <row r="2141" spans="1:8" x14ac:dyDescent="0.3">
      <c r="A2141" t="str">
        <v>Wits</v>
      </c>
      <c r="B2141" t="str">
        <v>Muerta</v>
      </c>
      <c r="C2141" t="str" cm="1">
        <f t="array" ref="C2141">_xlfn.XLOOKUP(1,([3]!players[name]=A2141)*([3]!players[hero_name]=B2141),[3]!players[lane_name])</f>
        <v>Carry</v>
      </c>
      <c r="D2141">
        <f>COUNTIFS([3]!players[name],A2141,[3]!players[hero_name],B2141)</f>
        <v>2</v>
      </c>
      <c r="E2141">
        <f>COUNTIFS([3]!players[name],A2141,[3]!players[hero_name],B2141, [3]!players[win], 1)</f>
        <v>1</v>
      </c>
      <c r="F2141" s="1">
        <f t="shared" si="33"/>
        <v>0.5</v>
      </c>
      <c r="G2141" s="2">
        <f>AVERAGEIFS([3]!players[gold_per_min], [3]!players[name],A2141,[3]!players[hero_name],B2141)</f>
        <v>718</v>
      </c>
      <c r="H2141" s="2">
        <f>AVERAGEIFS([3]!players[xp_per_min], [3]!players[name],A2141,[3]!players[hero_name],B2141)</f>
        <v>879.5</v>
      </c>
    </row>
    <row r="2142" spans="1:8" x14ac:dyDescent="0.3">
      <c r="A2142" t="str">
        <v>Wits</v>
      </c>
      <c r="B2142" t="str">
        <v>Necrophos</v>
      </c>
      <c r="C2142" t="str" cm="1">
        <f t="array" ref="C2142">_xlfn.XLOOKUP(1,([3]!players[name]=A2142)*([3]!players[hero_name]=B2142),[3]!players[lane_name])</f>
        <v>Carry</v>
      </c>
      <c r="D2142">
        <f>COUNTIFS([3]!players[name],A2142,[3]!players[hero_name],B2142)</f>
        <v>5</v>
      </c>
      <c r="E2142">
        <f>COUNTIFS([3]!players[name],A2142,[3]!players[hero_name],B2142, [3]!players[win], 1)</f>
        <v>3</v>
      </c>
      <c r="F2142" s="1">
        <f t="shared" si="33"/>
        <v>0.6</v>
      </c>
      <c r="G2142" s="2">
        <f>AVERAGEIFS([3]!players[gold_per_min], [3]!players[name],A2142,[3]!players[hero_name],B2142)</f>
        <v>684.6</v>
      </c>
      <c r="H2142" s="2">
        <f>AVERAGEIFS([3]!players[xp_per_min], [3]!players[name],A2142,[3]!players[hero_name],B2142)</f>
        <v>834.2</v>
      </c>
    </row>
    <row r="2143" spans="1:8" x14ac:dyDescent="0.3">
      <c r="A2143" t="str">
        <v>Wits</v>
      </c>
      <c r="B2143" t="str">
        <v>Tiny</v>
      </c>
      <c r="C2143" t="str" cm="1">
        <f t="array" ref="C2143">_xlfn.XLOOKUP(1,([3]!players[name]=A2143)*([3]!players[hero_name]=B2143),[3]!players[lane_name])</f>
        <v>Carry</v>
      </c>
      <c r="D2143">
        <f>COUNTIFS([3]!players[name],A2143,[3]!players[hero_name],B2143)</f>
        <v>6</v>
      </c>
      <c r="E2143">
        <f>COUNTIFS([3]!players[name],A2143,[3]!players[hero_name],B2143, [3]!players[win], 1)</f>
        <v>4</v>
      </c>
      <c r="F2143" s="1">
        <f t="shared" si="33"/>
        <v>0.66666666666666663</v>
      </c>
      <c r="G2143" s="2">
        <f>AVERAGEIFS([3]!players[gold_per_min], [3]!players[name],A2143,[3]!players[hero_name],B2143)</f>
        <v>680.16666666666663</v>
      </c>
      <c r="H2143" s="2">
        <f>AVERAGEIFS([3]!players[xp_per_min], [3]!players[name],A2143,[3]!players[hero_name],B2143)</f>
        <v>851.5</v>
      </c>
    </row>
    <row r="2144" spans="1:8" x14ac:dyDescent="0.3">
      <c r="A2144" t="str">
        <v>Wits</v>
      </c>
      <c r="B2144" t="str">
        <v>Alchemist</v>
      </c>
      <c r="C2144" t="str" cm="1">
        <f t="array" ref="C2144">_xlfn.XLOOKUP(1,([3]!players[name]=A2144)*([3]!players[hero_name]=B2144),[3]!players[lane_name])</f>
        <v>Off Lane</v>
      </c>
      <c r="D2144">
        <f>COUNTIFS([3]!players[name],A2144,[3]!players[hero_name],B2144)</f>
        <v>5</v>
      </c>
      <c r="E2144">
        <f>COUNTIFS([3]!players[name],A2144,[3]!players[hero_name],B2144, [3]!players[win], 1)</f>
        <v>4</v>
      </c>
      <c r="F2144" s="1">
        <f t="shared" si="33"/>
        <v>0.8</v>
      </c>
      <c r="G2144" s="2">
        <f>AVERAGEIFS([3]!players[gold_per_min], [3]!players[name],A2144,[3]!players[hero_name],B2144)</f>
        <v>815.8</v>
      </c>
      <c r="H2144" s="2">
        <f>AVERAGEIFS([3]!players[xp_per_min], [3]!players[name],A2144,[3]!players[hero_name],B2144)</f>
        <v>841.8</v>
      </c>
    </row>
    <row r="2145" spans="1:8" x14ac:dyDescent="0.3">
      <c r="A2145" t="str">
        <v>Wits</v>
      </c>
      <c r="B2145" t="str">
        <v>Shadow Fiend</v>
      </c>
      <c r="C2145" t="str" cm="1">
        <f t="array" ref="C2145">_xlfn.XLOOKUP(1,([3]!players[name]=A2145)*([3]!players[hero_name]=B2145),[3]!players[lane_name])</f>
        <v>Carry</v>
      </c>
      <c r="D2145">
        <f>COUNTIFS([3]!players[name],A2145,[3]!players[hero_name],B2145)</f>
        <v>1</v>
      </c>
      <c r="E2145">
        <f>COUNTIFS([3]!players[name],A2145,[3]!players[hero_name],B2145, [3]!players[win], 1)</f>
        <v>1</v>
      </c>
      <c r="F2145" s="1">
        <f t="shared" si="33"/>
        <v>1</v>
      </c>
      <c r="G2145" s="2">
        <f>AVERAGEIFS([3]!players[gold_per_min], [3]!players[name],A2145,[3]!players[hero_name],B2145)</f>
        <v>859</v>
      </c>
      <c r="H2145" s="2">
        <f>AVERAGEIFS([3]!players[xp_per_min], [3]!players[name],A2145,[3]!players[hero_name],B2145)</f>
        <v>1063</v>
      </c>
    </row>
    <row r="2146" spans="1:8" x14ac:dyDescent="0.3">
      <c r="A2146" t="str">
        <v>Worick</v>
      </c>
      <c r="B2146" t="str">
        <v>Viper</v>
      </c>
      <c r="C2146" t="str" cm="1">
        <f t="array" ref="C2146">_xlfn.XLOOKUP(1,([3]!players[name]=A2146)*([3]!players[hero_name]=B2146),[3]!players[lane_name])</f>
        <v>Mid</v>
      </c>
      <c r="D2146">
        <f>COUNTIFS([3]!players[name],A2146,[3]!players[hero_name],B2146)</f>
        <v>1</v>
      </c>
      <c r="E2146">
        <f>COUNTIFS([3]!players[name],A2146,[3]!players[hero_name],B2146, [3]!players[win], 1)</f>
        <v>0</v>
      </c>
      <c r="F2146" s="1">
        <f t="shared" si="33"/>
        <v>0</v>
      </c>
      <c r="G2146" s="2">
        <f>AVERAGEIFS([3]!players[gold_per_min], [3]!players[name],A2146,[3]!players[hero_name],B2146)</f>
        <v>403</v>
      </c>
      <c r="H2146" s="2">
        <f>AVERAGEIFS([3]!players[xp_per_min], [3]!players[name],A2146,[3]!players[hero_name],B2146)</f>
        <v>450</v>
      </c>
    </row>
    <row r="2147" spans="1:8" x14ac:dyDescent="0.3">
      <c r="A2147" t="str">
        <v>Worick</v>
      </c>
      <c r="B2147" t="str">
        <v>Sand King</v>
      </c>
      <c r="C2147" t="str" cm="1">
        <f t="array" ref="C2147">_xlfn.XLOOKUP(1,([3]!players[name]=A2147)*([3]!players[hero_name]=B2147),[3]!players[lane_name])</f>
        <v>Mid</v>
      </c>
      <c r="D2147">
        <f>COUNTIFS([3]!players[name],A2147,[3]!players[hero_name],B2147)</f>
        <v>11</v>
      </c>
      <c r="E2147">
        <f>COUNTIFS([3]!players[name],A2147,[3]!players[hero_name],B2147, [3]!players[win], 1)</f>
        <v>6</v>
      </c>
      <c r="F2147" s="1">
        <f t="shared" si="33"/>
        <v>0.54545454545454541</v>
      </c>
      <c r="G2147" s="2">
        <f>AVERAGEIFS([3]!players[gold_per_min], [3]!players[name],A2147,[3]!players[hero_name],B2147)</f>
        <v>517.18181818181813</v>
      </c>
      <c r="H2147" s="2">
        <f>AVERAGEIFS([3]!players[xp_per_min], [3]!players[name],A2147,[3]!players[hero_name],B2147)</f>
        <v>695.90909090909088</v>
      </c>
    </row>
    <row r="2148" spans="1:8" x14ac:dyDescent="0.3">
      <c r="A2148" t="str">
        <v>Worick</v>
      </c>
      <c r="B2148" t="str">
        <v>Sniper</v>
      </c>
      <c r="C2148" t="str" cm="1">
        <f t="array" ref="C2148">_xlfn.XLOOKUP(1,([3]!players[name]=A2148)*([3]!players[hero_name]=B2148),[3]!players[lane_name])</f>
        <v>Mid</v>
      </c>
      <c r="D2148">
        <f>COUNTIFS([3]!players[name],A2148,[3]!players[hero_name],B2148)</f>
        <v>2</v>
      </c>
      <c r="E2148">
        <f>COUNTIFS([3]!players[name],A2148,[3]!players[hero_name],B2148, [3]!players[win], 1)</f>
        <v>1</v>
      </c>
      <c r="F2148" s="1">
        <f t="shared" si="33"/>
        <v>0.5</v>
      </c>
      <c r="G2148" s="2">
        <f>AVERAGEIFS([3]!players[gold_per_min], [3]!players[name],A2148,[3]!players[hero_name],B2148)</f>
        <v>473.5</v>
      </c>
      <c r="H2148" s="2">
        <f>AVERAGEIFS([3]!players[xp_per_min], [3]!players[name],A2148,[3]!players[hero_name],B2148)</f>
        <v>477.5</v>
      </c>
    </row>
    <row r="2149" spans="1:8" x14ac:dyDescent="0.3">
      <c r="A2149" t="str">
        <v>Worick</v>
      </c>
      <c r="B2149" t="str">
        <v>Leshrac</v>
      </c>
      <c r="C2149" t="str" cm="1">
        <f t="array" ref="C2149">_xlfn.XLOOKUP(1,([3]!players[name]=A2149)*([3]!players[hero_name]=B2149),[3]!players[lane_name])</f>
        <v>Mid</v>
      </c>
      <c r="D2149">
        <f>COUNTIFS([3]!players[name],A2149,[3]!players[hero_name],B2149)</f>
        <v>1</v>
      </c>
      <c r="E2149">
        <f>COUNTIFS([3]!players[name],A2149,[3]!players[hero_name],B2149, [3]!players[win], 1)</f>
        <v>1</v>
      </c>
      <c r="F2149" s="1">
        <f t="shared" si="33"/>
        <v>1</v>
      </c>
      <c r="G2149" s="2">
        <f>AVERAGEIFS([3]!players[gold_per_min], [3]!players[name],A2149,[3]!players[hero_name],B2149)</f>
        <v>530</v>
      </c>
      <c r="H2149" s="2">
        <f>AVERAGEIFS([3]!players[xp_per_min], [3]!players[name],A2149,[3]!players[hero_name],B2149)</f>
        <v>614</v>
      </c>
    </row>
    <row r="2150" spans="1:8" x14ac:dyDescent="0.3">
      <c r="A2150" t="str">
        <v>Worick</v>
      </c>
      <c r="B2150" t="str">
        <v>Queen of Pain</v>
      </c>
      <c r="C2150" t="str" cm="1">
        <f t="array" ref="C2150">_xlfn.XLOOKUP(1,([3]!players[name]=A2150)*([3]!players[hero_name]=B2150),[3]!players[lane_name])</f>
        <v>Mid</v>
      </c>
      <c r="D2150">
        <f>COUNTIFS([3]!players[name],A2150,[3]!players[hero_name],B2150)</f>
        <v>3</v>
      </c>
      <c r="E2150">
        <f>COUNTIFS([3]!players[name],A2150,[3]!players[hero_name],B2150, [3]!players[win], 1)</f>
        <v>1</v>
      </c>
      <c r="F2150" s="1">
        <f t="shared" si="33"/>
        <v>0.33333333333333331</v>
      </c>
      <c r="G2150" s="2">
        <f>AVERAGEIFS([3]!players[gold_per_min], [3]!players[name],A2150,[3]!players[hero_name],B2150)</f>
        <v>473</v>
      </c>
      <c r="H2150" s="2">
        <f>AVERAGEIFS([3]!players[xp_per_min], [3]!players[name],A2150,[3]!players[hero_name],B2150)</f>
        <v>616</v>
      </c>
    </row>
    <row r="2151" spans="1:8" x14ac:dyDescent="0.3">
      <c r="A2151" t="str">
        <v>Worick</v>
      </c>
      <c r="B2151" t="str">
        <v>Storm Spirit</v>
      </c>
      <c r="C2151" t="str" cm="1">
        <f t="array" ref="C2151">_xlfn.XLOOKUP(1,([3]!players[name]=A2151)*([3]!players[hero_name]=B2151),[3]!players[lane_name])</f>
        <v>Mid</v>
      </c>
      <c r="D2151">
        <f>COUNTIFS([3]!players[name],A2151,[3]!players[hero_name],B2151)</f>
        <v>7</v>
      </c>
      <c r="E2151">
        <f>COUNTIFS([3]!players[name],A2151,[3]!players[hero_name],B2151, [3]!players[win], 1)</f>
        <v>5</v>
      </c>
      <c r="F2151" s="1">
        <f t="shared" si="33"/>
        <v>0.7142857142857143</v>
      </c>
      <c r="G2151" s="2">
        <f>AVERAGEIFS([3]!players[gold_per_min], [3]!players[name],A2151,[3]!players[hero_name],B2151)</f>
        <v>547.28571428571433</v>
      </c>
      <c r="H2151" s="2">
        <f>AVERAGEIFS([3]!players[xp_per_min], [3]!players[name],A2151,[3]!players[hero_name],B2151)</f>
        <v>776.42857142857144</v>
      </c>
    </row>
    <row r="2152" spans="1:8" x14ac:dyDescent="0.3">
      <c r="A2152" t="str">
        <v>Worick</v>
      </c>
      <c r="B2152" t="str">
        <v>Tiny</v>
      </c>
      <c r="C2152" t="str" cm="1">
        <f t="array" ref="C2152">_xlfn.XLOOKUP(1,([3]!players[name]=A2152)*([3]!players[hero_name]=B2152),[3]!players[lane_name])</f>
        <v>Mid</v>
      </c>
      <c r="D2152">
        <f>COUNTIFS([3]!players[name],A2152,[3]!players[hero_name],B2152)</f>
        <v>3</v>
      </c>
      <c r="E2152">
        <f>COUNTIFS([3]!players[name],A2152,[3]!players[hero_name],B2152, [3]!players[win], 1)</f>
        <v>0</v>
      </c>
      <c r="F2152" s="1">
        <f t="shared" si="33"/>
        <v>0</v>
      </c>
      <c r="G2152" s="2">
        <f>AVERAGEIFS([3]!players[gold_per_min], [3]!players[name],A2152,[3]!players[hero_name],B2152)</f>
        <v>375.66666666666669</v>
      </c>
      <c r="H2152" s="2">
        <f>AVERAGEIFS([3]!players[xp_per_min], [3]!players[name],A2152,[3]!players[hero_name],B2152)</f>
        <v>436.66666666666669</v>
      </c>
    </row>
    <row r="2153" spans="1:8" x14ac:dyDescent="0.3">
      <c r="A2153" t="str">
        <v>Worick</v>
      </c>
      <c r="B2153" t="str">
        <v>Void Spirit</v>
      </c>
      <c r="C2153" t="str" cm="1">
        <f t="array" ref="C2153">_xlfn.XLOOKUP(1,([3]!players[name]=A2153)*([3]!players[hero_name]=B2153),[3]!players[lane_name])</f>
        <v>Mid</v>
      </c>
      <c r="D2153">
        <f>COUNTIFS([3]!players[name],A2153,[3]!players[hero_name],B2153)</f>
        <v>1</v>
      </c>
      <c r="E2153">
        <f>COUNTIFS([3]!players[name],A2153,[3]!players[hero_name],B2153, [3]!players[win], 1)</f>
        <v>0</v>
      </c>
      <c r="F2153" s="1">
        <f t="shared" si="33"/>
        <v>0</v>
      </c>
      <c r="G2153" s="2">
        <f>AVERAGEIFS([3]!players[gold_per_min], [3]!players[name],A2153,[3]!players[hero_name],B2153)</f>
        <v>540</v>
      </c>
      <c r="H2153" s="2">
        <f>AVERAGEIFS([3]!players[xp_per_min], [3]!players[name],A2153,[3]!players[hero_name],B2153)</f>
        <v>679</v>
      </c>
    </row>
    <row r="2154" spans="1:8" x14ac:dyDescent="0.3">
      <c r="A2154" t="str">
        <v>Worick</v>
      </c>
      <c r="B2154" t="str">
        <v>Pangolier</v>
      </c>
      <c r="C2154" t="str" cm="1">
        <f t="array" ref="C2154">_xlfn.XLOOKUP(1,([3]!players[name]=A2154)*([3]!players[hero_name]=B2154),[3]!players[lane_name])</f>
        <v>Mid</v>
      </c>
      <c r="D2154">
        <f>COUNTIFS([3]!players[name],A2154,[3]!players[hero_name],B2154)</f>
        <v>1</v>
      </c>
      <c r="E2154">
        <f>COUNTIFS([3]!players[name],A2154,[3]!players[hero_name],B2154, [3]!players[win], 1)</f>
        <v>1</v>
      </c>
      <c r="F2154" s="1">
        <f t="shared" si="33"/>
        <v>1</v>
      </c>
      <c r="G2154" s="2">
        <f>AVERAGEIFS([3]!players[gold_per_min], [3]!players[name],A2154,[3]!players[hero_name],B2154)</f>
        <v>585</v>
      </c>
      <c r="H2154" s="2">
        <f>AVERAGEIFS([3]!players[xp_per_min], [3]!players[name],A2154,[3]!players[hero_name],B2154)</f>
        <v>811</v>
      </c>
    </row>
    <row r="2155" spans="1:8" x14ac:dyDescent="0.3">
      <c r="A2155" t="str">
        <v>Worick</v>
      </c>
      <c r="B2155" t="str">
        <v>Invoker</v>
      </c>
      <c r="C2155" t="str" cm="1">
        <f t="array" ref="C2155">_xlfn.XLOOKUP(1,([3]!players[name]=A2155)*([3]!players[hero_name]=B2155),[3]!players[lane_name])</f>
        <v>Mid</v>
      </c>
      <c r="D2155">
        <f>COUNTIFS([3]!players[name],A2155,[3]!players[hero_name],B2155)</f>
        <v>2</v>
      </c>
      <c r="E2155">
        <f>COUNTIFS([3]!players[name],A2155,[3]!players[hero_name],B2155, [3]!players[win], 1)</f>
        <v>1</v>
      </c>
      <c r="F2155" s="1">
        <f t="shared" si="33"/>
        <v>0.5</v>
      </c>
      <c r="G2155" s="2">
        <f>AVERAGEIFS([3]!players[gold_per_min], [3]!players[name],A2155,[3]!players[hero_name],B2155)</f>
        <v>486.5</v>
      </c>
      <c r="H2155" s="2">
        <f>AVERAGEIFS([3]!players[xp_per_min], [3]!players[name],A2155,[3]!players[hero_name],B2155)</f>
        <v>587.5</v>
      </c>
    </row>
    <row r="2156" spans="1:8" x14ac:dyDescent="0.3">
      <c r="A2156" t="str">
        <v>Worick</v>
      </c>
      <c r="B2156" t="str">
        <v>Lina</v>
      </c>
      <c r="C2156" t="str" cm="1">
        <f t="array" ref="C2156">_xlfn.XLOOKUP(1,([3]!players[name]=A2156)*([3]!players[hero_name]=B2156),[3]!players[lane_name])</f>
        <v>Mid</v>
      </c>
      <c r="D2156">
        <f>COUNTIFS([3]!players[name],A2156,[3]!players[hero_name],B2156)</f>
        <v>1</v>
      </c>
      <c r="E2156">
        <f>COUNTIFS([3]!players[name],A2156,[3]!players[hero_name],B2156, [3]!players[win], 1)</f>
        <v>0</v>
      </c>
      <c r="F2156" s="1">
        <f t="shared" si="33"/>
        <v>0</v>
      </c>
      <c r="G2156" s="2">
        <f>AVERAGEIFS([3]!players[gold_per_min], [3]!players[name],A2156,[3]!players[hero_name],B2156)</f>
        <v>480</v>
      </c>
      <c r="H2156" s="2">
        <f>AVERAGEIFS([3]!players[xp_per_min], [3]!players[name],A2156,[3]!players[hero_name],B2156)</f>
        <v>734</v>
      </c>
    </row>
    <row r="2157" spans="1:8" x14ac:dyDescent="0.3">
      <c r="A2157" t="str">
        <v>Worick</v>
      </c>
      <c r="B2157" t="str">
        <v>Ember Spirit</v>
      </c>
      <c r="C2157" t="str" cm="1">
        <f t="array" ref="C2157">_xlfn.XLOOKUP(1,([3]!players[name]=A2157)*([3]!players[hero_name]=B2157),[3]!players[lane_name])</f>
        <v>Mid</v>
      </c>
      <c r="D2157">
        <f>COUNTIFS([3]!players[name],A2157,[3]!players[hero_name],B2157)</f>
        <v>3</v>
      </c>
      <c r="E2157">
        <f>COUNTIFS([3]!players[name],A2157,[3]!players[hero_name],B2157, [3]!players[win], 1)</f>
        <v>1</v>
      </c>
      <c r="F2157" s="1">
        <f t="shared" si="33"/>
        <v>0.33333333333333331</v>
      </c>
      <c r="G2157" s="2">
        <f>AVERAGEIFS([3]!players[gold_per_min], [3]!players[name],A2157,[3]!players[hero_name],B2157)</f>
        <v>496.33333333333331</v>
      </c>
      <c r="H2157" s="2">
        <f>AVERAGEIFS([3]!players[xp_per_min], [3]!players[name],A2157,[3]!players[hero_name],B2157)</f>
        <v>638.66666666666663</v>
      </c>
    </row>
    <row r="2158" spans="1:8" x14ac:dyDescent="0.3">
      <c r="A2158" t="str">
        <v>Worick</v>
      </c>
      <c r="B2158" t="str">
        <v>Kunkka</v>
      </c>
      <c r="C2158" t="str" cm="1">
        <f t="array" ref="C2158">_xlfn.XLOOKUP(1,([3]!players[name]=A2158)*([3]!players[hero_name]=B2158),[3]!players[lane_name])</f>
        <v>Mid</v>
      </c>
      <c r="D2158">
        <f>COUNTIFS([3]!players[name],A2158,[3]!players[hero_name],B2158)</f>
        <v>1</v>
      </c>
      <c r="E2158">
        <f>COUNTIFS([3]!players[name],A2158,[3]!players[hero_name],B2158, [3]!players[win], 1)</f>
        <v>0</v>
      </c>
      <c r="F2158" s="1">
        <f t="shared" si="33"/>
        <v>0</v>
      </c>
      <c r="G2158" s="2">
        <f>AVERAGEIFS([3]!players[gold_per_min], [3]!players[name],A2158,[3]!players[hero_name],B2158)</f>
        <v>405</v>
      </c>
      <c r="H2158" s="2">
        <f>AVERAGEIFS([3]!players[xp_per_min], [3]!players[name],A2158,[3]!players[hero_name],B2158)</f>
        <v>497</v>
      </c>
    </row>
    <row r="2159" spans="1:8" x14ac:dyDescent="0.3">
      <c r="A2159" t="str">
        <v>Ws`</v>
      </c>
      <c r="B2159" t="str">
        <v>Largo</v>
      </c>
      <c r="C2159" t="str" cm="1">
        <f t="array" ref="C2159">_xlfn.XLOOKUP(1,([3]!players[name]=A2159)*([3]!players[hero_name]=B2159),[3]!players[lane_name])</f>
        <v>Off Lane</v>
      </c>
      <c r="D2159">
        <f>COUNTIFS([3]!players[name],A2159,[3]!players[hero_name],B2159)</f>
        <v>7</v>
      </c>
      <c r="E2159">
        <f>COUNTIFS([3]!players[name],A2159,[3]!players[hero_name],B2159, [3]!players[win], 1)</f>
        <v>6</v>
      </c>
      <c r="F2159" s="1">
        <f t="shared" si="33"/>
        <v>0.8571428571428571</v>
      </c>
      <c r="G2159" s="2">
        <f>AVERAGEIFS([3]!players[gold_per_min], [3]!players[name],A2159,[3]!players[hero_name],B2159)</f>
        <v>588.85714285714289</v>
      </c>
      <c r="H2159" s="2">
        <f>AVERAGEIFS([3]!players[xp_per_min], [3]!players[name],A2159,[3]!players[hero_name],B2159)</f>
        <v>821.57142857142856</v>
      </c>
    </row>
    <row r="2160" spans="1:8" x14ac:dyDescent="0.3">
      <c r="A2160" t="str">
        <v>Ws`</v>
      </c>
      <c r="B2160" t="str">
        <v>Brewmaster</v>
      </c>
      <c r="C2160" t="str" cm="1">
        <f t="array" ref="C2160">_xlfn.XLOOKUP(1,([3]!players[name]=A2160)*([3]!players[hero_name]=B2160),[3]!players[lane_name])</f>
        <v>Off Lane</v>
      </c>
      <c r="D2160">
        <f>COUNTIFS([3]!players[name],A2160,[3]!players[hero_name],B2160)</f>
        <v>1</v>
      </c>
      <c r="E2160">
        <f>COUNTIFS([3]!players[name],A2160,[3]!players[hero_name],B2160, [3]!players[win], 1)</f>
        <v>0</v>
      </c>
      <c r="F2160" s="1">
        <f t="shared" si="33"/>
        <v>0</v>
      </c>
      <c r="G2160" s="2">
        <f>AVERAGEIFS([3]!players[gold_per_min], [3]!players[name],A2160,[3]!players[hero_name],B2160)</f>
        <v>473</v>
      </c>
      <c r="H2160" s="2">
        <f>AVERAGEIFS([3]!players[xp_per_min], [3]!players[name],A2160,[3]!players[hero_name],B2160)</f>
        <v>447</v>
      </c>
    </row>
    <row r="2161" spans="1:8" x14ac:dyDescent="0.3">
      <c r="A2161" t="str">
        <v>Ws`</v>
      </c>
      <c r="B2161" t="str">
        <v>Pangolier</v>
      </c>
      <c r="C2161" t="str" cm="1">
        <f t="array" ref="C2161">_xlfn.XLOOKUP(1,([3]!players[name]=A2161)*([3]!players[hero_name]=B2161),[3]!players[lane_name])</f>
        <v>Off Lane</v>
      </c>
      <c r="D2161">
        <f>COUNTIFS([3]!players[name],A2161,[3]!players[hero_name],B2161)</f>
        <v>5</v>
      </c>
      <c r="E2161">
        <f>COUNTIFS([3]!players[name],A2161,[3]!players[hero_name],B2161, [3]!players[win], 1)</f>
        <v>2</v>
      </c>
      <c r="F2161" s="1">
        <f t="shared" si="33"/>
        <v>0.4</v>
      </c>
      <c r="G2161" s="2">
        <f>AVERAGEIFS([3]!players[gold_per_min], [3]!players[name],A2161,[3]!players[hero_name],B2161)</f>
        <v>539.6</v>
      </c>
      <c r="H2161" s="2">
        <f>AVERAGEIFS([3]!players[xp_per_min], [3]!players[name],A2161,[3]!players[hero_name],B2161)</f>
        <v>685.6</v>
      </c>
    </row>
    <row r="2162" spans="1:8" x14ac:dyDescent="0.3">
      <c r="A2162" t="str">
        <v>Ws`</v>
      </c>
      <c r="B2162" t="str">
        <v>Underlord</v>
      </c>
      <c r="C2162" t="str" cm="1">
        <f t="array" ref="C2162">_xlfn.XLOOKUP(1,([3]!players[name]=A2162)*([3]!players[hero_name]=B2162),[3]!players[lane_name])</f>
        <v>Off Lane</v>
      </c>
      <c r="D2162">
        <f>COUNTIFS([3]!players[name],A2162,[3]!players[hero_name],B2162)</f>
        <v>3</v>
      </c>
      <c r="E2162">
        <f>COUNTIFS([3]!players[name],A2162,[3]!players[hero_name],B2162, [3]!players[win], 1)</f>
        <v>1</v>
      </c>
      <c r="F2162" s="1">
        <f t="shared" si="33"/>
        <v>0.33333333333333331</v>
      </c>
      <c r="G2162" s="2">
        <f>AVERAGEIFS([3]!players[gold_per_min], [3]!players[name],A2162,[3]!players[hero_name],B2162)</f>
        <v>525.66666666666663</v>
      </c>
      <c r="H2162" s="2">
        <f>AVERAGEIFS([3]!players[xp_per_min], [3]!players[name],A2162,[3]!players[hero_name],B2162)</f>
        <v>644</v>
      </c>
    </row>
    <row r="2163" spans="1:8" x14ac:dyDescent="0.3">
      <c r="A2163" t="str">
        <v>Ws`</v>
      </c>
      <c r="B2163" t="str">
        <v>Viper</v>
      </c>
      <c r="C2163" t="str" cm="1">
        <f t="array" ref="C2163">_xlfn.XLOOKUP(1,([3]!players[name]=A2163)*([3]!players[hero_name]=B2163),[3]!players[lane_name])</f>
        <v>Off Lane</v>
      </c>
      <c r="D2163">
        <f>COUNTIFS([3]!players[name],A2163,[3]!players[hero_name],B2163)</f>
        <v>1</v>
      </c>
      <c r="E2163">
        <f>COUNTIFS([3]!players[name],A2163,[3]!players[hero_name],B2163, [3]!players[win], 1)</f>
        <v>1</v>
      </c>
      <c r="F2163" s="1">
        <f t="shared" si="33"/>
        <v>1</v>
      </c>
      <c r="G2163" s="2">
        <f>AVERAGEIFS([3]!players[gold_per_min], [3]!players[name],A2163,[3]!players[hero_name],B2163)</f>
        <v>581</v>
      </c>
      <c r="H2163" s="2">
        <f>AVERAGEIFS([3]!players[xp_per_min], [3]!players[name],A2163,[3]!players[hero_name],B2163)</f>
        <v>720</v>
      </c>
    </row>
    <row r="2164" spans="1:8" x14ac:dyDescent="0.3">
      <c r="A2164" t="str">
        <v>Ws`</v>
      </c>
      <c r="B2164" t="str">
        <v>Slardar</v>
      </c>
      <c r="C2164" t="str" cm="1">
        <f t="array" ref="C2164">_xlfn.XLOOKUP(1,([3]!players[name]=A2164)*([3]!players[hero_name]=B2164),[3]!players[lane_name])</f>
        <v>Off Lane</v>
      </c>
      <c r="D2164">
        <f>COUNTIFS([3]!players[name],A2164,[3]!players[hero_name],B2164)</f>
        <v>3</v>
      </c>
      <c r="E2164">
        <f>COUNTIFS([3]!players[name],A2164,[3]!players[hero_name],B2164, [3]!players[win], 1)</f>
        <v>3</v>
      </c>
      <c r="F2164" s="1">
        <f t="shared" si="33"/>
        <v>1</v>
      </c>
      <c r="G2164" s="2">
        <f>AVERAGEIFS([3]!players[gold_per_min], [3]!players[name],A2164,[3]!players[hero_name],B2164)</f>
        <v>637.33333333333337</v>
      </c>
      <c r="H2164" s="2">
        <f>AVERAGEIFS([3]!players[xp_per_min], [3]!players[name],A2164,[3]!players[hero_name],B2164)</f>
        <v>1025.6666666666667</v>
      </c>
    </row>
    <row r="2165" spans="1:8" x14ac:dyDescent="0.3">
      <c r="A2165" t="str">
        <v>Ws`</v>
      </c>
      <c r="B2165" t="str">
        <v>Centaur Warrunner</v>
      </c>
      <c r="C2165" t="str" cm="1">
        <f t="array" ref="C2165">_xlfn.XLOOKUP(1,([3]!players[name]=A2165)*([3]!players[hero_name]=B2165),[3]!players[lane_name])</f>
        <v>Off Lane</v>
      </c>
      <c r="D2165">
        <f>COUNTIFS([3]!players[name],A2165,[3]!players[hero_name],B2165)</f>
        <v>2</v>
      </c>
      <c r="E2165">
        <f>COUNTIFS([3]!players[name],A2165,[3]!players[hero_name],B2165, [3]!players[win], 1)</f>
        <v>2</v>
      </c>
      <c r="F2165" s="1">
        <f t="shared" si="33"/>
        <v>1</v>
      </c>
      <c r="G2165" s="2">
        <f>AVERAGEIFS([3]!players[gold_per_min], [3]!players[name],A2165,[3]!players[hero_name],B2165)</f>
        <v>577.5</v>
      </c>
      <c r="H2165" s="2">
        <f>AVERAGEIFS([3]!players[xp_per_min], [3]!players[name],A2165,[3]!players[hero_name],B2165)</f>
        <v>792</v>
      </c>
    </row>
    <row r="2166" spans="1:8" x14ac:dyDescent="0.3">
      <c r="A2166" t="str">
        <v>Ws`</v>
      </c>
      <c r="B2166" t="str">
        <v>Timbersaw</v>
      </c>
      <c r="C2166" t="str" cm="1">
        <f t="array" ref="C2166">_xlfn.XLOOKUP(1,([3]!players[name]=A2166)*([3]!players[hero_name]=B2166),[3]!players[lane_name])</f>
        <v>Off Lane</v>
      </c>
      <c r="D2166">
        <f>COUNTIFS([3]!players[name],A2166,[3]!players[hero_name],B2166)</f>
        <v>1</v>
      </c>
      <c r="E2166">
        <f>COUNTIFS([3]!players[name],A2166,[3]!players[hero_name],B2166, [3]!players[win], 1)</f>
        <v>0</v>
      </c>
      <c r="F2166" s="1">
        <f t="shared" si="33"/>
        <v>0</v>
      </c>
      <c r="G2166" s="2">
        <f>AVERAGEIFS([3]!players[gold_per_min], [3]!players[name],A2166,[3]!players[hero_name],B2166)</f>
        <v>584</v>
      </c>
      <c r="H2166" s="2">
        <f>AVERAGEIFS([3]!players[xp_per_min], [3]!players[name],A2166,[3]!players[hero_name],B2166)</f>
        <v>786</v>
      </c>
    </row>
    <row r="2167" spans="1:8" x14ac:dyDescent="0.3">
      <c r="A2167" t="str">
        <v>Ws`</v>
      </c>
      <c r="B2167" t="str">
        <v>Beastmaster</v>
      </c>
      <c r="C2167" t="str" cm="1">
        <f t="array" ref="C2167">_xlfn.XLOOKUP(1,([3]!players[name]=A2167)*([3]!players[hero_name]=B2167),[3]!players[lane_name])</f>
        <v>Off Lane</v>
      </c>
      <c r="D2167">
        <f>COUNTIFS([3]!players[name],A2167,[3]!players[hero_name],B2167)</f>
        <v>1</v>
      </c>
      <c r="E2167">
        <f>COUNTIFS([3]!players[name],A2167,[3]!players[hero_name],B2167, [3]!players[win], 1)</f>
        <v>1</v>
      </c>
      <c r="F2167" s="1">
        <f t="shared" si="33"/>
        <v>1</v>
      </c>
      <c r="G2167" s="2">
        <f>AVERAGEIFS([3]!players[gold_per_min], [3]!players[name],A2167,[3]!players[hero_name],B2167)</f>
        <v>709</v>
      </c>
      <c r="H2167" s="2">
        <f>AVERAGEIFS([3]!players[xp_per_min], [3]!players[name],A2167,[3]!players[hero_name],B2167)</f>
        <v>812</v>
      </c>
    </row>
    <row r="2168" spans="1:8" x14ac:dyDescent="0.3">
      <c r="A2168" t="str">
        <v>Ws`</v>
      </c>
      <c r="B2168" t="str">
        <v>Mars</v>
      </c>
      <c r="C2168" t="str" cm="1">
        <f t="array" ref="C2168">_xlfn.XLOOKUP(1,([3]!players[name]=A2168)*([3]!players[hero_name]=B2168),[3]!players[lane_name])</f>
        <v>Off Lane</v>
      </c>
      <c r="D2168">
        <f>COUNTIFS([3]!players[name],A2168,[3]!players[hero_name],B2168)</f>
        <v>4</v>
      </c>
      <c r="E2168">
        <f>COUNTIFS([3]!players[name],A2168,[3]!players[hero_name],B2168, [3]!players[win], 1)</f>
        <v>1</v>
      </c>
      <c r="F2168" s="1">
        <f t="shared" si="33"/>
        <v>0.25</v>
      </c>
      <c r="G2168" s="2">
        <f>AVERAGEIFS([3]!players[gold_per_min], [3]!players[name],A2168,[3]!players[hero_name],B2168)</f>
        <v>493.5</v>
      </c>
      <c r="H2168" s="2">
        <f>AVERAGEIFS([3]!players[xp_per_min], [3]!players[name],A2168,[3]!players[hero_name],B2168)</f>
        <v>650.75</v>
      </c>
    </row>
    <row r="2169" spans="1:8" x14ac:dyDescent="0.3">
      <c r="A2169" t="str">
        <v>Xakoda</v>
      </c>
      <c r="B2169" t="str">
        <v>Pugna</v>
      </c>
      <c r="C2169" t="str" cm="1">
        <f t="array" ref="C2169">_xlfn.XLOOKUP(1,([3]!players[name]=A2169)*([3]!players[hero_name]=B2169),[3]!players[lane_name])</f>
        <v>Hard Support</v>
      </c>
      <c r="D2169">
        <f>COUNTIFS([3]!players[name],A2169,[3]!players[hero_name],B2169)</f>
        <v>3</v>
      </c>
      <c r="E2169">
        <f>COUNTIFS([3]!players[name],A2169,[3]!players[hero_name],B2169, [3]!players[win], 1)</f>
        <v>3</v>
      </c>
      <c r="F2169" s="1">
        <f t="shared" si="33"/>
        <v>1</v>
      </c>
      <c r="G2169" s="2">
        <f>AVERAGEIFS([3]!players[gold_per_min], [3]!players[name],A2169,[3]!players[hero_name],B2169)</f>
        <v>330.33333333333331</v>
      </c>
      <c r="H2169" s="2">
        <f>AVERAGEIFS([3]!players[xp_per_min], [3]!players[name],A2169,[3]!players[hero_name],B2169)</f>
        <v>432.33333333333331</v>
      </c>
    </row>
    <row r="2170" spans="1:8" x14ac:dyDescent="0.3">
      <c r="A2170" t="str">
        <v>Xakoda</v>
      </c>
      <c r="B2170" t="str">
        <v>Ringmaster</v>
      </c>
      <c r="C2170" t="str" cm="1">
        <f t="array" ref="C2170">_xlfn.XLOOKUP(1,([3]!players[name]=A2170)*([3]!players[hero_name]=B2170),[3]!players[lane_name])</f>
        <v>Soft Support</v>
      </c>
      <c r="D2170">
        <f>COUNTIFS([3]!players[name],A2170,[3]!players[hero_name],B2170)</f>
        <v>9</v>
      </c>
      <c r="E2170">
        <f>COUNTIFS([3]!players[name],A2170,[3]!players[hero_name],B2170, [3]!players[win], 1)</f>
        <v>5</v>
      </c>
      <c r="F2170" s="1">
        <f t="shared" si="33"/>
        <v>0.55555555555555558</v>
      </c>
      <c r="G2170" s="2">
        <f>AVERAGEIFS([3]!players[gold_per_min], [3]!players[name],A2170,[3]!players[hero_name],B2170)</f>
        <v>329.11111111111109</v>
      </c>
      <c r="H2170" s="2">
        <f>AVERAGEIFS([3]!players[xp_per_min], [3]!players[name],A2170,[3]!players[hero_name],B2170)</f>
        <v>455.44444444444446</v>
      </c>
    </row>
    <row r="2171" spans="1:8" x14ac:dyDescent="0.3">
      <c r="A2171" t="str">
        <v>Xakoda</v>
      </c>
      <c r="B2171" t="str">
        <v>Oracle</v>
      </c>
      <c r="C2171" t="str" cm="1">
        <f t="array" ref="C2171">_xlfn.XLOOKUP(1,([3]!players[name]=A2171)*([3]!players[hero_name]=B2171),[3]!players[lane_name])</f>
        <v>Roam</v>
      </c>
      <c r="D2171">
        <f>COUNTIFS([3]!players[name],A2171,[3]!players[hero_name],B2171)</f>
        <v>3</v>
      </c>
      <c r="E2171">
        <f>COUNTIFS([3]!players[name],A2171,[3]!players[hero_name],B2171, [3]!players[win], 1)</f>
        <v>3</v>
      </c>
      <c r="F2171" s="1">
        <f t="shared" si="33"/>
        <v>1</v>
      </c>
      <c r="G2171" s="2">
        <f>AVERAGEIFS([3]!players[gold_per_min], [3]!players[name],A2171,[3]!players[hero_name],B2171)</f>
        <v>342.33333333333331</v>
      </c>
      <c r="H2171" s="2">
        <f>AVERAGEIFS([3]!players[xp_per_min], [3]!players[name],A2171,[3]!players[hero_name],B2171)</f>
        <v>542</v>
      </c>
    </row>
    <row r="2172" spans="1:8" x14ac:dyDescent="0.3">
      <c r="A2172" t="str">
        <v>Xakoda</v>
      </c>
      <c r="B2172" t="str">
        <v>Disruptor</v>
      </c>
      <c r="C2172" t="str" cm="1">
        <f t="array" ref="C2172">_xlfn.XLOOKUP(1,([3]!players[name]=A2172)*([3]!players[hero_name]=B2172),[3]!players[lane_name])</f>
        <v>Hard Support</v>
      </c>
      <c r="D2172">
        <f>COUNTIFS([3]!players[name],A2172,[3]!players[hero_name],B2172)</f>
        <v>6</v>
      </c>
      <c r="E2172">
        <f>COUNTIFS([3]!players[name],A2172,[3]!players[hero_name],B2172, [3]!players[win], 1)</f>
        <v>5</v>
      </c>
      <c r="F2172" s="1">
        <f t="shared" si="33"/>
        <v>0.83333333333333337</v>
      </c>
      <c r="G2172" s="2">
        <f>AVERAGEIFS([3]!players[gold_per_min], [3]!players[name],A2172,[3]!players[hero_name],B2172)</f>
        <v>326.33333333333331</v>
      </c>
      <c r="H2172" s="2">
        <f>AVERAGEIFS([3]!players[xp_per_min], [3]!players[name],A2172,[3]!players[hero_name],B2172)</f>
        <v>483.5</v>
      </c>
    </row>
    <row r="2173" spans="1:8" x14ac:dyDescent="0.3">
      <c r="A2173" t="str">
        <v>Xakoda</v>
      </c>
      <c r="B2173" t="str">
        <v>Ancient Apparition</v>
      </c>
      <c r="C2173" t="str" cm="1">
        <f t="array" ref="C2173">_xlfn.XLOOKUP(1,([3]!players[name]=A2173)*([3]!players[hero_name]=B2173),[3]!players[lane_name])</f>
        <v>Soft Support</v>
      </c>
      <c r="D2173">
        <f>COUNTIFS([3]!players[name],A2173,[3]!players[hero_name],B2173)</f>
        <v>1</v>
      </c>
      <c r="E2173">
        <f>COUNTIFS([3]!players[name],A2173,[3]!players[hero_name],B2173, [3]!players[win], 1)</f>
        <v>1</v>
      </c>
      <c r="F2173" s="1">
        <f t="shared" si="33"/>
        <v>1</v>
      </c>
      <c r="G2173" s="2">
        <f>AVERAGEIFS([3]!players[gold_per_min], [3]!players[name],A2173,[3]!players[hero_name],B2173)</f>
        <v>349</v>
      </c>
      <c r="H2173" s="2">
        <f>AVERAGEIFS([3]!players[xp_per_min], [3]!players[name],A2173,[3]!players[hero_name],B2173)</f>
        <v>450</v>
      </c>
    </row>
    <row r="2174" spans="1:8" x14ac:dyDescent="0.3">
      <c r="A2174" t="str">
        <v>Xakoda</v>
      </c>
      <c r="B2174" t="str">
        <v>Shadow Demon</v>
      </c>
      <c r="C2174" t="str" cm="1">
        <f t="array" ref="C2174">_xlfn.XLOOKUP(1,([3]!players[name]=A2174)*([3]!players[hero_name]=B2174),[3]!players[lane_name])</f>
        <v>Hard Support</v>
      </c>
      <c r="D2174">
        <f>COUNTIFS([3]!players[name],A2174,[3]!players[hero_name],B2174)</f>
        <v>1</v>
      </c>
      <c r="E2174">
        <f>COUNTIFS([3]!players[name],A2174,[3]!players[hero_name],B2174, [3]!players[win], 1)</f>
        <v>0</v>
      </c>
      <c r="F2174" s="1">
        <f t="shared" si="33"/>
        <v>0</v>
      </c>
      <c r="G2174" s="2">
        <f>AVERAGEIFS([3]!players[gold_per_min], [3]!players[name],A2174,[3]!players[hero_name],B2174)</f>
        <v>305</v>
      </c>
      <c r="H2174" s="2">
        <f>AVERAGEIFS([3]!players[xp_per_min], [3]!players[name],A2174,[3]!players[hero_name],B2174)</f>
        <v>384</v>
      </c>
    </row>
    <row r="2175" spans="1:8" x14ac:dyDescent="0.3">
      <c r="A2175" t="str">
        <v>Xakoda</v>
      </c>
      <c r="B2175" t="str">
        <v>Lion</v>
      </c>
      <c r="C2175" t="str" cm="1">
        <f t="array" ref="C2175">_xlfn.XLOOKUP(1,([3]!players[name]=A2175)*([3]!players[hero_name]=B2175),[3]!players[lane_name])</f>
        <v>Hard Support</v>
      </c>
      <c r="D2175">
        <f>COUNTIFS([3]!players[name],A2175,[3]!players[hero_name],B2175)</f>
        <v>1</v>
      </c>
      <c r="E2175">
        <f>COUNTIFS([3]!players[name],A2175,[3]!players[hero_name],B2175, [3]!players[win], 1)</f>
        <v>0</v>
      </c>
      <c r="F2175" s="1">
        <f t="shared" si="33"/>
        <v>0</v>
      </c>
      <c r="G2175" s="2">
        <f>AVERAGEIFS([3]!players[gold_per_min], [3]!players[name],A2175,[3]!players[hero_name],B2175)</f>
        <v>298</v>
      </c>
      <c r="H2175" s="2">
        <f>AVERAGEIFS([3]!players[xp_per_min], [3]!players[name],A2175,[3]!players[hero_name],B2175)</f>
        <v>412</v>
      </c>
    </row>
    <row r="2176" spans="1:8" x14ac:dyDescent="0.3">
      <c r="A2176" t="str">
        <v>Xakoda</v>
      </c>
      <c r="B2176" t="str">
        <v>Grimstroke</v>
      </c>
      <c r="C2176" t="str" cm="1">
        <f t="array" ref="C2176">_xlfn.XLOOKUP(1,([3]!players[name]=A2176)*([3]!players[hero_name]=B2176),[3]!players[lane_name])</f>
        <v>Hard Support</v>
      </c>
      <c r="D2176">
        <f>COUNTIFS([3]!players[name],A2176,[3]!players[hero_name],B2176)</f>
        <v>1</v>
      </c>
      <c r="E2176">
        <f>COUNTIFS([3]!players[name],A2176,[3]!players[hero_name],B2176, [3]!players[win], 1)</f>
        <v>1</v>
      </c>
      <c r="F2176" s="1">
        <f t="shared" si="33"/>
        <v>1</v>
      </c>
      <c r="G2176" s="2">
        <f>AVERAGEIFS([3]!players[gold_per_min], [3]!players[name],A2176,[3]!players[hero_name],B2176)</f>
        <v>420</v>
      </c>
      <c r="H2176" s="2">
        <f>AVERAGEIFS([3]!players[xp_per_min], [3]!players[name],A2176,[3]!players[hero_name],B2176)</f>
        <v>628</v>
      </c>
    </row>
    <row r="2177" spans="1:8" x14ac:dyDescent="0.3">
      <c r="A2177" t="str">
        <v>Xakoda</v>
      </c>
      <c r="B2177" t="str">
        <v>Bane</v>
      </c>
      <c r="C2177" t="str" cm="1">
        <f t="array" ref="C2177">_xlfn.XLOOKUP(1,([3]!players[name]=A2177)*([3]!players[hero_name]=B2177),[3]!players[lane_name])</f>
        <v>Hard Support</v>
      </c>
      <c r="D2177">
        <f>COUNTIFS([3]!players[name],A2177,[3]!players[hero_name],B2177)</f>
        <v>3</v>
      </c>
      <c r="E2177">
        <f>COUNTIFS([3]!players[name],A2177,[3]!players[hero_name],B2177, [3]!players[win], 1)</f>
        <v>2</v>
      </c>
      <c r="F2177" s="1">
        <f t="shared" si="33"/>
        <v>0.66666666666666663</v>
      </c>
      <c r="G2177" s="2">
        <f>AVERAGEIFS([3]!players[gold_per_min], [3]!players[name],A2177,[3]!players[hero_name],B2177)</f>
        <v>319.66666666666669</v>
      </c>
      <c r="H2177" s="2">
        <f>AVERAGEIFS([3]!players[xp_per_min], [3]!players[name],A2177,[3]!players[hero_name],B2177)</f>
        <v>424.66666666666669</v>
      </c>
    </row>
    <row r="2178" spans="1:8" x14ac:dyDescent="0.3">
      <c r="A2178" t="str">
        <v>Xakoda</v>
      </c>
      <c r="B2178" t="str">
        <v>Dazzle</v>
      </c>
      <c r="C2178" t="str" cm="1">
        <f t="array" ref="C2178">_xlfn.XLOOKUP(1,([3]!players[name]=A2178)*([3]!players[hero_name]=B2178),[3]!players[lane_name])</f>
        <v>Hard Support</v>
      </c>
      <c r="D2178">
        <f>COUNTIFS([3]!players[name],A2178,[3]!players[hero_name],B2178)</f>
        <v>1</v>
      </c>
      <c r="E2178">
        <f>COUNTIFS([3]!players[name],A2178,[3]!players[hero_name],B2178, [3]!players[win], 1)</f>
        <v>0</v>
      </c>
      <c r="F2178" s="1">
        <f t="shared" si="33"/>
        <v>0</v>
      </c>
      <c r="G2178" s="2">
        <f>AVERAGEIFS([3]!players[gold_per_min], [3]!players[name],A2178,[3]!players[hero_name],B2178)</f>
        <v>294</v>
      </c>
      <c r="H2178" s="2">
        <f>AVERAGEIFS([3]!players[xp_per_min], [3]!players[name],A2178,[3]!players[hero_name],B2178)</f>
        <v>475</v>
      </c>
    </row>
    <row r="2179" spans="1:8" x14ac:dyDescent="0.3">
      <c r="A2179" t="str">
        <v>XinQ</v>
      </c>
      <c r="B2179" t="str">
        <v>Grimstroke</v>
      </c>
      <c r="C2179" t="str" cm="1">
        <f t="array" ref="C2179">_xlfn.XLOOKUP(1,([3]!players[name]=A2179)*([3]!players[hero_name]=B2179),[3]!players[lane_name])</f>
        <v>Hard Support</v>
      </c>
      <c r="D2179">
        <f>COUNTIFS([3]!players[name],A2179,[3]!players[hero_name],B2179)</f>
        <v>2</v>
      </c>
      <c r="E2179">
        <f>COUNTIFS([3]!players[name],A2179,[3]!players[hero_name],B2179, [3]!players[win], 1)</f>
        <v>1</v>
      </c>
      <c r="F2179" s="1">
        <f t="shared" ref="F2179:F2242" si="34">E2179/D2179</f>
        <v>0.5</v>
      </c>
      <c r="G2179" s="2">
        <f>AVERAGEIFS([3]!players[gold_per_min], [3]!players[name],A2179,[3]!players[hero_name],B2179)</f>
        <v>289</v>
      </c>
      <c r="H2179" s="2">
        <f>AVERAGEIFS([3]!players[xp_per_min], [3]!players[name],A2179,[3]!players[hero_name],B2179)</f>
        <v>332</v>
      </c>
    </row>
    <row r="2180" spans="1:8" x14ac:dyDescent="0.3">
      <c r="A2180" t="str">
        <v>XinQ</v>
      </c>
      <c r="B2180" t="str">
        <v>Earth Spirit</v>
      </c>
      <c r="C2180" t="str" cm="1">
        <f t="array" ref="C2180">_xlfn.XLOOKUP(1,([3]!players[name]=A2180)*([3]!players[hero_name]=B2180),[3]!players[lane_name])</f>
        <v>Hard Support</v>
      </c>
      <c r="D2180">
        <f>COUNTIFS([3]!players[name],A2180,[3]!players[hero_name],B2180)</f>
        <v>1</v>
      </c>
      <c r="E2180">
        <f>COUNTIFS([3]!players[name],A2180,[3]!players[hero_name],B2180, [3]!players[win], 1)</f>
        <v>1</v>
      </c>
      <c r="F2180" s="1">
        <f t="shared" si="34"/>
        <v>1</v>
      </c>
      <c r="G2180" s="2">
        <f>AVERAGEIFS([3]!players[gold_per_min], [3]!players[name],A2180,[3]!players[hero_name],B2180)</f>
        <v>314</v>
      </c>
      <c r="H2180" s="2">
        <f>AVERAGEIFS([3]!players[xp_per_min], [3]!players[name],A2180,[3]!players[hero_name],B2180)</f>
        <v>509</v>
      </c>
    </row>
    <row r="2181" spans="1:8" x14ac:dyDescent="0.3">
      <c r="A2181" t="str">
        <v>XinQ</v>
      </c>
      <c r="B2181" t="str">
        <v>Techies</v>
      </c>
      <c r="C2181" t="str" cm="1">
        <f t="array" ref="C2181">_xlfn.XLOOKUP(1,([3]!players[name]=A2181)*([3]!players[hero_name]=B2181),[3]!players[lane_name])</f>
        <v>Soft Support</v>
      </c>
      <c r="D2181">
        <f>COUNTIFS([3]!players[name],A2181,[3]!players[hero_name],B2181)</f>
        <v>3</v>
      </c>
      <c r="E2181">
        <f>COUNTIFS([3]!players[name],A2181,[3]!players[hero_name],B2181, [3]!players[win], 1)</f>
        <v>2</v>
      </c>
      <c r="F2181" s="1">
        <f t="shared" si="34"/>
        <v>0.66666666666666663</v>
      </c>
      <c r="G2181" s="2">
        <f>AVERAGEIFS([3]!players[gold_per_min], [3]!players[name],A2181,[3]!players[hero_name],B2181)</f>
        <v>360.66666666666669</v>
      </c>
      <c r="H2181" s="2">
        <f>AVERAGEIFS([3]!players[xp_per_min], [3]!players[name],A2181,[3]!players[hero_name],B2181)</f>
        <v>508.66666666666669</v>
      </c>
    </row>
    <row r="2182" spans="1:8" x14ac:dyDescent="0.3">
      <c r="A2182" t="str">
        <v>XinQ</v>
      </c>
      <c r="B2182" t="str">
        <v>Clockwerk</v>
      </c>
      <c r="C2182" t="str" cm="1">
        <f t="array" ref="C2182">_xlfn.XLOOKUP(1,([3]!players[name]=A2182)*([3]!players[hero_name]=B2182),[3]!players[lane_name])</f>
        <v>Roam</v>
      </c>
      <c r="D2182">
        <f>COUNTIFS([3]!players[name],A2182,[3]!players[hero_name],B2182)</f>
        <v>1</v>
      </c>
      <c r="E2182">
        <f>COUNTIFS([3]!players[name],A2182,[3]!players[hero_name],B2182, [3]!players[win], 1)</f>
        <v>0</v>
      </c>
      <c r="F2182" s="1">
        <f t="shared" si="34"/>
        <v>0</v>
      </c>
      <c r="G2182" s="2">
        <f>AVERAGEIFS([3]!players[gold_per_min], [3]!players[name],A2182,[3]!players[hero_name],B2182)</f>
        <v>267</v>
      </c>
      <c r="H2182" s="2">
        <f>AVERAGEIFS([3]!players[xp_per_min], [3]!players[name],A2182,[3]!players[hero_name],B2182)</f>
        <v>384</v>
      </c>
    </row>
    <row r="2183" spans="1:8" x14ac:dyDescent="0.3">
      <c r="A2183" t="str">
        <v>XinQ</v>
      </c>
      <c r="B2183" t="str">
        <v>Tusk</v>
      </c>
      <c r="C2183" t="str" cm="1">
        <f t="array" ref="C2183">_xlfn.XLOOKUP(1,([3]!players[name]=A2183)*([3]!players[hero_name]=B2183),[3]!players[lane_name])</f>
        <v>Roam</v>
      </c>
      <c r="D2183">
        <f>COUNTIFS([3]!players[name],A2183,[3]!players[hero_name],B2183)</f>
        <v>1</v>
      </c>
      <c r="E2183">
        <f>COUNTIFS([3]!players[name],A2183,[3]!players[hero_name],B2183, [3]!players[win], 1)</f>
        <v>0</v>
      </c>
      <c r="F2183" s="1">
        <f t="shared" si="34"/>
        <v>0</v>
      </c>
      <c r="G2183" s="2">
        <f>AVERAGEIFS([3]!players[gold_per_min], [3]!players[name],A2183,[3]!players[hero_name],B2183)</f>
        <v>247</v>
      </c>
      <c r="H2183" s="2">
        <f>AVERAGEIFS([3]!players[xp_per_min], [3]!players[name],A2183,[3]!players[hero_name],B2183)</f>
        <v>349</v>
      </c>
    </row>
    <row r="2184" spans="1:8" x14ac:dyDescent="0.3">
      <c r="A2184" t="str">
        <v>XinQ</v>
      </c>
      <c r="B2184" t="str">
        <v>Io</v>
      </c>
      <c r="C2184" t="str" cm="1">
        <f t="array" ref="C2184">_xlfn.XLOOKUP(1,([3]!players[name]=A2184)*([3]!players[hero_name]=B2184),[3]!players[lane_name])</f>
        <v>Soft Support</v>
      </c>
      <c r="D2184">
        <f>COUNTIFS([3]!players[name],A2184,[3]!players[hero_name],B2184)</f>
        <v>2</v>
      </c>
      <c r="E2184">
        <f>COUNTIFS([3]!players[name],A2184,[3]!players[hero_name],B2184, [3]!players[win], 1)</f>
        <v>1</v>
      </c>
      <c r="F2184" s="1">
        <f t="shared" si="34"/>
        <v>0.5</v>
      </c>
      <c r="G2184" s="2">
        <f>AVERAGEIFS([3]!players[gold_per_min], [3]!players[name],A2184,[3]!players[hero_name],B2184)</f>
        <v>280.5</v>
      </c>
      <c r="H2184" s="2">
        <f>AVERAGEIFS([3]!players[xp_per_min], [3]!players[name],A2184,[3]!players[hero_name],B2184)</f>
        <v>410.5</v>
      </c>
    </row>
    <row r="2185" spans="1:8" x14ac:dyDescent="0.3">
      <c r="A2185" t="str">
        <v>XinQ</v>
      </c>
      <c r="B2185" t="str">
        <v>Largo</v>
      </c>
      <c r="C2185" t="str" cm="1">
        <f t="array" ref="C2185">_xlfn.XLOOKUP(1,([3]!players[name]=A2185)*([3]!players[hero_name]=B2185),[3]!players[lane_name])</f>
        <v>Roam</v>
      </c>
      <c r="D2185">
        <f>COUNTIFS([3]!players[name],A2185,[3]!players[hero_name],B2185)</f>
        <v>1</v>
      </c>
      <c r="E2185">
        <f>COUNTIFS([3]!players[name],A2185,[3]!players[hero_name],B2185, [3]!players[win], 1)</f>
        <v>1</v>
      </c>
      <c r="F2185" s="1">
        <f t="shared" si="34"/>
        <v>1</v>
      </c>
      <c r="G2185" s="2">
        <f>AVERAGEIFS([3]!players[gold_per_min], [3]!players[name],A2185,[3]!players[hero_name],B2185)</f>
        <v>269</v>
      </c>
      <c r="H2185" s="2">
        <f>AVERAGEIFS([3]!players[xp_per_min], [3]!players[name],A2185,[3]!players[hero_name],B2185)</f>
        <v>459</v>
      </c>
    </row>
    <row r="2186" spans="1:8" x14ac:dyDescent="0.3">
      <c r="A2186" t="str">
        <v>XinQ</v>
      </c>
      <c r="B2186" t="str">
        <v>Rubick</v>
      </c>
      <c r="C2186" t="str" cm="1">
        <f t="array" ref="C2186">_xlfn.XLOOKUP(1,([3]!players[name]=A2186)*([3]!players[hero_name]=B2186),[3]!players[lane_name])</f>
        <v>Soft Support</v>
      </c>
      <c r="D2186">
        <f>COUNTIFS([3]!players[name],A2186,[3]!players[hero_name],B2186)</f>
        <v>7</v>
      </c>
      <c r="E2186">
        <f>COUNTIFS([3]!players[name],A2186,[3]!players[hero_name],B2186, [3]!players[win], 1)</f>
        <v>4</v>
      </c>
      <c r="F2186" s="1">
        <f t="shared" si="34"/>
        <v>0.5714285714285714</v>
      </c>
      <c r="G2186" s="2">
        <f>AVERAGEIFS([3]!players[gold_per_min], [3]!players[name],A2186,[3]!players[hero_name],B2186)</f>
        <v>391.71428571428572</v>
      </c>
      <c r="H2186" s="2">
        <f>AVERAGEIFS([3]!players[xp_per_min], [3]!players[name],A2186,[3]!players[hero_name],B2186)</f>
        <v>495.57142857142856</v>
      </c>
    </row>
    <row r="2187" spans="1:8" x14ac:dyDescent="0.3">
      <c r="A2187" t="str">
        <v>XinQ</v>
      </c>
      <c r="B2187" t="str">
        <v>Muerta</v>
      </c>
      <c r="C2187" t="str" cm="1">
        <f t="array" ref="C2187">_xlfn.XLOOKUP(1,([3]!players[name]=A2187)*([3]!players[hero_name]=B2187),[3]!players[lane_name])</f>
        <v>Soft Support</v>
      </c>
      <c r="D2187">
        <f>COUNTIFS([3]!players[name],A2187,[3]!players[hero_name],B2187)</f>
        <v>1</v>
      </c>
      <c r="E2187">
        <f>COUNTIFS([3]!players[name],A2187,[3]!players[hero_name],B2187, [3]!players[win], 1)</f>
        <v>1</v>
      </c>
      <c r="F2187" s="1">
        <f t="shared" si="34"/>
        <v>1</v>
      </c>
      <c r="G2187" s="2">
        <f>AVERAGEIFS([3]!players[gold_per_min], [3]!players[name],A2187,[3]!players[hero_name],B2187)</f>
        <v>546</v>
      </c>
      <c r="H2187" s="2">
        <f>AVERAGEIFS([3]!players[xp_per_min], [3]!players[name],A2187,[3]!players[hero_name],B2187)</f>
        <v>721</v>
      </c>
    </row>
    <row r="2188" spans="1:8" x14ac:dyDescent="0.3">
      <c r="A2188" t="str">
        <v>XinQ</v>
      </c>
      <c r="B2188" t="str">
        <v>Keeper of the Light</v>
      </c>
      <c r="C2188" t="str" cm="1">
        <f t="array" ref="C2188">_xlfn.XLOOKUP(1,([3]!players[name]=A2188)*([3]!players[hero_name]=B2188),[3]!players[lane_name])</f>
        <v>Soft Support</v>
      </c>
      <c r="D2188">
        <f>COUNTIFS([3]!players[name],A2188,[3]!players[hero_name],B2188)</f>
        <v>1</v>
      </c>
      <c r="E2188">
        <f>COUNTIFS([3]!players[name],A2188,[3]!players[hero_name],B2188, [3]!players[win], 1)</f>
        <v>1</v>
      </c>
      <c r="F2188" s="1">
        <f t="shared" si="34"/>
        <v>1</v>
      </c>
      <c r="G2188" s="2">
        <f>AVERAGEIFS([3]!players[gold_per_min], [3]!players[name],A2188,[3]!players[hero_name],B2188)</f>
        <v>329</v>
      </c>
      <c r="H2188" s="2">
        <f>AVERAGEIFS([3]!players[xp_per_min], [3]!players[name],A2188,[3]!players[hero_name],B2188)</f>
        <v>528</v>
      </c>
    </row>
    <row r="2189" spans="1:8" x14ac:dyDescent="0.3">
      <c r="A2189" t="str">
        <v>XinQ</v>
      </c>
      <c r="B2189" t="str">
        <v>Earthshaker</v>
      </c>
      <c r="C2189" t="str" cm="1">
        <f t="array" ref="C2189">_xlfn.XLOOKUP(1,([3]!players[name]=A2189)*([3]!players[hero_name]=B2189),[3]!players[lane_name])</f>
        <v>Roam</v>
      </c>
      <c r="D2189">
        <f>COUNTIFS([3]!players[name],A2189,[3]!players[hero_name],B2189)</f>
        <v>1</v>
      </c>
      <c r="E2189">
        <f>COUNTIFS([3]!players[name],A2189,[3]!players[hero_name],B2189, [3]!players[win], 1)</f>
        <v>1</v>
      </c>
      <c r="F2189" s="1">
        <f t="shared" si="34"/>
        <v>1</v>
      </c>
      <c r="G2189" s="2">
        <f>AVERAGEIFS([3]!players[gold_per_min], [3]!players[name],A2189,[3]!players[hero_name],B2189)</f>
        <v>423</v>
      </c>
      <c r="H2189" s="2">
        <f>AVERAGEIFS([3]!players[xp_per_min], [3]!players[name],A2189,[3]!players[hero_name],B2189)</f>
        <v>651</v>
      </c>
    </row>
    <row r="2190" spans="1:8" x14ac:dyDescent="0.3">
      <c r="A2190" t="str">
        <v>XinQ</v>
      </c>
      <c r="B2190" t="str">
        <v>Batrider</v>
      </c>
      <c r="C2190" t="str" cm="1">
        <f t="array" ref="C2190">_xlfn.XLOOKUP(1,([3]!players[name]=A2190)*([3]!players[hero_name]=B2190),[3]!players[lane_name])</f>
        <v>Off Lane</v>
      </c>
      <c r="D2190">
        <f>COUNTIFS([3]!players[name],A2190,[3]!players[hero_name],B2190)</f>
        <v>1</v>
      </c>
      <c r="E2190">
        <f>COUNTIFS([3]!players[name],A2190,[3]!players[hero_name],B2190, [3]!players[win], 1)</f>
        <v>1</v>
      </c>
      <c r="F2190" s="1">
        <f t="shared" si="34"/>
        <v>1</v>
      </c>
      <c r="G2190" s="2">
        <f>AVERAGEIFS([3]!players[gold_per_min], [3]!players[name],A2190,[3]!players[hero_name],B2190)</f>
        <v>514</v>
      </c>
      <c r="H2190" s="2">
        <f>AVERAGEIFS([3]!players[xp_per_min], [3]!players[name],A2190,[3]!players[hero_name],B2190)</f>
        <v>836</v>
      </c>
    </row>
    <row r="2191" spans="1:8" x14ac:dyDescent="0.3">
      <c r="A2191" t="str">
        <v>XinQ</v>
      </c>
      <c r="B2191" t="str">
        <v>Leshrac</v>
      </c>
      <c r="C2191" t="str" cm="1">
        <f t="array" ref="C2191">_xlfn.XLOOKUP(1,([3]!players[name]=A2191)*([3]!players[hero_name]=B2191),[3]!players[lane_name])</f>
        <v>Roam</v>
      </c>
      <c r="D2191">
        <f>COUNTIFS([3]!players[name],A2191,[3]!players[hero_name],B2191)</f>
        <v>1</v>
      </c>
      <c r="E2191">
        <f>COUNTIFS([3]!players[name],A2191,[3]!players[hero_name],B2191, [3]!players[win], 1)</f>
        <v>0</v>
      </c>
      <c r="F2191" s="1">
        <f t="shared" si="34"/>
        <v>0</v>
      </c>
      <c r="G2191" s="2">
        <f>AVERAGEIFS([3]!players[gold_per_min], [3]!players[name],A2191,[3]!players[hero_name],B2191)</f>
        <v>374</v>
      </c>
      <c r="H2191" s="2">
        <f>AVERAGEIFS([3]!players[xp_per_min], [3]!players[name],A2191,[3]!players[hero_name],B2191)</f>
        <v>448</v>
      </c>
    </row>
    <row r="2192" spans="1:8" x14ac:dyDescent="0.3">
      <c r="A2192" t="str">
        <v>Xm</v>
      </c>
      <c r="B2192" t="str">
        <v>Slardar</v>
      </c>
      <c r="C2192" t="str" cm="1">
        <f t="array" ref="C2192">_xlfn.XLOOKUP(1,([3]!players[name]=A2192)*([3]!players[hero_name]=B2192),[3]!players[lane_name])</f>
        <v>Mid</v>
      </c>
      <c r="D2192">
        <f>COUNTIFS([3]!players[name],A2192,[3]!players[hero_name],B2192)</f>
        <v>2</v>
      </c>
      <c r="E2192">
        <f>COUNTIFS([3]!players[name],A2192,[3]!players[hero_name],B2192, [3]!players[win], 1)</f>
        <v>2</v>
      </c>
      <c r="F2192" s="1">
        <f t="shared" si="34"/>
        <v>1</v>
      </c>
      <c r="G2192" s="2">
        <f>AVERAGEIFS([3]!players[gold_per_min], [3]!players[name],A2192,[3]!players[hero_name],B2192)</f>
        <v>609.5</v>
      </c>
      <c r="H2192" s="2">
        <f>AVERAGEIFS([3]!players[xp_per_min], [3]!players[name],A2192,[3]!players[hero_name],B2192)</f>
        <v>738.5</v>
      </c>
    </row>
    <row r="2193" spans="1:8" x14ac:dyDescent="0.3">
      <c r="A2193" t="str">
        <v>Xm</v>
      </c>
      <c r="B2193" t="str">
        <v>Leshrac</v>
      </c>
      <c r="C2193" t="str" cm="1">
        <f t="array" ref="C2193">_xlfn.XLOOKUP(1,([3]!players[name]=A2193)*([3]!players[hero_name]=B2193),[3]!players[lane_name])</f>
        <v>Mid</v>
      </c>
      <c r="D2193">
        <f>COUNTIFS([3]!players[name],A2193,[3]!players[hero_name],B2193)</f>
        <v>1</v>
      </c>
      <c r="E2193">
        <f>COUNTIFS([3]!players[name],A2193,[3]!players[hero_name],B2193, [3]!players[win], 1)</f>
        <v>1</v>
      </c>
      <c r="F2193" s="1">
        <f t="shared" si="34"/>
        <v>1</v>
      </c>
      <c r="G2193" s="2">
        <f>AVERAGEIFS([3]!players[gold_per_min], [3]!players[name],A2193,[3]!players[hero_name],B2193)</f>
        <v>708</v>
      </c>
      <c r="H2193" s="2">
        <f>AVERAGEIFS([3]!players[xp_per_min], [3]!players[name],A2193,[3]!players[hero_name],B2193)</f>
        <v>952</v>
      </c>
    </row>
    <row r="2194" spans="1:8" x14ac:dyDescent="0.3">
      <c r="A2194" t="str">
        <v>Xm</v>
      </c>
      <c r="B2194" t="str">
        <v>Beastmaster</v>
      </c>
      <c r="C2194" t="str" cm="1">
        <f t="array" ref="C2194">_xlfn.XLOOKUP(1,([3]!players[name]=A2194)*([3]!players[hero_name]=B2194),[3]!players[lane_name])</f>
        <v>Mid</v>
      </c>
      <c r="D2194">
        <f>COUNTIFS([3]!players[name],A2194,[3]!players[hero_name],B2194)</f>
        <v>1</v>
      </c>
      <c r="E2194">
        <f>COUNTIFS([3]!players[name],A2194,[3]!players[hero_name],B2194, [3]!players[win], 1)</f>
        <v>0</v>
      </c>
      <c r="F2194" s="1">
        <f t="shared" si="34"/>
        <v>0</v>
      </c>
      <c r="G2194" s="2">
        <f>AVERAGEIFS([3]!players[gold_per_min], [3]!players[name],A2194,[3]!players[hero_name],B2194)</f>
        <v>675</v>
      </c>
      <c r="H2194" s="2">
        <f>AVERAGEIFS([3]!players[xp_per_min], [3]!players[name],A2194,[3]!players[hero_name],B2194)</f>
        <v>823</v>
      </c>
    </row>
    <row r="2195" spans="1:8" x14ac:dyDescent="0.3">
      <c r="A2195" t="str">
        <v>Xm</v>
      </c>
      <c r="B2195" t="str">
        <v>Queen of Pain</v>
      </c>
      <c r="C2195" t="str" cm="1">
        <f t="array" ref="C2195">_xlfn.XLOOKUP(1,([3]!players[name]=A2195)*([3]!players[hero_name]=B2195),[3]!players[lane_name])</f>
        <v>Mid</v>
      </c>
      <c r="D2195">
        <f>COUNTIFS([3]!players[name],A2195,[3]!players[hero_name],B2195)</f>
        <v>4</v>
      </c>
      <c r="E2195">
        <f>COUNTIFS([3]!players[name],A2195,[3]!players[hero_name],B2195, [3]!players[win], 1)</f>
        <v>2</v>
      </c>
      <c r="F2195" s="1">
        <f t="shared" si="34"/>
        <v>0.5</v>
      </c>
      <c r="G2195" s="2">
        <f>AVERAGEIFS([3]!players[gold_per_min], [3]!players[name],A2195,[3]!players[hero_name],B2195)</f>
        <v>615.5</v>
      </c>
      <c r="H2195" s="2">
        <f>AVERAGEIFS([3]!players[xp_per_min], [3]!players[name],A2195,[3]!players[hero_name],B2195)</f>
        <v>778.5</v>
      </c>
    </row>
    <row r="2196" spans="1:8" x14ac:dyDescent="0.3">
      <c r="A2196" t="str">
        <v>Xm</v>
      </c>
      <c r="B2196" t="str">
        <v>Ember Spirit</v>
      </c>
      <c r="C2196" t="str" cm="1">
        <f t="array" ref="C2196">_xlfn.XLOOKUP(1,([3]!players[name]=A2196)*([3]!players[hero_name]=B2196),[3]!players[lane_name])</f>
        <v>Mid</v>
      </c>
      <c r="D2196">
        <f>COUNTIFS([3]!players[name],A2196,[3]!players[hero_name],B2196)</f>
        <v>5</v>
      </c>
      <c r="E2196">
        <f>COUNTIFS([3]!players[name],A2196,[3]!players[hero_name],B2196, [3]!players[win], 1)</f>
        <v>4</v>
      </c>
      <c r="F2196" s="1">
        <f t="shared" si="34"/>
        <v>0.8</v>
      </c>
      <c r="G2196" s="2">
        <f>AVERAGEIFS([3]!players[gold_per_min], [3]!players[name],A2196,[3]!players[hero_name],B2196)</f>
        <v>639</v>
      </c>
      <c r="H2196" s="2">
        <f>AVERAGEIFS([3]!players[xp_per_min], [3]!players[name],A2196,[3]!players[hero_name],B2196)</f>
        <v>797.8</v>
      </c>
    </row>
    <row r="2197" spans="1:8" x14ac:dyDescent="0.3">
      <c r="A2197" t="str">
        <v>Xm</v>
      </c>
      <c r="B2197" t="str">
        <v>Monkey King</v>
      </c>
      <c r="C2197" t="str" cm="1">
        <f t="array" ref="C2197">_xlfn.XLOOKUP(1,([3]!players[name]=A2197)*([3]!players[hero_name]=B2197),[3]!players[lane_name])</f>
        <v>Mid</v>
      </c>
      <c r="D2197">
        <f>COUNTIFS([3]!players[name],A2197,[3]!players[hero_name],B2197)</f>
        <v>2</v>
      </c>
      <c r="E2197">
        <f>COUNTIFS([3]!players[name],A2197,[3]!players[hero_name],B2197, [3]!players[win], 1)</f>
        <v>1</v>
      </c>
      <c r="F2197" s="1">
        <f t="shared" si="34"/>
        <v>0.5</v>
      </c>
      <c r="G2197" s="2">
        <f>AVERAGEIFS([3]!players[gold_per_min], [3]!players[name],A2197,[3]!players[hero_name],B2197)</f>
        <v>491.5</v>
      </c>
      <c r="H2197" s="2">
        <f>AVERAGEIFS([3]!players[xp_per_min], [3]!players[name],A2197,[3]!players[hero_name],B2197)</f>
        <v>593.5</v>
      </c>
    </row>
    <row r="2198" spans="1:8" x14ac:dyDescent="0.3">
      <c r="A2198" t="str">
        <v>Xm</v>
      </c>
      <c r="B2198" t="str">
        <v>Viper</v>
      </c>
      <c r="C2198" t="str" cm="1">
        <f t="array" ref="C2198">_xlfn.XLOOKUP(1,([3]!players[name]=A2198)*([3]!players[hero_name]=B2198),[3]!players[lane_name])</f>
        <v>Mid</v>
      </c>
      <c r="D2198">
        <f>COUNTIFS([3]!players[name],A2198,[3]!players[hero_name],B2198)</f>
        <v>4</v>
      </c>
      <c r="E2198">
        <f>COUNTIFS([3]!players[name],A2198,[3]!players[hero_name],B2198, [3]!players[win], 1)</f>
        <v>2</v>
      </c>
      <c r="F2198" s="1">
        <f t="shared" si="34"/>
        <v>0.5</v>
      </c>
      <c r="G2198" s="2">
        <f>AVERAGEIFS([3]!players[gold_per_min], [3]!players[name],A2198,[3]!players[hero_name],B2198)</f>
        <v>620.75</v>
      </c>
      <c r="H2198" s="2">
        <f>AVERAGEIFS([3]!players[xp_per_min], [3]!players[name],A2198,[3]!players[hero_name],B2198)</f>
        <v>675.25</v>
      </c>
    </row>
    <row r="2199" spans="1:8" x14ac:dyDescent="0.3">
      <c r="A2199" t="str">
        <v>Xm</v>
      </c>
      <c r="B2199" t="str">
        <v>Puck</v>
      </c>
      <c r="C2199" t="str" cm="1">
        <f t="array" ref="C2199">_xlfn.XLOOKUP(1,([3]!players[name]=A2199)*([3]!players[hero_name]=B2199),[3]!players[lane_name])</f>
        <v>Mid</v>
      </c>
      <c r="D2199">
        <f>COUNTIFS([3]!players[name],A2199,[3]!players[hero_name],B2199)</f>
        <v>1</v>
      </c>
      <c r="E2199">
        <f>COUNTIFS([3]!players[name],A2199,[3]!players[hero_name],B2199, [3]!players[win], 1)</f>
        <v>1</v>
      </c>
      <c r="F2199" s="1">
        <f t="shared" si="34"/>
        <v>1</v>
      </c>
      <c r="G2199" s="2">
        <f>AVERAGEIFS([3]!players[gold_per_min], [3]!players[name],A2199,[3]!players[hero_name],B2199)</f>
        <v>694</v>
      </c>
      <c r="H2199" s="2">
        <f>AVERAGEIFS([3]!players[xp_per_min], [3]!players[name],A2199,[3]!players[hero_name],B2199)</f>
        <v>1080</v>
      </c>
    </row>
    <row r="2200" spans="1:8" x14ac:dyDescent="0.3">
      <c r="A2200" t="str">
        <v>Xm</v>
      </c>
      <c r="B2200" t="str">
        <v>Razor</v>
      </c>
      <c r="C2200" t="str" cm="1">
        <f t="array" ref="C2200">_xlfn.XLOOKUP(1,([3]!players[name]=A2200)*([3]!players[hero_name]=B2200),[3]!players[lane_name])</f>
        <v>Mid</v>
      </c>
      <c r="D2200">
        <f>COUNTIFS([3]!players[name],A2200,[3]!players[hero_name],B2200)</f>
        <v>1</v>
      </c>
      <c r="E2200">
        <f>COUNTIFS([3]!players[name],A2200,[3]!players[hero_name],B2200, [3]!players[win], 1)</f>
        <v>0</v>
      </c>
      <c r="F2200" s="1">
        <f t="shared" si="34"/>
        <v>0</v>
      </c>
      <c r="G2200" s="2">
        <f>AVERAGEIFS([3]!players[gold_per_min], [3]!players[name],A2200,[3]!players[hero_name],B2200)</f>
        <v>414</v>
      </c>
      <c r="H2200" s="2">
        <f>AVERAGEIFS([3]!players[xp_per_min], [3]!players[name],A2200,[3]!players[hero_name],B2200)</f>
        <v>494</v>
      </c>
    </row>
    <row r="2201" spans="1:8" x14ac:dyDescent="0.3">
      <c r="A2201" t="str">
        <v>Xm</v>
      </c>
      <c r="B2201" t="str">
        <v>Storm Spirit</v>
      </c>
      <c r="C2201" t="str" cm="1">
        <f t="array" ref="C2201">_xlfn.XLOOKUP(1,([3]!players[name]=A2201)*([3]!players[hero_name]=B2201),[3]!players[lane_name])</f>
        <v>Mid</v>
      </c>
      <c r="D2201">
        <f>COUNTIFS([3]!players[name],A2201,[3]!players[hero_name],B2201)</f>
        <v>2</v>
      </c>
      <c r="E2201">
        <f>COUNTIFS([3]!players[name],A2201,[3]!players[hero_name],B2201, [3]!players[win], 1)</f>
        <v>1</v>
      </c>
      <c r="F2201" s="1">
        <f t="shared" si="34"/>
        <v>0.5</v>
      </c>
      <c r="G2201" s="2">
        <f>AVERAGEIFS([3]!players[gold_per_min], [3]!players[name],A2201,[3]!players[hero_name],B2201)</f>
        <v>618.5</v>
      </c>
      <c r="H2201" s="2">
        <f>AVERAGEIFS([3]!players[xp_per_min], [3]!players[name],A2201,[3]!players[hero_name],B2201)</f>
        <v>778.5</v>
      </c>
    </row>
    <row r="2202" spans="1:8" x14ac:dyDescent="0.3">
      <c r="A2202" t="str">
        <v>xNova</v>
      </c>
      <c r="B2202" t="str">
        <v>Disruptor</v>
      </c>
      <c r="C2202" t="str" cm="1">
        <f t="array" ref="C2202">_xlfn.XLOOKUP(1,([3]!players[name]=A2202)*([3]!players[hero_name]=B2202),[3]!players[lane_name])</f>
        <v>Hard Support</v>
      </c>
      <c r="D2202">
        <f>COUNTIFS([3]!players[name],A2202,[3]!players[hero_name],B2202)</f>
        <v>3</v>
      </c>
      <c r="E2202">
        <f>COUNTIFS([3]!players[name],A2202,[3]!players[hero_name],B2202, [3]!players[win], 1)</f>
        <v>3</v>
      </c>
      <c r="F2202" s="1">
        <f t="shared" si="34"/>
        <v>1</v>
      </c>
      <c r="G2202" s="2">
        <f>AVERAGEIFS([3]!players[gold_per_min], [3]!players[name],A2202,[3]!players[hero_name],B2202)</f>
        <v>312.33333333333331</v>
      </c>
      <c r="H2202" s="2">
        <f>AVERAGEIFS([3]!players[xp_per_min], [3]!players[name],A2202,[3]!players[hero_name],B2202)</f>
        <v>419.33333333333331</v>
      </c>
    </row>
    <row r="2203" spans="1:8" x14ac:dyDescent="0.3">
      <c r="A2203" t="str">
        <v>xNova</v>
      </c>
      <c r="B2203" t="str">
        <v>Phoenix</v>
      </c>
      <c r="C2203" t="str" cm="1">
        <f t="array" ref="C2203">_xlfn.XLOOKUP(1,([3]!players[name]=A2203)*([3]!players[hero_name]=B2203),[3]!players[lane_name])</f>
        <v>Hard Support</v>
      </c>
      <c r="D2203">
        <f>COUNTIFS([3]!players[name],A2203,[3]!players[hero_name],B2203)</f>
        <v>4</v>
      </c>
      <c r="E2203">
        <f>COUNTIFS([3]!players[name],A2203,[3]!players[hero_name],B2203, [3]!players[win], 1)</f>
        <v>2</v>
      </c>
      <c r="F2203" s="1">
        <f t="shared" si="34"/>
        <v>0.5</v>
      </c>
      <c r="G2203" s="2">
        <f>AVERAGEIFS([3]!players[gold_per_min], [3]!players[name],A2203,[3]!players[hero_name],B2203)</f>
        <v>370.5</v>
      </c>
      <c r="H2203" s="2">
        <f>AVERAGEIFS([3]!players[xp_per_min], [3]!players[name],A2203,[3]!players[hero_name],B2203)</f>
        <v>509.75</v>
      </c>
    </row>
    <row r="2204" spans="1:8" x14ac:dyDescent="0.3">
      <c r="A2204" t="str">
        <v>xNova</v>
      </c>
      <c r="B2204" t="str">
        <v>Elder Titan</v>
      </c>
      <c r="C2204" t="str" cm="1">
        <f t="array" ref="C2204">_xlfn.XLOOKUP(1,([3]!players[name]=A2204)*([3]!players[hero_name]=B2204),[3]!players[lane_name])</f>
        <v>Hard Support</v>
      </c>
      <c r="D2204">
        <f>COUNTIFS([3]!players[name],A2204,[3]!players[hero_name],B2204)</f>
        <v>1</v>
      </c>
      <c r="E2204">
        <f>COUNTIFS([3]!players[name],A2204,[3]!players[hero_name],B2204, [3]!players[win], 1)</f>
        <v>1</v>
      </c>
      <c r="F2204" s="1">
        <f t="shared" si="34"/>
        <v>1</v>
      </c>
      <c r="G2204" s="2">
        <f>AVERAGEIFS([3]!players[gold_per_min], [3]!players[name],A2204,[3]!players[hero_name],B2204)</f>
        <v>300</v>
      </c>
      <c r="H2204" s="2">
        <f>AVERAGEIFS([3]!players[xp_per_min], [3]!players[name],A2204,[3]!players[hero_name],B2204)</f>
        <v>535</v>
      </c>
    </row>
    <row r="2205" spans="1:8" x14ac:dyDescent="0.3">
      <c r="A2205" t="str">
        <v>xNova</v>
      </c>
      <c r="B2205" t="str">
        <v>Mirana</v>
      </c>
      <c r="C2205" t="str" cm="1">
        <f t="array" ref="C2205">_xlfn.XLOOKUP(1,([3]!players[name]=A2205)*([3]!players[hero_name]=B2205),[3]!players[lane_name])</f>
        <v>Roam</v>
      </c>
      <c r="D2205">
        <f>COUNTIFS([3]!players[name],A2205,[3]!players[hero_name],B2205)</f>
        <v>1</v>
      </c>
      <c r="E2205">
        <f>COUNTIFS([3]!players[name],A2205,[3]!players[hero_name],B2205, [3]!players[win], 1)</f>
        <v>1</v>
      </c>
      <c r="F2205" s="1">
        <f t="shared" si="34"/>
        <v>1</v>
      </c>
      <c r="G2205" s="2">
        <f>AVERAGEIFS([3]!players[gold_per_min], [3]!players[name],A2205,[3]!players[hero_name],B2205)</f>
        <v>339</v>
      </c>
      <c r="H2205" s="2">
        <f>AVERAGEIFS([3]!players[xp_per_min], [3]!players[name],A2205,[3]!players[hero_name],B2205)</f>
        <v>425</v>
      </c>
    </row>
    <row r="2206" spans="1:8" x14ac:dyDescent="0.3">
      <c r="A2206" t="str">
        <v>xNova</v>
      </c>
      <c r="B2206" t="str">
        <v>Rubick</v>
      </c>
      <c r="C2206" t="str" cm="1">
        <f t="array" ref="C2206">_xlfn.XLOOKUP(1,([3]!players[name]=A2206)*([3]!players[hero_name]=B2206),[3]!players[lane_name])</f>
        <v>Roam</v>
      </c>
      <c r="D2206">
        <f>COUNTIFS([3]!players[name],A2206,[3]!players[hero_name],B2206)</f>
        <v>2</v>
      </c>
      <c r="E2206">
        <f>COUNTIFS([3]!players[name],A2206,[3]!players[hero_name],B2206, [3]!players[win], 1)</f>
        <v>1</v>
      </c>
      <c r="F2206" s="1">
        <f t="shared" si="34"/>
        <v>0.5</v>
      </c>
      <c r="G2206" s="2">
        <f>AVERAGEIFS([3]!players[gold_per_min], [3]!players[name],A2206,[3]!players[hero_name],B2206)</f>
        <v>336.5</v>
      </c>
      <c r="H2206" s="2">
        <f>AVERAGEIFS([3]!players[xp_per_min], [3]!players[name],A2206,[3]!players[hero_name],B2206)</f>
        <v>452.5</v>
      </c>
    </row>
    <row r="2207" spans="1:8" x14ac:dyDescent="0.3">
      <c r="A2207" t="str">
        <v>xNova</v>
      </c>
      <c r="B2207" t="str">
        <v>Enchantress</v>
      </c>
      <c r="C2207" t="str" cm="1">
        <f t="array" ref="C2207">_xlfn.XLOOKUP(1,([3]!players[name]=A2207)*([3]!players[hero_name]=B2207),[3]!players[lane_name])</f>
        <v>Soft Support</v>
      </c>
      <c r="D2207">
        <f>COUNTIFS([3]!players[name],A2207,[3]!players[hero_name],B2207)</f>
        <v>2</v>
      </c>
      <c r="E2207">
        <f>COUNTIFS([3]!players[name],A2207,[3]!players[hero_name],B2207, [3]!players[win], 1)</f>
        <v>1</v>
      </c>
      <c r="F2207" s="1">
        <f t="shared" si="34"/>
        <v>0.5</v>
      </c>
      <c r="G2207" s="2">
        <f>AVERAGEIFS([3]!players[gold_per_min], [3]!players[name],A2207,[3]!players[hero_name],B2207)</f>
        <v>333</v>
      </c>
      <c r="H2207" s="2">
        <f>AVERAGEIFS([3]!players[xp_per_min], [3]!players[name],A2207,[3]!players[hero_name],B2207)</f>
        <v>398.5</v>
      </c>
    </row>
    <row r="2208" spans="1:8" x14ac:dyDescent="0.3">
      <c r="A2208" t="str">
        <v>xNova</v>
      </c>
      <c r="B2208" t="str">
        <v>Ringmaster</v>
      </c>
      <c r="C2208" t="str" cm="1">
        <f t="array" ref="C2208">_xlfn.XLOOKUP(1,([3]!players[name]=A2208)*([3]!players[hero_name]=B2208),[3]!players[lane_name])</f>
        <v>Hard Support</v>
      </c>
      <c r="D2208">
        <f>COUNTIFS([3]!players[name],A2208,[3]!players[hero_name],B2208)</f>
        <v>1</v>
      </c>
      <c r="E2208">
        <f>COUNTIFS([3]!players[name],A2208,[3]!players[hero_name],B2208, [3]!players[win], 1)</f>
        <v>0</v>
      </c>
      <c r="F2208" s="1">
        <f t="shared" si="34"/>
        <v>0</v>
      </c>
      <c r="G2208" s="2">
        <f>AVERAGEIFS([3]!players[gold_per_min], [3]!players[name],A2208,[3]!players[hero_name],B2208)</f>
        <v>244</v>
      </c>
      <c r="H2208" s="2">
        <f>AVERAGEIFS([3]!players[xp_per_min], [3]!players[name],A2208,[3]!players[hero_name],B2208)</f>
        <v>303</v>
      </c>
    </row>
    <row r="2209" spans="1:8" x14ac:dyDescent="0.3">
      <c r="A2209" t="str">
        <v>xNova</v>
      </c>
      <c r="B2209" t="str">
        <v>Treant Protector</v>
      </c>
      <c r="C2209" t="str" cm="1">
        <f t="array" ref="C2209">_xlfn.XLOOKUP(1,([3]!players[name]=A2209)*([3]!players[hero_name]=B2209),[3]!players[lane_name])</f>
        <v>Hard Support</v>
      </c>
      <c r="D2209">
        <f>COUNTIFS([3]!players[name],A2209,[3]!players[hero_name],B2209)</f>
        <v>1</v>
      </c>
      <c r="E2209">
        <f>COUNTIFS([3]!players[name],A2209,[3]!players[hero_name],B2209, [3]!players[win], 1)</f>
        <v>1</v>
      </c>
      <c r="F2209" s="1">
        <f t="shared" si="34"/>
        <v>1</v>
      </c>
      <c r="G2209" s="2">
        <f>AVERAGEIFS([3]!players[gold_per_min], [3]!players[name],A2209,[3]!players[hero_name],B2209)</f>
        <v>312</v>
      </c>
      <c r="H2209" s="2">
        <f>AVERAGEIFS([3]!players[xp_per_min], [3]!players[name],A2209,[3]!players[hero_name],B2209)</f>
        <v>548</v>
      </c>
    </row>
    <row r="2210" spans="1:8" x14ac:dyDescent="0.3">
      <c r="A2210" t="str">
        <v>xNova</v>
      </c>
      <c r="B2210" t="str">
        <v>Crystal Maiden</v>
      </c>
      <c r="C2210" t="str" cm="1">
        <f t="array" ref="C2210">_xlfn.XLOOKUP(1,([3]!players[name]=A2210)*([3]!players[hero_name]=B2210),[3]!players[lane_name])</f>
        <v>Hard Support</v>
      </c>
      <c r="D2210">
        <f>COUNTIFS([3]!players[name],A2210,[3]!players[hero_name],B2210)</f>
        <v>1</v>
      </c>
      <c r="E2210">
        <f>COUNTIFS([3]!players[name],A2210,[3]!players[hero_name],B2210, [3]!players[win], 1)</f>
        <v>0</v>
      </c>
      <c r="F2210" s="1">
        <f t="shared" si="34"/>
        <v>0</v>
      </c>
      <c r="G2210" s="2">
        <f>AVERAGEIFS([3]!players[gold_per_min], [3]!players[name],A2210,[3]!players[hero_name],B2210)</f>
        <v>303</v>
      </c>
      <c r="H2210" s="2">
        <f>AVERAGEIFS([3]!players[xp_per_min], [3]!players[name],A2210,[3]!players[hero_name],B2210)</f>
        <v>420</v>
      </c>
    </row>
    <row r="2211" spans="1:8" x14ac:dyDescent="0.3">
      <c r="A2211" t="str">
        <v>xNova</v>
      </c>
      <c r="B2211" t="str">
        <v>Warlock</v>
      </c>
      <c r="C2211" t="str" cm="1">
        <f t="array" ref="C2211">_xlfn.XLOOKUP(1,([3]!players[name]=A2211)*([3]!players[hero_name]=B2211),[3]!players[lane_name])</f>
        <v>Soft Support</v>
      </c>
      <c r="D2211">
        <f>COUNTIFS([3]!players[name],A2211,[3]!players[hero_name],B2211)</f>
        <v>1</v>
      </c>
      <c r="E2211">
        <f>COUNTIFS([3]!players[name],A2211,[3]!players[hero_name],B2211, [3]!players[win], 1)</f>
        <v>1</v>
      </c>
      <c r="F2211" s="1">
        <f t="shared" si="34"/>
        <v>1</v>
      </c>
      <c r="G2211" s="2">
        <f>AVERAGEIFS([3]!players[gold_per_min], [3]!players[name],A2211,[3]!players[hero_name],B2211)</f>
        <v>408</v>
      </c>
      <c r="H2211" s="2">
        <f>AVERAGEIFS([3]!players[xp_per_min], [3]!players[name],A2211,[3]!players[hero_name],B2211)</f>
        <v>489</v>
      </c>
    </row>
    <row r="2212" spans="1:8" x14ac:dyDescent="0.3">
      <c r="A2212" t="str">
        <v>xNova</v>
      </c>
      <c r="B2212" t="str">
        <v>Venomancer</v>
      </c>
      <c r="C2212" t="str" cm="1">
        <f t="array" ref="C2212">_xlfn.XLOOKUP(1,([3]!players[name]=A2212)*([3]!players[hero_name]=B2212),[3]!players[lane_name])</f>
        <v>Soft Support</v>
      </c>
      <c r="D2212">
        <f>COUNTIFS([3]!players[name],A2212,[3]!players[hero_name],B2212)</f>
        <v>1</v>
      </c>
      <c r="E2212">
        <f>COUNTIFS([3]!players[name],A2212,[3]!players[hero_name],B2212, [3]!players[win], 1)</f>
        <v>1</v>
      </c>
      <c r="F2212" s="1">
        <f t="shared" si="34"/>
        <v>1</v>
      </c>
      <c r="G2212" s="2">
        <f>AVERAGEIFS([3]!players[gold_per_min], [3]!players[name],A2212,[3]!players[hero_name],B2212)</f>
        <v>417</v>
      </c>
      <c r="H2212" s="2">
        <f>AVERAGEIFS([3]!players[xp_per_min], [3]!players[name],A2212,[3]!players[hero_name],B2212)</f>
        <v>551</v>
      </c>
    </row>
    <row r="2213" spans="1:8" x14ac:dyDescent="0.3">
      <c r="A2213" t="str">
        <v>Xxs</v>
      </c>
      <c r="B2213" t="str">
        <v>Tidehunter</v>
      </c>
      <c r="C2213" t="str" cm="1">
        <f t="array" ref="C2213">_xlfn.XLOOKUP(1,([3]!players[name]=A2213)*([3]!players[hero_name]=B2213),[3]!players[lane_name])</f>
        <v>Off Lane</v>
      </c>
      <c r="D2213">
        <f>COUNTIFS([3]!players[name],A2213,[3]!players[hero_name],B2213)</f>
        <v>3</v>
      </c>
      <c r="E2213">
        <f>COUNTIFS([3]!players[name],A2213,[3]!players[hero_name],B2213, [3]!players[win], 1)</f>
        <v>2</v>
      </c>
      <c r="F2213" s="1">
        <f t="shared" si="34"/>
        <v>0.66666666666666663</v>
      </c>
      <c r="G2213" s="2">
        <f>AVERAGEIFS([3]!players[gold_per_min], [3]!players[name],A2213,[3]!players[hero_name],B2213)</f>
        <v>533.66666666666663</v>
      </c>
      <c r="H2213" s="2">
        <f>AVERAGEIFS([3]!players[xp_per_min], [3]!players[name],A2213,[3]!players[hero_name],B2213)</f>
        <v>670</v>
      </c>
    </row>
    <row r="2214" spans="1:8" x14ac:dyDescent="0.3">
      <c r="A2214" t="str">
        <v>Xxs</v>
      </c>
      <c r="B2214" t="str">
        <v>Bristleback</v>
      </c>
      <c r="C2214" t="str" cm="1">
        <f t="array" ref="C2214">_xlfn.XLOOKUP(1,([3]!players[name]=A2214)*([3]!players[hero_name]=B2214),[3]!players[lane_name])</f>
        <v>Off Lane</v>
      </c>
      <c r="D2214">
        <f>COUNTIFS([3]!players[name],A2214,[3]!players[hero_name],B2214)</f>
        <v>3</v>
      </c>
      <c r="E2214">
        <f>COUNTIFS([3]!players[name],A2214,[3]!players[hero_name],B2214, [3]!players[win], 1)</f>
        <v>1</v>
      </c>
      <c r="F2214" s="1">
        <f t="shared" si="34"/>
        <v>0.33333333333333331</v>
      </c>
      <c r="G2214" s="2">
        <f>AVERAGEIFS([3]!players[gold_per_min], [3]!players[name],A2214,[3]!players[hero_name],B2214)</f>
        <v>557.66666666666663</v>
      </c>
      <c r="H2214" s="2">
        <f>AVERAGEIFS([3]!players[xp_per_min], [3]!players[name],A2214,[3]!players[hero_name],B2214)</f>
        <v>646.66666666666663</v>
      </c>
    </row>
    <row r="2215" spans="1:8" x14ac:dyDescent="0.3">
      <c r="A2215" t="str">
        <v>Xxs</v>
      </c>
      <c r="B2215" t="str">
        <v>Mars</v>
      </c>
      <c r="C2215" t="str" cm="1">
        <f t="array" ref="C2215">_xlfn.XLOOKUP(1,([3]!players[name]=A2215)*([3]!players[hero_name]=B2215),[3]!players[lane_name])</f>
        <v>Off Lane</v>
      </c>
      <c r="D2215">
        <f>COUNTIFS([3]!players[name],A2215,[3]!players[hero_name],B2215)</f>
        <v>2</v>
      </c>
      <c r="E2215">
        <f>COUNTIFS([3]!players[name],A2215,[3]!players[hero_name],B2215, [3]!players[win], 1)</f>
        <v>2</v>
      </c>
      <c r="F2215" s="1">
        <f t="shared" si="34"/>
        <v>1</v>
      </c>
      <c r="G2215" s="2">
        <f>AVERAGEIFS([3]!players[gold_per_min], [3]!players[name],A2215,[3]!players[hero_name],B2215)</f>
        <v>556.5</v>
      </c>
      <c r="H2215" s="2">
        <f>AVERAGEIFS([3]!players[xp_per_min], [3]!players[name],A2215,[3]!players[hero_name],B2215)</f>
        <v>750</v>
      </c>
    </row>
    <row r="2216" spans="1:8" x14ac:dyDescent="0.3">
      <c r="A2216" t="str">
        <v>Xxs</v>
      </c>
      <c r="B2216" t="str">
        <v>Pangolier</v>
      </c>
      <c r="C2216" t="str" cm="1">
        <f t="array" ref="C2216">_xlfn.XLOOKUP(1,([3]!players[name]=A2216)*([3]!players[hero_name]=B2216),[3]!players[lane_name])</f>
        <v>Off Lane</v>
      </c>
      <c r="D2216">
        <f>COUNTIFS([3]!players[name],A2216,[3]!players[hero_name],B2216)</f>
        <v>2</v>
      </c>
      <c r="E2216">
        <f>COUNTIFS([3]!players[name],A2216,[3]!players[hero_name],B2216, [3]!players[win], 1)</f>
        <v>1</v>
      </c>
      <c r="F2216" s="1">
        <f t="shared" si="34"/>
        <v>0.5</v>
      </c>
      <c r="G2216" s="2">
        <f>AVERAGEIFS([3]!players[gold_per_min], [3]!players[name],A2216,[3]!players[hero_name],B2216)</f>
        <v>508</v>
      </c>
      <c r="H2216" s="2">
        <f>AVERAGEIFS([3]!players[xp_per_min], [3]!players[name],A2216,[3]!players[hero_name],B2216)</f>
        <v>632.5</v>
      </c>
    </row>
    <row r="2217" spans="1:8" x14ac:dyDescent="0.3">
      <c r="A2217" t="str">
        <v>Xxs</v>
      </c>
      <c r="B2217" t="str">
        <v>Magnus</v>
      </c>
      <c r="C2217" t="str" cm="1">
        <f t="array" ref="C2217">_xlfn.XLOOKUP(1,([3]!players[name]=A2217)*([3]!players[hero_name]=B2217),[3]!players[lane_name])</f>
        <v>Off Lane</v>
      </c>
      <c r="D2217">
        <f>COUNTIFS([3]!players[name],A2217,[3]!players[hero_name],B2217)</f>
        <v>1</v>
      </c>
      <c r="E2217">
        <f>COUNTIFS([3]!players[name],A2217,[3]!players[hero_name],B2217, [3]!players[win], 1)</f>
        <v>1</v>
      </c>
      <c r="F2217" s="1">
        <f t="shared" si="34"/>
        <v>1</v>
      </c>
      <c r="G2217" s="2">
        <f>AVERAGEIFS([3]!players[gold_per_min], [3]!players[name],A2217,[3]!players[hero_name],B2217)</f>
        <v>636</v>
      </c>
      <c r="H2217" s="2">
        <f>AVERAGEIFS([3]!players[xp_per_min], [3]!players[name],A2217,[3]!players[hero_name],B2217)</f>
        <v>994</v>
      </c>
    </row>
    <row r="2218" spans="1:8" x14ac:dyDescent="0.3">
      <c r="A2218" t="str">
        <v>Xxs</v>
      </c>
      <c r="B2218" t="str">
        <v>Doom</v>
      </c>
      <c r="C2218" t="str" cm="1">
        <f t="array" ref="C2218">_xlfn.XLOOKUP(1,([3]!players[name]=A2218)*([3]!players[hero_name]=B2218),[3]!players[lane_name])</f>
        <v>Off Lane</v>
      </c>
      <c r="D2218">
        <f>COUNTIFS([3]!players[name],A2218,[3]!players[hero_name],B2218)</f>
        <v>2</v>
      </c>
      <c r="E2218">
        <f>COUNTIFS([3]!players[name],A2218,[3]!players[hero_name],B2218, [3]!players[win], 1)</f>
        <v>2</v>
      </c>
      <c r="F2218" s="1">
        <f t="shared" si="34"/>
        <v>1</v>
      </c>
      <c r="G2218" s="2">
        <f>AVERAGEIFS([3]!players[gold_per_min], [3]!players[name],A2218,[3]!players[hero_name],B2218)</f>
        <v>653.5</v>
      </c>
      <c r="H2218" s="2">
        <f>AVERAGEIFS([3]!players[xp_per_min], [3]!players[name],A2218,[3]!players[hero_name],B2218)</f>
        <v>712.5</v>
      </c>
    </row>
    <row r="2219" spans="1:8" x14ac:dyDescent="0.3">
      <c r="A2219" t="str">
        <v>Xxs</v>
      </c>
      <c r="B2219" t="str">
        <v>Underlord</v>
      </c>
      <c r="C2219" t="str" cm="1">
        <f t="array" ref="C2219">_xlfn.XLOOKUP(1,([3]!players[name]=A2219)*([3]!players[hero_name]=B2219),[3]!players[lane_name])</f>
        <v>Off Lane</v>
      </c>
      <c r="D2219">
        <f>COUNTIFS([3]!players[name],A2219,[3]!players[hero_name],B2219)</f>
        <v>2</v>
      </c>
      <c r="E2219">
        <f>COUNTIFS([3]!players[name],A2219,[3]!players[hero_name],B2219, [3]!players[win], 1)</f>
        <v>1</v>
      </c>
      <c r="F2219" s="1">
        <f t="shared" si="34"/>
        <v>0.5</v>
      </c>
      <c r="G2219" s="2">
        <f>AVERAGEIFS([3]!players[gold_per_min], [3]!players[name],A2219,[3]!players[hero_name],B2219)</f>
        <v>587.5</v>
      </c>
      <c r="H2219" s="2">
        <f>AVERAGEIFS([3]!players[xp_per_min], [3]!players[name],A2219,[3]!players[hero_name],B2219)</f>
        <v>714.5</v>
      </c>
    </row>
    <row r="2220" spans="1:8" x14ac:dyDescent="0.3">
      <c r="A2220" t="str">
        <v>Xxs</v>
      </c>
      <c r="B2220" t="str">
        <v>Primal Beast</v>
      </c>
      <c r="C2220" t="str" cm="1">
        <f t="array" ref="C2220">_xlfn.XLOOKUP(1,([3]!players[name]=A2220)*([3]!players[hero_name]=B2220),[3]!players[lane_name])</f>
        <v>Off Lane</v>
      </c>
      <c r="D2220">
        <f>COUNTIFS([3]!players[name],A2220,[3]!players[hero_name],B2220)</f>
        <v>1</v>
      </c>
      <c r="E2220">
        <f>COUNTIFS([3]!players[name],A2220,[3]!players[hero_name],B2220, [3]!players[win], 1)</f>
        <v>0</v>
      </c>
      <c r="F2220" s="1">
        <f t="shared" si="34"/>
        <v>0</v>
      </c>
      <c r="G2220" s="2">
        <f>AVERAGEIFS([3]!players[gold_per_min], [3]!players[name],A2220,[3]!players[hero_name],B2220)</f>
        <v>490</v>
      </c>
      <c r="H2220" s="2">
        <f>AVERAGEIFS([3]!players[xp_per_min], [3]!players[name],A2220,[3]!players[hero_name],B2220)</f>
        <v>575</v>
      </c>
    </row>
    <row r="2221" spans="1:8" x14ac:dyDescent="0.3">
      <c r="A2221" t="str">
        <v>Xxs</v>
      </c>
      <c r="B2221" t="str">
        <v>Slardar</v>
      </c>
      <c r="C2221" t="str" cm="1">
        <f t="array" ref="C2221">_xlfn.XLOOKUP(1,([3]!players[name]=A2221)*([3]!players[hero_name]=B2221),[3]!players[lane_name])</f>
        <v>Off Lane</v>
      </c>
      <c r="D2221">
        <f>COUNTIFS([3]!players[name],A2221,[3]!players[hero_name],B2221)</f>
        <v>1</v>
      </c>
      <c r="E2221">
        <f>COUNTIFS([3]!players[name],A2221,[3]!players[hero_name],B2221, [3]!players[win], 1)</f>
        <v>1</v>
      </c>
      <c r="F2221" s="1">
        <f t="shared" si="34"/>
        <v>1</v>
      </c>
      <c r="G2221" s="2">
        <f>AVERAGEIFS([3]!players[gold_per_min], [3]!players[name],A2221,[3]!players[hero_name],B2221)</f>
        <v>624</v>
      </c>
      <c r="H2221" s="2">
        <f>AVERAGEIFS([3]!players[xp_per_min], [3]!players[name],A2221,[3]!players[hero_name],B2221)</f>
        <v>816</v>
      </c>
    </row>
    <row r="2222" spans="1:8" x14ac:dyDescent="0.3">
      <c r="A2222" t="str">
        <v>Xxs</v>
      </c>
      <c r="B2222" t="str">
        <v>Axe</v>
      </c>
      <c r="C2222" t="str" cm="1">
        <f t="array" ref="C2222">_xlfn.XLOOKUP(1,([3]!players[name]=A2222)*([3]!players[hero_name]=B2222),[3]!players[lane_name])</f>
        <v>Off Lane</v>
      </c>
      <c r="D2222">
        <f>COUNTIFS([3]!players[name],A2222,[3]!players[hero_name],B2222)</f>
        <v>1</v>
      </c>
      <c r="E2222">
        <f>COUNTIFS([3]!players[name],A2222,[3]!players[hero_name],B2222, [3]!players[win], 1)</f>
        <v>1</v>
      </c>
      <c r="F2222" s="1">
        <f t="shared" si="34"/>
        <v>1</v>
      </c>
      <c r="G2222" s="2">
        <f>AVERAGEIFS([3]!players[gold_per_min], [3]!players[name],A2222,[3]!players[hero_name],B2222)</f>
        <v>621</v>
      </c>
      <c r="H2222" s="2">
        <f>AVERAGEIFS([3]!players[xp_per_min], [3]!players[name],A2222,[3]!players[hero_name],B2222)</f>
        <v>656</v>
      </c>
    </row>
    <row r="2223" spans="1:8" x14ac:dyDescent="0.3">
      <c r="A2223" t="str">
        <v>y`</v>
      </c>
      <c r="B2223" t="str">
        <v>Enchantress</v>
      </c>
      <c r="C2223" t="str" cm="1">
        <f t="array" ref="C2223">_xlfn.XLOOKUP(1,([3]!players[name]=A2223)*([3]!players[hero_name]=B2223),[3]!players[lane_name])</f>
        <v>Roam</v>
      </c>
      <c r="D2223">
        <f>COUNTIFS([3]!players[name],A2223,[3]!players[hero_name],B2223)</f>
        <v>3</v>
      </c>
      <c r="E2223">
        <f>COUNTIFS([3]!players[name],A2223,[3]!players[hero_name],B2223, [3]!players[win], 1)</f>
        <v>2</v>
      </c>
      <c r="F2223" s="1">
        <f t="shared" si="34"/>
        <v>0.66666666666666663</v>
      </c>
      <c r="G2223" s="2">
        <f>AVERAGEIFS([3]!players[gold_per_min], [3]!players[name],A2223,[3]!players[hero_name],B2223)</f>
        <v>409</v>
      </c>
      <c r="H2223" s="2">
        <f>AVERAGEIFS([3]!players[xp_per_min], [3]!players[name],A2223,[3]!players[hero_name],B2223)</f>
        <v>573</v>
      </c>
    </row>
    <row r="2224" spans="1:8" x14ac:dyDescent="0.3">
      <c r="A2224" t="str">
        <v>y`</v>
      </c>
      <c r="B2224" t="str">
        <v>Phoenix</v>
      </c>
      <c r="C2224" t="str" cm="1">
        <f t="array" ref="C2224">_xlfn.XLOOKUP(1,([3]!players[name]=A2224)*([3]!players[hero_name]=B2224),[3]!players[lane_name])</f>
        <v>Roam</v>
      </c>
      <c r="D2224">
        <f>COUNTIFS([3]!players[name],A2224,[3]!players[hero_name],B2224)</f>
        <v>2</v>
      </c>
      <c r="E2224">
        <f>COUNTIFS([3]!players[name],A2224,[3]!players[hero_name],B2224, [3]!players[win], 1)</f>
        <v>1</v>
      </c>
      <c r="F2224" s="1">
        <f t="shared" si="34"/>
        <v>0.5</v>
      </c>
      <c r="G2224" s="2">
        <f>AVERAGEIFS([3]!players[gold_per_min], [3]!players[name],A2224,[3]!players[hero_name],B2224)</f>
        <v>333.5</v>
      </c>
      <c r="H2224" s="2">
        <f>AVERAGEIFS([3]!players[xp_per_min], [3]!players[name],A2224,[3]!players[hero_name],B2224)</f>
        <v>446</v>
      </c>
    </row>
    <row r="2225" spans="1:8" x14ac:dyDescent="0.3">
      <c r="A2225" t="str">
        <v>y`</v>
      </c>
      <c r="B2225" t="str">
        <v>Shadow Demon</v>
      </c>
      <c r="C2225" t="str" cm="1">
        <f t="array" ref="C2225">_xlfn.XLOOKUP(1,([3]!players[name]=A2225)*([3]!players[hero_name]=B2225),[3]!players[lane_name])</f>
        <v>Hard Support</v>
      </c>
      <c r="D2225">
        <f>COUNTIFS([3]!players[name],A2225,[3]!players[hero_name],B2225)</f>
        <v>2</v>
      </c>
      <c r="E2225">
        <f>COUNTIFS([3]!players[name],A2225,[3]!players[hero_name],B2225, [3]!players[win], 1)</f>
        <v>2</v>
      </c>
      <c r="F2225" s="1">
        <f t="shared" si="34"/>
        <v>1</v>
      </c>
      <c r="G2225" s="2">
        <f>AVERAGEIFS([3]!players[gold_per_min], [3]!players[name],A2225,[3]!players[hero_name],B2225)</f>
        <v>350</v>
      </c>
      <c r="H2225" s="2">
        <f>AVERAGEIFS([3]!players[xp_per_min], [3]!players[name],A2225,[3]!players[hero_name],B2225)</f>
        <v>487</v>
      </c>
    </row>
    <row r="2226" spans="1:8" x14ac:dyDescent="0.3">
      <c r="A2226" t="str">
        <v>y`</v>
      </c>
      <c r="B2226" t="str">
        <v>Venomancer</v>
      </c>
      <c r="C2226" t="str" cm="1">
        <f t="array" ref="C2226">_xlfn.XLOOKUP(1,([3]!players[name]=A2226)*([3]!players[hero_name]=B2226),[3]!players[lane_name])</f>
        <v>Roam</v>
      </c>
      <c r="D2226">
        <f>COUNTIFS([3]!players[name],A2226,[3]!players[hero_name],B2226)</f>
        <v>1</v>
      </c>
      <c r="E2226">
        <f>COUNTIFS([3]!players[name],A2226,[3]!players[hero_name],B2226, [3]!players[win], 1)</f>
        <v>0</v>
      </c>
      <c r="F2226" s="1">
        <f t="shared" si="34"/>
        <v>0</v>
      </c>
      <c r="G2226" s="2">
        <f>AVERAGEIFS([3]!players[gold_per_min], [3]!players[name],A2226,[3]!players[hero_name],B2226)</f>
        <v>393</v>
      </c>
      <c r="H2226" s="2">
        <f>AVERAGEIFS([3]!players[xp_per_min], [3]!players[name],A2226,[3]!players[hero_name],B2226)</f>
        <v>531</v>
      </c>
    </row>
    <row r="2227" spans="1:8" x14ac:dyDescent="0.3">
      <c r="A2227" t="str">
        <v>y`</v>
      </c>
      <c r="B2227" t="str">
        <v>Jakiro</v>
      </c>
      <c r="C2227" t="str" cm="1">
        <f t="array" ref="C2227">_xlfn.XLOOKUP(1,([3]!players[name]=A2227)*([3]!players[hero_name]=B2227),[3]!players[lane_name])</f>
        <v>Soft Support</v>
      </c>
      <c r="D2227">
        <f>COUNTIFS([3]!players[name],A2227,[3]!players[hero_name],B2227)</f>
        <v>1</v>
      </c>
      <c r="E2227">
        <f>COUNTIFS([3]!players[name],A2227,[3]!players[hero_name],B2227, [3]!players[win], 1)</f>
        <v>0</v>
      </c>
      <c r="F2227" s="1">
        <f t="shared" si="34"/>
        <v>0</v>
      </c>
      <c r="G2227" s="2">
        <f>AVERAGEIFS([3]!players[gold_per_min], [3]!players[name],A2227,[3]!players[hero_name],B2227)</f>
        <v>255</v>
      </c>
      <c r="H2227" s="2">
        <f>AVERAGEIFS([3]!players[xp_per_min], [3]!players[name],A2227,[3]!players[hero_name],B2227)</f>
        <v>347</v>
      </c>
    </row>
    <row r="2228" spans="1:8" x14ac:dyDescent="0.3">
      <c r="A2228" t="str">
        <v>y`</v>
      </c>
      <c r="B2228" t="str">
        <v>Disruptor</v>
      </c>
      <c r="C2228" t="str" cm="1">
        <f t="array" ref="C2228">_xlfn.XLOOKUP(1,([3]!players[name]=A2228)*([3]!players[hero_name]=B2228),[3]!players[lane_name])</f>
        <v>Hard Support</v>
      </c>
      <c r="D2228">
        <f>COUNTIFS([3]!players[name],A2228,[3]!players[hero_name],B2228)</f>
        <v>3</v>
      </c>
      <c r="E2228">
        <f>COUNTIFS([3]!players[name],A2228,[3]!players[hero_name],B2228, [3]!players[win], 1)</f>
        <v>1</v>
      </c>
      <c r="F2228" s="1">
        <f t="shared" si="34"/>
        <v>0.33333333333333331</v>
      </c>
      <c r="G2228" s="2">
        <f>AVERAGEIFS([3]!players[gold_per_min], [3]!players[name],A2228,[3]!players[hero_name],B2228)</f>
        <v>255</v>
      </c>
      <c r="H2228" s="2">
        <f>AVERAGEIFS([3]!players[xp_per_min], [3]!players[name],A2228,[3]!players[hero_name],B2228)</f>
        <v>397.33333333333331</v>
      </c>
    </row>
    <row r="2229" spans="1:8" x14ac:dyDescent="0.3">
      <c r="A2229" t="str">
        <v>y`</v>
      </c>
      <c r="B2229" t="str">
        <v>Ancient Apparition</v>
      </c>
      <c r="C2229" t="str" cm="1">
        <f t="array" ref="C2229">_xlfn.XLOOKUP(1,([3]!players[name]=A2229)*([3]!players[hero_name]=B2229),[3]!players[lane_name])</f>
        <v>Soft Support</v>
      </c>
      <c r="D2229">
        <f>COUNTIFS([3]!players[name],A2229,[3]!players[hero_name],B2229)</f>
        <v>3</v>
      </c>
      <c r="E2229">
        <f>COUNTIFS([3]!players[name],A2229,[3]!players[hero_name],B2229, [3]!players[win], 1)</f>
        <v>2</v>
      </c>
      <c r="F2229" s="1">
        <f t="shared" si="34"/>
        <v>0.66666666666666663</v>
      </c>
      <c r="G2229" s="2">
        <f>AVERAGEIFS([3]!players[gold_per_min], [3]!players[name],A2229,[3]!players[hero_name],B2229)</f>
        <v>362</v>
      </c>
      <c r="H2229" s="2">
        <f>AVERAGEIFS([3]!players[xp_per_min], [3]!players[name],A2229,[3]!players[hero_name],B2229)</f>
        <v>554.33333333333337</v>
      </c>
    </row>
    <row r="2230" spans="1:8" x14ac:dyDescent="0.3">
      <c r="A2230" t="str">
        <v>y`</v>
      </c>
      <c r="B2230" t="str">
        <v>Dazzle</v>
      </c>
      <c r="C2230" t="str" cm="1">
        <f t="array" ref="C2230">_xlfn.XLOOKUP(1,([3]!players[name]=A2230)*([3]!players[hero_name]=B2230),[3]!players[lane_name])</f>
        <v>Hard Support</v>
      </c>
      <c r="D2230">
        <f>COUNTIFS([3]!players[name],A2230,[3]!players[hero_name],B2230)</f>
        <v>4</v>
      </c>
      <c r="E2230">
        <f>COUNTIFS([3]!players[name],A2230,[3]!players[hero_name],B2230, [3]!players[win], 1)</f>
        <v>3</v>
      </c>
      <c r="F2230" s="1">
        <f t="shared" si="34"/>
        <v>0.75</v>
      </c>
      <c r="G2230" s="2">
        <f>AVERAGEIFS([3]!players[gold_per_min], [3]!players[name],A2230,[3]!players[hero_name],B2230)</f>
        <v>296.25</v>
      </c>
      <c r="H2230" s="2">
        <f>AVERAGEIFS([3]!players[xp_per_min], [3]!players[name],A2230,[3]!players[hero_name],B2230)</f>
        <v>439</v>
      </c>
    </row>
    <row r="2231" spans="1:8" x14ac:dyDescent="0.3">
      <c r="A2231" t="str">
        <v>y`</v>
      </c>
      <c r="B2231" t="str">
        <v>Treant Protector</v>
      </c>
      <c r="C2231" t="str" cm="1">
        <f t="array" ref="C2231">_xlfn.XLOOKUP(1,([3]!players[name]=A2231)*([3]!players[hero_name]=B2231),[3]!players[lane_name])</f>
        <v>Hard Support</v>
      </c>
      <c r="D2231">
        <f>COUNTIFS([3]!players[name],A2231,[3]!players[hero_name],B2231)</f>
        <v>2</v>
      </c>
      <c r="E2231">
        <f>COUNTIFS([3]!players[name],A2231,[3]!players[hero_name],B2231, [3]!players[win], 1)</f>
        <v>2</v>
      </c>
      <c r="F2231" s="1">
        <f t="shared" si="34"/>
        <v>1</v>
      </c>
      <c r="G2231" s="2">
        <f>AVERAGEIFS([3]!players[gold_per_min], [3]!players[name],A2231,[3]!players[hero_name],B2231)</f>
        <v>342</v>
      </c>
      <c r="H2231" s="2">
        <f>AVERAGEIFS([3]!players[xp_per_min], [3]!players[name],A2231,[3]!players[hero_name],B2231)</f>
        <v>434.5</v>
      </c>
    </row>
    <row r="2232" spans="1:8" x14ac:dyDescent="0.3">
      <c r="A2232" t="str">
        <v>y`</v>
      </c>
      <c r="B2232" t="str">
        <v>Warlock</v>
      </c>
      <c r="C2232" t="str" cm="1">
        <f t="array" ref="C2232">_xlfn.XLOOKUP(1,([3]!players[name]=A2232)*([3]!players[hero_name]=B2232),[3]!players[lane_name])</f>
        <v>Hard Support</v>
      </c>
      <c r="D2232">
        <f>COUNTIFS([3]!players[name],A2232,[3]!players[hero_name],B2232)</f>
        <v>1</v>
      </c>
      <c r="E2232">
        <f>COUNTIFS([3]!players[name],A2232,[3]!players[hero_name],B2232, [3]!players[win], 1)</f>
        <v>1</v>
      </c>
      <c r="F2232" s="1">
        <f t="shared" si="34"/>
        <v>1</v>
      </c>
      <c r="G2232" s="2">
        <f>AVERAGEIFS([3]!players[gold_per_min], [3]!players[name],A2232,[3]!players[hero_name],B2232)</f>
        <v>350</v>
      </c>
      <c r="H2232" s="2">
        <f>AVERAGEIFS([3]!players[xp_per_min], [3]!players[name],A2232,[3]!players[hero_name],B2232)</f>
        <v>522</v>
      </c>
    </row>
    <row r="2233" spans="1:8" x14ac:dyDescent="0.3">
      <c r="A2233" t="str">
        <v>y`</v>
      </c>
      <c r="B2233" t="str">
        <v>Io</v>
      </c>
      <c r="C2233" t="str" cm="1">
        <f t="array" ref="C2233">_xlfn.XLOOKUP(1,([3]!players[name]=A2233)*([3]!players[hero_name]=B2233),[3]!players[lane_name])</f>
        <v>Hard Support</v>
      </c>
      <c r="D2233">
        <f>COUNTIFS([3]!players[name],A2233,[3]!players[hero_name],B2233)</f>
        <v>1</v>
      </c>
      <c r="E2233">
        <f>COUNTIFS([3]!players[name],A2233,[3]!players[hero_name],B2233, [3]!players[win], 1)</f>
        <v>0</v>
      </c>
      <c r="F2233" s="1">
        <f t="shared" si="34"/>
        <v>0</v>
      </c>
      <c r="G2233" s="2">
        <f>AVERAGEIFS([3]!players[gold_per_min], [3]!players[name],A2233,[3]!players[hero_name],B2233)</f>
        <v>263</v>
      </c>
      <c r="H2233" s="2">
        <f>AVERAGEIFS([3]!players[xp_per_min], [3]!players[name],A2233,[3]!players[hero_name],B2233)</f>
        <v>308</v>
      </c>
    </row>
    <row r="2234" spans="1:8" x14ac:dyDescent="0.3">
      <c r="A2234" t="str">
        <v>Yatoro</v>
      </c>
      <c r="B2234" t="str">
        <v>Monkey King</v>
      </c>
      <c r="C2234" t="str" cm="1">
        <f t="array" ref="C2234">_xlfn.XLOOKUP(1,([3]!players[name]=A2234)*([3]!players[hero_name]=B2234),[3]!players[lane_name])</f>
        <v>Carry</v>
      </c>
      <c r="D2234">
        <f>COUNTIFS([3]!players[name],A2234,[3]!players[hero_name],B2234)</f>
        <v>6</v>
      </c>
      <c r="E2234">
        <f>COUNTIFS([3]!players[name],A2234,[3]!players[hero_name],B2234, [3]!players[win], 1)</f>
        <v>2</v>
      </c>
      <c r="F2234" s="1">
        <f t="shared" si="34"/>
        <v>0.33333333333333331</v>
      </c>
      <c r="G2234" s="2">
        <f>AVERAGEIFS([3]!players[gold_per_min], [3]!players[name],A2234,[3]!players[hero_name],B2234)</f>
        <v>669.66666666666663</v>
      </c>
      <c r="H2234" s="2">
        <f>AVERAGEIFS([3]!players[xp_per_min], [3]!players[name],A2234,[3]!players[hero_name],B2234)</f>
        <v>869.33333333333337</v>
      </c>
    </row>
    <row r="2235" spans="1:8" x14ac:dyDescent="0.3">
      <c r="A2235" t="str">
        <v>Yatoro</v>
      </c>
      <c r="B2235" t="str">
        <v>Shadow Fiend</v>
      </c>
      <c r="C2235" t="str" cm="1">
        <f t="array" ref="C2235">_xlfn.XLOOKUP(1,([3]!players[name]=A2235)*([3]!players[hero_name]=B2235),[3]!players[lane_name])</f>
        <v>Carry</v>
      </c>
      <c r="D2235">
        <f>COUNTIFS([3]!players[name],A2235,[3]!players[hero_name],B2235)</f>
        <v>1</v>
      </c>
      <c r="E2235">
        <f>COUNTIFS([3]!players[name],A2235,[3]!players[hero_name],B2235, [3]!players[win], 1)</f>
        <v>0</v>
      </c>
      <c r="F2235" s="1">
        <f t="shared" si="34"/>
        <v>0</v>
      </c>
      <c r="G2235" s="2">
        <f>AVERAGEIFS([3]!players[gold_per_min], [3]!players[name],A2235,[3]!players[hero_name],B2235)</f>
        <v>594</v>
      </c>
      <c r="H2235" s="2">
        <f>AVERAGEIFS([3]!players[xp_per_min], [3]!players[name],A2235,[3]!players[hero_name],B2235)</f>
        <v>614</v>
      </c>
    </row>
    <row r="2236" spans="1:8" x14ac:dyDescent="0.3">
      <c r="A2236" t="str">
        <v>Yatoro</v>
      </c>
      <c r="B2236" t="str">
        <v>Bristleback</v>
      </c>
      <c r="C2236" t="str" cm="1">
        <f t="array" ref="C2236">_xlfn.XLOOKUP(1,([3]!players[name]=A2236)*([3]!players[hero_name]=B2236),[3]!players[lane_name])</f>
        <v>Carry</v>
      </c>
      <c r="D2236">
        <f>COUNTIFS([3]!players[name],A2236,[3]!players[hero_name],B2236)</f>
        <v>1</v>
      </c>
      <c r="E2236">
        <f>COUNTIFS([3]!players[name],A2236,[3]!players[hero_name],B2236, [3]!players[win], 1)</f>
        <v>0</v>
      </c>
      <c r="F2236" s="1">
        <f t="shared" si="34"/>
        <v>0</v>
      </c>
      <c r="G2236" s="2">
        <f>AVERAGEIFS([3]!players[gold_per_min], [3]!players[name],A2236,[3]!players[hero_name],B2236)</f>
        <v>532</v>
      </c>
      <c r="H2236" s="2">
        <f>AVERAGEIFS([3]!players[xp_per_min], [3]!players[name],A2236,[3]!players[hero_name],B2236)</f>
        <v>720</v>
      </c>
    </row>
    <row r="2237" spans="1:8" x14ac:dyDescent="0.3">
      <c r="A2237" t="str">
        <v>Yatoro</v>
      </c>
      <c r="B2237" t="str">
        <v>Templar Assassin</v>
      </c>
      <c r="C2237" t="str" cm="1">
        <f t="array" ref="C2237">_xlfn.XLOOKUP(1,([3]!players[name]=A2237)*([3]!players[hero_name]=B2237),[3]!players[lane_name])</f>
        <v>Carry</v>
      </c>
      <c r="D2237">
        <f>COUNTIFS([3]!players[name],A2237,[3]!players[hero_name],B2237)</f>
        <v>1</v>
      </c>
      <c r="E2237">
        <f>COUNTIFS([3]!players[name],A2237,[3]!players[hero_name],B2237, [3]!players[win], 1)</f>
        <v>0</v>
      </c>
      <c r="F2237" s="1">
        <f t="shared" si="34"/>
        <v>0</v>
      </c>
      <c r="G2237" s="2">
        <f>AVERAGEIFS([3]!players[gold_per_min], [3]!players[name],A2237,[3]!players[hero_name],B2237)</f>
        <v>590</v>
      </c>
      <c r="H2237" s="2">
        <f>AVERAGEIFS([3]!players[xp_per_min], [3]!players[name],A2237,[3]!players[hero_name],B2237)</f>
        <v>750</v>
      </c>
    </row>
    <row r="2238" spans="1:8" x14ac:dyDescent="0.3">
      <c r="A2238" t="str">
        <v>Yatoro</v>
      </c>
      <c r="B2238" t="str">
        <v>Drow Ranger</v>
      </c>
      <c r="C2238" t="str" cm="1">
        <f t="array" ref="C2238">_xlfn.XLOOKUP(1,([3]!players[name]=A2238)*([3]!players[hero_name]=B2238),[3]!players[lane_name])</f>
        <v>Carry</v>
      </c>
      <c r="D2238">
        <f>COUNTIFS([3]!players[name],A2238,[3]!players[hero_name],B2238)</f>
        <v>2</v>
      </c>
      <c r="E2238">
        <f>COUNTIFS([3]!players[name],A2238,[3]!players[hero_name],B2238, [3]!players[win], 1)</f>
        <v>1</v>
      </c>
      <c r="F2238" s="1">
        <f t="shared" si="34"/>
        <v>0.5</v>
      </c>
      <c r="G2238" s="2">
        <f>AVERAGEIFS([3]!players[gold_per_min], [3]!players[name],A2238,[3]!players[hero_name],B2238)</f>
        <v>809.5</v>
      </c>
      <c r="H2238" s="2">
        <f>AVERAGEIFS([3]!players[xp_per_min], [3]!players[name],A2238,[3]!players[hero_name],B2238)</f>
        <v>976.5</v>
      </c>
    </row>
    <row r="2239" spans="1:8" x14ac:dyDescent="0.3">
      <c r="A2239" t="str">
        <v>Yatoro</v>
      </c>
      <c r="B2239" t="str">
        <v>Tiny</v>
      </c>
      <c r="C2239" t="str" cm="1">
        <f t="array" ref="C2239">_xlfn.XLOOKUP(1,([3]!players[name]=A2239)*([3]!players[hero_name]=B2239),[3]!players[lane_name])</f>
        <v>Carry</v>
      </c>
      <c r="D2239">
        <f>COUNTIFS([3]!players[name],A2239,[3]!players[hero_name],B2239)</f>
        <v>2</v>
      </c>
      <c r="E2239">
        <f>COUNTIFS([3]!players[name],A2239,[3]!players[hero_name],B2239, [3]!players[win], 1)</f>
        <v>1</v>
      </c>
      <c r="F2239" s="1">
        <f t="shared" si="34"/>
        <v>0.5</v>
      </c>
      <c r="G2239" s="2">
        <f>AVERAGEIFS([3]!players[gold_per_min], [3]!players[name],A2239,[3]!players[hero_name],B2239)</f>
        <v>663</v>
      </c>
      <c r="H2239" s="2">
        <f>AVERAGEIFS([3]!players[xp_per_min], [3]!players[name],A2239,[3]!players[hero_name],B2239)</f>
        <v>886</v>
      </c>
    </row>
    <row r="2240" spans="1:8" x14ac:dyDescent="0.3">
      <c r="A2240" t="str">
        <v>Yatoro</v>
      </c>
      <c r="B2240" t="str">
        <v>Terrorblade</v>
      </c>
      <c r="C2240" t="str" cm="1">
        <f t="array" ref="C2240">_xlfn.XLOOKUP(1,([3]!players[name]=A2240)*([3]!players[hero_name]=B2240),[3]!players[lane_name])</f>
        <v>Carry</v>
      </c>
      <c r="D2240">
        <f>COUNTIFS([3]!players[name],A2240,[3]!players[hero_name],B2240)</f>
        <v>3</v>
      </c>
      <c r="E2240">
        <f>COUNTIFS([3]!players[name],A2240,[3]!players[hero_name],B2240, [3]!players[win], 1)</f>
        <v>2</v>
      </c>
      <c r="F2240" s="1">
        <f t="shared" si="34"/>
        <v>0.66666666666666663</v>
      </c>
      <c r="G2240" s="2">
        <f>AVERAGEIFS([3]!players[gold_per_min], [3]!players[name],A2240,[3]!players[hero_name],B2240)</f>
        <v>733.66666666666663</v>
      </c>
      <c r="H2240" s="2">
        <f>AVERAGEIFS([3]!players[xp_per_min], [3]!players[name],A2240,[3]!players[hero_name],B2240)</f>
        <v>755.33333333333337</v>
      </c>
    </row>
    <row r="2241" spans="1:8" x14ac:dyDescent="0.3">
      <c r="A2241" t="str">
        <v>Yatoro</v>
      </c>
      <c r="B2241" t="str">
        <v>Luna</v>
      </c>
      <c r="C2241" t="str" cm="1">
        <f t="array" ref="C2241">_xlfn.XLOOKUP(1,([3]!players[name]=A2241)*([3]!players[hero_name]=B2241),[3]!players[lane_name])</f>
        <v>Carry</v>
      </c>
      <c r="D2241">
        <f>COUNTIFS([3]!players[name],A2241,[3]!players[hero_name],B2241)</f>
        <v>2</v>
      </c>
      <c r="E2241">
        <f>COUNTIFS([3]!players[name],A2241,[3]!players[hero_name],B2241, [3]!players[win], 1)</f>
        <v>0</v>
      </c>
      <c r="F2241" s="1">
        <f t="shared" si="34"/>
        <v>0</v>
      </c>
      <c r="G2241" s="2">
        <f>AVERAGEIFS([3]!players[gold_per_min], [3]!players[name],A2241,[3]!players[hero_name],B2241)</f>
        <v>670.5</v>
      </c>
      <c r="H2241" s="2">
        <f>AVERAGEIFS([3]!players[xp_per_min], [3]!players[name],A2241,[3]!players[hero_name],B2241)</f>
        <v>756</v>
      </c>
    </row>
    <row r="2242" spans="1:8" x14ac:dyDescent="0.3">
      <c r="A2242" t="str">
        <v>Yatoro</v>
      </c>
      <c r="B2242" t="str">
        <v>Muerta</v>
      </c>
      <c r="C2242" t="str" cm="1">
        <f t="array" ref="C2242">_xlfn.XLOOKUP(1,([3]!players[name]=A2242)*([3]!players[hero_name]=B2242),[3]!players[lane_name])</f>
        <v>Carry</v>
      </c>
      <c r="D2242">
        <f>COUNTIFS([3]!players[name],A2242,[3]!players[hero_name],B2242)</f>
        <v>1</v>
      </c>
      <c r="E2242">
        <f>COUNTIFS([3]!players[name],A2242,[3]!players[hero_name],B2242, [3]!players[win], 1)</f>
        <v>0</v>
      </c>
      <c r="F2242" s="1">
        <f t="shared" si="34"/>
        <v>0</v>
      </c>
      <c r="G2242" s="2">
        <f>AVERAGEIFS([3]!players[gold_per_min], [3]!players[name],A2242,[3]!players[hero_name],B2242)</f>
        <v>548</v>
      </c>
      <c r="H2242" s="2">
        <f>AVERAGEIFS([3]!players[xp_per_min], [3]!players[name],A2242,[3]!players[hero_name],B2242)</f>
        <v>597</v>
      </c>
    </row>
    <row r="2243" spans="1:8" x14ac:dyDescent="0.3">
      <c r="A2243" t="str">
        <v>Yatoro</v>
      </c>
      <c r="B2243" t="str">
        <v>Alchemist</v>
      </c>
      <c r="C2243" t="str" cm="1">
        <f t="array" ref="C2243">_xlfn.XLOOKUP(1,([3]!players[name]=A2243)*([3]!players[hero_name]=B2243),[3]!players[lane_name])</f>
        <v>Carry</v>
      </c>
      <c r="D2243">
        <f>COUNTIFS([3]!players[name],A2243,[3]!players[hero_name],B2243)</f>
        <v>1</v>
      </c>
      <c r="E2243">
        <f>COUNTIFS([3]!players[name],A2243,[3]!players[hero_name],B2243, [3]!players[win], 1)</f>
        <v>0</v>
      </c>
      <c r="F2243" s="1">
        <f t="shared" ref="F2243:F2306" si="35">E2243/D2243</f>
        <v>0</v>
      </c>
      <c r="G2243" s="2">
        <f>AVERAGEIFS([3]!players[gold_per_min], [3]!players[name],A2243,[3]!players[hero_name],B2243)</f>
        <v>650</v>
      </c>
      <c r="H2243" s="2">
        <f>AVERAGEIFS([3]!players[xp_per_min], [3]!players[name],A2243,[3]!players[hero_name],B2243)</f>
        <v>607</v>
      </c>
    </row>
    <row r="2244" spans="1:8" x14ac:dyDescent="0.3">
      <c r="A2244" t="str">
        <v>Yatoro</v>
      </c>
      <c r="B2244" t="str">
        <v>Lone Druid</v>
      </c>
      <c r="C2244" t="str" cm="1">
        <f t="array" ref="C2244">_xlfn.XLOOKUP(1,([3]!players[name]=A2244)*([3]!players[hero_name]=B2244),[3]!players[lane_name])</f>
        <v>Carry</v>
      </c>
      <c r="D2244">
        <f>COUNTIFS([3]!players[name],A2244,[3]!players[hero_name],B2244)</f>
        <v>2</v>
      </c>
      <c r="E2244">
        <f>COUNTIFS([3]!players[name],A2244,[3]!players[hero_name],B2244, [3]!players[win], 1)</f>
        <v>2</v>
      </c>
      <c r="F2244" s="1">
        <f t="shared" si="35"/>
        <v>1</v>
      </c>
      <c r="G2244" s="2">
        <f>AVERAGEIFS([3]!players[gold_per_min], [3]!players[name],A2244,[3]!players[hero_name],B2244)</f>
        <v>886.5</v>
      </c>
      <c r="H2244" s="2">
        <f>AVERAGEIFS([3]!players[xp_per_min], [3]!players[name],A2244,[3]!players[hero_name],B2244)</f>
        <v>691</v>
      </c>
    </row>
    <row r="2245" spans="1:8" x14ac:dyDescent="0.3">
      <c r="A2245" t="str">
        <v>Yatoro</v>
      </c>
      <c r="B2245" t="str">
        <v>Faceless Void</v>
      </c>
      <c r="C2245" t="str" cm="1">
        <f t="array" ref="C2245">_xlfn.XLOOKUP(1,([3]!players[name]=A2245)*([3]!players[hero_name]=B2245),[3]!players[lane_name])</f>
        <v>Carry</v>
      </c>
      <c r="D2245">
        <f>COUNTIFS([3]!players[name],A2245,[3]!players[hero_name],B2245)</f>
        <v>1</v>
      </c>
      <c r="E2245">
        <f>COUNTIFS([3]!players[name],A2245,[3]!players[hero_name],B2245, [3]!players[win], 1)</f>
        <v>1</v>
      </c>
      <c r="F2245" s="1">
        <f t="shared" si="35"/>
        <v>1</v>
      </c>
      <c r="G2245" s="2">
        <f>AVERAGEIFS([3]!players[gold_per_min], [3]!players[name],A2245,[3]!players[hero_name],B2245)</f>
        <v>856</v>
      </c>
      <c r="H2245" s="2">
        <f>AVERAGEIFS([3]!players[xp_per_min], [3]!players[name],A2245,[3]!players[hero_name],B2245)</f>
        <v>1162</v>
      </c>
    </row>
    <row r="2246" spans="1:8" x14ac:dyDescent="0.3">
      <c r="A2246" t="str">
        <v>YiSuS</v>
      </c>
      <c r="B2246" t="str">
        <v>Pangolier</v>
      </c>
      <c r="C2246" t="str" cm="1">
        <f t="array" ref="C2246">_xlfn.XLOOKUP(1,([3]!players[name]=A2246)*([3]!players[hero_name]=B2246),[3]!players[lane_name])</f>
        <v>Off Lane</v>
      </c>
      <c r="D2246">
        <f>COUNTIFS([3]!players[name],A2246,[3]!players[hero_name],B2246)</f>
        <v>2</v>
      </c>
      <c r="E2246">
        <f>COUNTIFS([3]!players[name],A2246,[3]!players[hero_name],B2246, [3]!players[win], 1)</f>
        <v>1</v>
      </c>
      <c r="F2246" s="1">
        <f t="shared" si="35"/>
        <v>0.5</v>
      </c>
      <c r="G2246" s="2">
        <f>AVERAGEIFS([3]!players[gold_per_min], [3]!players[name],A2246,[3]!players[hero_name],B2246)</f>
        <v>572.5</v>
      </c>
      <c r="H2246" s="2">
        <f>AVERAGEIFS([3]!players[xp_per_min], [3]!players[name],A2246,[3]!players[hero_name],B2246)</f>
        <v>793.5</v>
      </c>
    </row>
    <row r="2247" spans="1:8" x14ac:dyDescent="0.3">
      <c r="A2247" t="str">
        <v>YiSuS</v>
      </c>
      <c r="B2247" t="str">
        <v>Beastmaster</v>
      </c>
      <c r="C2247" t="str" cm="1">
        <f t="array" ref="C2247">_xlfn.XLOOKUP(1,([3]!players[name]=A2247)*([3]!players[hero_name]=B2247),[3]!players[lane_name])</f>
        <v>Carry</v>
      </c>
      <c r="D2247">
        <f>COUNTIFS([3]!players[name],A2247,[3]!players[hero_name],B2247)</f>
        <v>3</v>
      </c>
      <c r="E2247">
        <f>COUNTIFS([3]!players[name],A2247,[3]!players[hero_name],B2247, [3]!players[win], 1)</f>
        <v>2</v>
      </c>
      <c r="F2247" s="1">
        <f t="shared" si="35"/>
        <v>0.66666666666666663</v>
      </c>
      <c r="G2247" s="2">
        <f>AVERAGEIFS([3]!players[gold_per_min], [3]!players[name],A2247,[3]!players[hero_name],B2247)</f>
        <v>610</v>
      </c>
      <c r="H2247" s="2">
        <f>AVERAGEIFS([3]!players[xp_per_min], [3]!players[name],A2247,[3]!players[hero_name],B2247)</f>
        <v>728.33333333333337</v>
      </c>
    </row>
    <row r="2248" spans="1:8" x14ac:dyDescent="0.3">
      <c r="A2248" t="str">
        <v>YiSuS</v>
      </c>
      <c r="B2248" t="str">
        <v>Timbersaw</v>
      </c>
      <c r="C2248" t="str" cm="1">
        <f t="array" ref="C2248">_xlfn.XLOOKUP(1,([3]!players[name]=A2248)*([3]!players[hero_name]=B2248),[3]!players[lane_name])</f>
        <v>Off Lane</v>
      </c>
      <c r="D2248">
        <f>COUNTIFS([3]!players[name],A2248,[3]!players[hero_name],B2248)</f>
        <v>3</v>
      </c>
      <c r="E2248">
        <f>COUNTIFS([3]!players[name],A2248,[3]!players[hero_name],B2248, [3]!players[win], 1)</f>
        <v>2</v>
      </c>
      <c r="F2248" s="1">
        <f t="shared" si="35"/>
        <v>0.66666666666666663</v>
      </c>
      <c r="G2248" s="2">
        <f>AVERAGEIFS([3]!players[gold_per_min], [3]!players[name],A2248,[3]!players[hero_name],B2248)</f>
        <v>668.66666666666663</v>
      </c>
      <c r="H2248" s="2">
        <f>AVERAGEIFS([3]!players[xp_per_min], [3]!players[name],A2248,[3]!players[hero_name],B2248)</f>
        <v>854.66666666666663</v>
      </c>
    </row>
    <row r="2249" spans="1:8" x14ac:dyDescent="0.3">
      <c r="A2249" t="str">
        <v>YiSuS</v>
      </c>
      <c r="B2249" t="str">
        <v>Lycan</v>
      </c>
      <c r="C2249" t="str" cm="1">
        <f t="array" ref="C2249">_xlfn.XLOOKUP(1,([3]!players[name]=A2249)*([3]!players[hero_name]=B2249),[3]!players[lane_name])</f>
        <v>Off Lane</v>
      </c>
      <c r="D2249">
        <f>COUNTIFS([3]!players[name],A2249,[3]!players[hero_name],B2249)</f>
        <v>1</v>
      </c>
      <c r="E2249">
        <f>COUNTIFS([3]!players[name],A2249,[3]!players[hero_name],B2249, [3]!players[win], 1)</f>
        <v>1</v>
      </c>
      <c r="F2249" s="1">
        <f t="shared" si="35"/>
        <v>1</v>
      </c>
      <c r="G2249" s="2">
        <f>AVERAGEIFS([3]!players[gold_per_min], [3]!players[name],A2249,[3]!players[hero_name],B2249)</f>
        <v>664</v>
      </c>
      <c r="H2249" s="2">
        <f>AVERAGEIFS([3]!players[xp_per_min], [3]!players[name],A2249,[3]!players[hero_name],B2249)</f>
        <v>671</v>
      </c>
    </row>
    <row r="2250" spans="1:8" x14ac:dyDescent="0.3">
      <c r="A2250" t="str">
        <v>YiSuS</v>
      </c>
      <c r="B2250" t="str">
        <v>Mars</v>
      </c>
      <c r="C2250" t="str" cm="1">
        <f t="array" ref="C2250">_xlfn.XLOOKUP(1,([3]!players[name]=A2250)*([3]!players[hero_name]=B2250),[3]!players[lane_name])</f>
        <v>Off Lane</v>
      </c>
      <c r="D2250">
        <f>COUNTIFS([3]!players[name],A2250,[3]!players[hero_name],B2250)</f>
        <v>3</v>
      </c>
      <c r="E2250">
        <f>COUNTIFS([3]!players[name],A2250,[3]!players[hero_name],B2250, [3]!players[win], 1)</f>
        <v>3</v>
      </c>
      <c r="F2250" s="1">
        <f t="shared" si="35"/>
        <v>1</v>
      </c>
      <c r="G2250" s="2">
        <f>AVERAGEIFS([3]!players[gold_per_min], [3]!players[name],A2250,[3]!players[hero_name],B2250)</f>
        <v>511.33333333333331</v>
      </c>
      <c r="H2250" s="2">
        <f>AVERAGEIFS([3]!players[xp_per_min], [3]!players[name],A2250,[3]!players[hero_name],B2250)</f>
        <v>732.33333333333337</v>
      </c>
    </row>
    <row r="2251" spans="1:8" x14ac:dyDescent="0.3">
      <c r="A2251" t="str">
        <v>YiSuS</v>
      </c>
      <c r="B2251" t="str">
        <v>Batrider</v>
      </c>
      <c r="C2251" t="str" cm="1">
        <f t="array" ref="C2251">_xlfn.XLOOKUP(1,([3]!players[name]=A2251)*([3]!players[hero_name]=B2251),[3]!players[lane_name])</f>
        <v>Off Lane</v>
      </c>
      <c r="D2251">
        <f>COUNTIFS([3]!players[name],A2251,[3]!players[hero_name],B2251)</f>
        <v>1</v>
      </c>
      <c r="E2251">
        <f>COUNTIFS([3]!players[name],A2251,[3]!players[hero_name],B2251, [3]!players[win], 1)</f>
        <v>1</v>
      </c>
      <c r="F2251" s="1">
        <f t="shared" si="35"/>
        <v>1</v>
      </c>
      <c r="G2251" s="2">
        <f>AVERAGEIFS([3]!players[gold_per_min], [3]!players[name],A2251,[3]!players[hero_name],B2251)</f>
        <v>537</v>
      </c>
      <c r="H2251" s="2">
        <f>AVERAGEIFS([3]!players[xp_per_min], [3]!players[name],A2251,[3]!players[hero_name],B2251)</f>
        <v>663</v>
      </c>
    </row>
    <row r="2252" spans="1:8" x14ac:dyDescent="0.3">
      <c r="A2252" t="str">
        <v>YiSuS</v>
      </c>
      <c r="B2252" t="str">
        <v>Bristleback</v>
      </c>
      <c r="C2252" t="str" cm="1">
        <f t="array" ref="C2252">_xlfn.XLOOKUP(1,([3]!players[name]=A2252)*([3]!players[hero_name]=B2252),[3]!players[lane_name])</f>
        <v>Off Lane</v>
      </c>
      <c r="D2252">
        <f>COUNTIFS([3]!players[name],A2252,[3]!players[hero_name],B2252)</f>
        <v>1</v>
      </c>
      <c r="E2252">
        <f>COUNTIFS([3]!players[name],A2252,[3]!players[hero_name],B2252, [3]!players[win], 1)</f>
        <v>0</v>
      </c>
      <c r="F2252" s="1">
        <f t="shared" si="35"/>
        <v>0</v>
      </c>
      <c r="G2252" s="2">
        <f>AVERAGEIFS([3]!players[gold_per_min], [3]!players[name],A2252,[3]!players[hero_name],B2252)</f>
        <v>496</v>
      </c>
      <c r="H2252" s="2">
        <f>AVERAGEIFS([3]!players[xp_per_min], [3]!players[name],A2252,[3]!players[hero_name],B2252)</f>
        <v>528</v>
      </c>
    </row>
    <row r="2253" spans="1:8" x14ac:dyDescent="0.3">
      <c r="A2253" t="str">
        <v>Yor</v>
      </c>
      <c r="B2253" t="str">
        <v>Marci</v>
      </c>
      <c r="C2253" t="str" cm="1">
        <f t="array" ref="C2253">_xlfn.XLOOKUP(1,([3]!players[name]=A2253)*([3]!players[hero_name]=B2253),[3]!players[lane_name])</f>
        <v>Hard Support</v>
      </c>
      <c r="D2253">
        <f>COUNTIFS([3]!players[name],A2253,[3]!players[hero_name],B2253)</f>
        <v>3</v>
      </c>
      <c r="E2253">
        <f>COUNTIFS([3]!players[name],A2253,[3]!players[hero_name],B2253, [3]!players[win], 1)</f>
        <v>1</v>
      </c>
      <c r="F2253" s="1">
        <f t="shared" si="35"/>
        <v>0.33333333333333331</v>
      </c>
      <c r="G2253" s="2">
        <f>AVERAGEIFS([3]!players[gold_per_min], [3]!players[name],A2253,[3]!players[hero_name],B2253)</f>
        <v>306.66666666666669</v>
      </c>
      <c r="H2253" s="2">
        <f>AVERAGEIFS([3]!players[xp_per_min], [3]!players[name],A2253,[3]!players[hero_name],B2253)</f>
        <v>433</v>
      </c>
    </row>
    <row r="2254" spans="1:8" x14ac:dyDescent="0.3">
      <c r="A2254" t="str">
        <v>Yor</v>
      </c>
      <c r="B2254" t="str">
        <v>Treant Protector</v>
      </c>
      <c r="C2254" t="str" cm="1">
        <f t="array" ref="C2254">_xlfn.XLOOKUP(1,([3]!players[name]=A2254)*([3]!players[hero_name]=B2254),[3]!players[lane_name])</f>
        <v>Hard Support</v>
      </c>
      <c r="D2254">
        <f>COUNTIFS([3]!players[name],A2254,[3]!players[hero_name],B2254)</f>
        <v>1</v>
      </c>
      <c r="E2254">
        <f>COUNTIFS([3]!players[name],A2254,[3]!players[hero_name],B2254, [3]!players[win], 1)</f>
        <v>0</v>
      </c>
      <c r="F2254" s="1">
        <f t="shared" si="35"/>
        <v>0</v>
      </c>
      <c r="G2254" s="2">
        <f>AVERAGEIFS([3]!players[gold_per_min], [3]!players[name],A2254,[3]!players[hero_name],B2254)</f>
        <v>296</v>
      </c>
      <c r="H2254" s="2">
        <f>AVERAGEIFS([3]!players[xp_per_min], [3]!players[name],A2254,[3]!players[hero_name],B2254)</f>
        <v>416</v>
      </c>
    </row>
    <row r="2255" spans="1:8" x14ac:dyDescent="0.3">
      <c r="A2255" t="str">
        <v>Yor</v>
      </c>
      <c r="B2255" t="str">
        <v>Clockwerk</v>
      </c>
      <c r="C2255" t="str" cm="1">
        <f t="array" ref="C2255">_xlfn.XLOOKUP(1,([3]!players[name]=A2255)*([3]!players[hero_name]=B2255),[3]!players[lane_name])</f>
        <v>Hard Support</v>
      </c>
      <c r="D2255">
        <f>COUNTIFS([3]!players[name],A2255,[3]!players[hero_name],B2255)</f>
        <v>2</v>
      </c>
      <c r="E2255">
        <f>COUNTIFS([3]!players[name],A2255,[3]!players[hero_name],B2255, [3]!players[win], 1)</f>
        <v>2</v>
      </c>
      <c r="F2255" s="1">
        <f t="shared" si="35"/>
        <v>1</v>
      </c>
      <c r="G2255" s="2">
        <f>AVERAGEIFS([3]!players[gold_per_min], [3]!players[name],A2255,[3]!players[hero_name],B2255)</f>
        <v>256.5</v>
      </c>
      <c r="H2255" s="2">
        <f>AVERAGEIFS([3]!players[xp_per_min], [3]!players[name],A2255,[3]!players[hero_name],B2255)</f>
        <v>360.5</v>
      </c>
    </row>
    <row r="2256" spans="1:8" x14ac:dyDescent="0.3">
      <c r="A2256" t="str">
        <v>Yor</v>
      </c>
      <c r="B2256" t="str">
        <v>Tusk</v>
      </c>
      <c r="C2256" t="str" cm="1">
        <f t="array" ref="C2256">_xlfn.XLOOKUP(1,([3]!players[name]=A2256)*([3]!players[hero_name]=B2256),[3]!players[lane_name])</f>
        <v>Hard Support</v>
      </c>
      <c r="D2256">
        <f>COUNTIFS([3]!players[name],A2256,[3]!players[hero_name],B2256)</f>
        <v>1</v>
      </c>
      <c r="E2256">
        <f>COUNTIFS([3]!players[name],A2256,[3]!players[hero_name],B2256, [3]!players[win], 1)</f>
        <v>1</v>
      </c>
      <c r="F2256" s="1">
        <f t="shared" si="35"/>
        <v>1</v>
      </c>
      <c r="G2256" s="2">
        <f>AVERAGEIFS([3]!players[gold_per_min], [3]!players[name],A2256,[3]!players[hero_name],B2256)</f>
        <v>306</v>
      </c>
      <c r="H2256" s="2">
        <f>AVERAGEIFS([3]!players[xp_per_min], [3]!players[name],A2256,[3]!players[hero_name],B2256)</f>
        <v>390</v>
      </c>
    </row>
    <row r="2257" spans="1:8" x14ac:dyDescent="0.3">
      <c r="A2257" t="str">
        <v>Yor</v>
      </c>
      <c r="B2257" t="str">
        <v>Winter Wyvern</v>
      </c>
      <c r="C2257" t="str" cm="1">
        <f t="array" ref="C2257">_xlfn.XLOOKUP(1,([3]!players[name]=A2257)*([3]!players[hero_name]=B2257),[3]!players[lane_name])</f>
        <v>Soft Support</v>
      </c>
      <c r="D2257">
        <f>COUNTIFS([3]!players[name],A2257,[3]!players[hero_name],B2257)</f>
        <v>1</v>
      </c>
      <c r="E2257">
        <f>COUNTIFS([3]!players[name],A2257,[3]!players[hero_name],B2257, [3]!players[win], 1)</f>
        <v>0</v>
      </c>
      <c r="F2257" s="1">
        <f t="shared" si="35"/>
        <v>0</v>
      </c>
      <c r="G2257" s="2">
        <f>AVERAGEIFS([3]!players[gold_per_min], [3]!players[name],A2257,[3]!players[hero_name],B2257)</f>
        <v>252</v>
      </c>
      <c r="H2257" s="2">
        <f>AVERAGEIFS([3]!players[xp_per_min], [3]!players[name],A2257,[3]!players[hero_name],B2257)</f>
        <v>356</v>
      </c>
    </row>
    <row r="2258" spans="1:8" x14ac:dyDescent="0.3">
      <c r="A2258" t="str">
        <v>Yor</v>
      </c>
      <c r="B2258" t="str">
        <v>Disruptor</v>
      </c>
      <c r="C2258" t="str" cm="1">
        <f t="array" ref="C2258">_xlfn.XLOOKUP(1,([3]!players[name]=A2258)*([3]!players[hero_name]=B2258),[3]!players[lane_name])</f>
        <v>Soft Support</v>
      </c>
      <c r="D2258">
        <f>COUNTIFS([3]!players[name],A2258,[3]!players[hero_name],B2258)</f>
        <v>1</v>
      </c>
      <c r="E2258">
        <f>COUNTIFS([3]!players[name],A2258,[3]!players[hero_name],B2258, [3]!players[win], 1)</f>
        <v>0</v>
      </c>
      <c r="F2258" s="1">
        <f t="shared" si="35"/>
        <v>0</v>
      </c>
      <c r="G2258" s="2">
        <f>AVERAGEIFS([3]!players[gold_per_min], [3]!players[name],A2258,[3]!players[hero_name],B2258)</f>
        <v>291</v>
      </c>
      <c r="H2258" s="2">
        <f>AVERAGEIFS([3]!players[xp_per_min], [3]!players[name],A2258,[3]!players[hero_name],B2258)</f>
        <v>378</v>
      </c>
    </row>
    <row r="2259" spans="1:8" x14ac:dyDescent="0.3">
      <c r="A2259" t="str">
        <v>YSR-04E</v>
      </c>
      <c r="B2259" t="str">
        <v>Muerta</v>
      </c>
      <c r="C2259" t="str" cm="1">
        <f t="array" ref="C2259">_xlfn.XLOOKUP(1,([3]!players[name]=A2259)*([3]!players[hero_name]=B2259),[3]!players[lane_name])</f>
        <v>Carry</v>
      </c>
      <c r="D2259">
        <f>COUNTIFS([3]!players[name],A2259,[3]!players[hero_name],B2259)</f>
        <v>5</v>
      </c>
      <c r="E2259">
        <f>COUNTIFS([3]!players[name],A2259,[3]!players[hero_name],B2259, [3]!players[win], 1)</f>
        <v>4</v>
      </c>
      <c r="F2259" s="1">
        <f t="shared" si="35"/>
        <v>0.8</v>
      </c>
      <c r="G2259" s="2">
        <f>AVERAGEIFS([3]!players[gold_per_min], [3]!players[name],A2259,[3]!players[hero_name],B2259)</f>
        <v>681.8</v>
      </c>
      <c r="H2259" s="2">
        <f>AVERAGEIFS([3]!players[xp_per_min], [3]!players[name],A2259,[3]!players[hero_name],B2259)</f>
        <v>728.8</v>
      </c>
    </row>
    <row r="2260" spans="1:8" x14ac:dyDescent="0.3">
      <c r="A2260" t="str">
        <v>YSR-04E</v>
      </c>
      <c r="B2260" t="str">
        <v>Weaver</v>
      </c>
      <c r="C2260" t="str" cm="1">
        <f t="array" ref="C2260">_xlfn.XLOOKUP(1,([3]!players[name]=A2260)*([3]!players[hero_name]=B2260),[3]!players[lane_name])</f>
        <v>Carry</v>
      </c>
      <c r="D2260">
        <f>COUNTIFS([3]!players[name],A2260,[3]!players[hero_name],B2260)</f>
        <v>2</v>
      </c>
      <c r="E2260">
        <f>COUNTIFS([3]!players[name],A2260,[3]!players[hero_name],B2260, [3]!players[win], 1)</f>
        <v>2</v>
      </c>
      <c r="F2260" s="1">
        <f t="shared" si="35"/>
        <v>1</v>
      </c>
      <c r="G2260" s="2">
        <f>AVERAGEIFS([3]!players[gold_per_min], [3]!players[name],A2260,[3]!players[hero_name],B2260)</f>
        <v>620</v>
      </c>
      <c r="H2260" s="2">
        <f>AVERAGEIFS([3]!players[xp_per_min], [3]!players[name],A2260,[3]!players[hero_name],B2260)</f>
        <v>633.5</v>
      </c>
    </row>
    <row r="2261" spans="1:8" x14ac:dyDescent="0.3">
      <c r="A2261" t="str">
        <v>YSR-04E</v>
      </c>
      <c r="B2261" t="str">
        <v>Clinkz</v>
      </c>
      <c r="C2261" t="str" cm="1">
        <f t="array" ref="C2261">_xlfn.XLOOKUP(1,([3]!players[name]=A2261)*([3]!players[hero_name]=B2261),[3]!players[lane_name])</f>
        <v>Carry</v>
      </c>
      <c r="D2261">
        <f>COUNTIFS([3]!players[name],A2261,[3]!players[hero_name],B2261)</f>
        <v>3</v>
      </c>
      <c r="E2261">
        <f>COUNTIFS([3]!players[name],A2261,[3]!players[hero_name],B2261, [3]!players[win], 1)</f>
        <v>2</v>
      </c>
      <c r="F2261" s="1">
        <f t="shared" si="35"/>
        <v>0.66666666666666663</v>
      </c>
      <c r="G2261" s="2">
        <f>AVERAGEIFS([3]!players[gold_per_min], [3]!players[name],A2261,[3]!players[hero_name],B2261)</f>
        <v>713.66666666666663</v>
      </c>
      <c r="H2261" s="2">
        <f>AVERAGEIFS([3]!players[xp_per_min], [3]!players[name],A2261,[3]!players[hero_name],B2261)</f>
        <v>753.66666666666663</v>
      </c>
    </row>
    <row r="2262" spans="1:8" x14ac:dyDescent="0.3">
      <c r="A2262" t="str">
        <v>YSR-04E</v>
      </c>
      <c r="B2262" t="str">
        <v>Monkey King</v>
      </c>
      <c r="C2262" t="str" cm="1">
        <f t="array" ref="C2262">_xlfn.XLOOKUP(1,([3]!players[name]=A2262)*([3]!players[hero_name]=B2262),[3]!players[lane_name])</f>
        <v>Carry</v>
      </c>
      <c r="D2262">
        <f>COUNTIFS([3]!players[name],A2262,[3]!players[hero_name],B2262)</f>
        <v>2</v>
      </c>
      <c r="E2262">
        <f>COUNTIFS([3]!players[name],A2262,[3]!players[hero_name],B2262, [3]!players[win], 1)</f>
        <v>0</v>
      </c>
      <c r="F2262" s="1">
        <f t="shared" si="35"/>
        <v>0</v>
      </c>
      <c r="G2262" s="2">
        <f>AVERAGEIFS([3]!players[gold_per_min], [3]!players[name],A2262,[3]!players[hero_name],B2262)</f>
        <v>558.5</v>
      </c>
      <c r="H2262" s="2">
        <f>AVERAGEIFS([3]!players[xp_per_min], [3]!players[name],A2262,[3]!players[hero_name],B2262)</f>
        <v>681.5</v>
      </c>
    </row>
    <row r="2263" spans="1:8" x14ac:dyDescent="0.3">
      <c r="A2263" t="str">
        <v>YSR-04E</v>
      </c>
      <c r="B2263" t="str">
        <v>Drow Ranger</v>
      </c>
      <c r="C2263" t="str" cm="1">
        <f t="array" ref="C2263">_xlfn.XLOOKUP(1,([3]!players[name]=A2263)*([3]!players[hero_name]=B2263),[3]!players[lane_name])</f>
        <v>Carry</v>
      </c>
      <c r="D2263">
        <f>COUNTIFS([3]!players[name],A2263,[3]!players[hero_name],B2263)</f>
        <v>1</v>
      </c>
      <c r="E2263">
        <f>COUNTIFS([3]!players[name],A2263,[3]!players[hero_name],B2263, [3]!players[win], 1)</f>
        <v>0</v>
      </c>
      <c r="F2263" s="1">
        <f t="shared" si="35"/>
        <v>0</v>
      </c>
      <c r="G2263" s="2">
        <f>AVERAGEIFS([3]!players[gold_per_min], [3]!players[name],A2263,[3]!players[hero_name],B2263)</f>
        <v>673</v>
      </c>
      <c r="H2263" s="2">
        <f>AVERAGEIFS([3]!players[xp_per_min], [3]!players[name],A2263,[3]!players[hero_name],B2263)</f>
        <v>781</v>
      </c>
    </row>
    <row r="2264" spans="1:8" x14ac:dyDescent="0.3">
      <c r="A2264" t="str">
        <v>YSR-04E</v>
      </c>
      <c r="B2264" t="str">
        <v>Tiny</v>
      </c>
      <c r="C2264" t="str" cm="1">
        <f t="array" ref="C2264">_xlfn.XLOOKUP(1,([3]!players[name]=A2264)*([3]!players[hero_name]=B2264),[3]!players[lane_name])</f>
        <v>Carry</v>
      </c>
      <c r="D2264">
        <f>COUNTIFS([3]!players[name],A2264,[3]!players[hero_name],B2264)</f>
        <v>1</v>
      </c>
      <c r="E2264">
        <f>COUNTIFS([3]!players[name],A2264,[3]!players[hero_name],B2264, [3]!players[win], 1)</f>
        <v>1</v>
      </c>
      <c r="F2264" s="1">
        <f t="shared" si="35"/>
        <v>1</v>
      </c>
      <c r="G2264" s="2">
        <f>AVERAGEIFS([3]!players[gold_per_min], [3]!players[name],A2264,[3]!players[hero_name],B2264)</f>
        <v>746</v>
      </c>
      <c r="H2264" s="2">
        <f>AVERAGEIFS([3]!players[xp_per_min], [3]!players[name],A2264,[3]!players[hero_name],B2264)</f>
        <v>780</v>
      </c>
    </row>
    <row r="2265" spans="1:8" x14ac:dyDescent="0.3">
      <c r="A2265" t="str">
        <v>YSR-04E</v>
      </c>
      <c r="B2265" t="str">
        <v>Kez</v>
      </c>
      <c r="C2265" t="str" cm="1">
        <f t="array" ref="C2265">_xlfn.XLOOKUP(1,([3]!players[name]=A2265)*([3]!players[hero_name]=B2265),[3]!players[lane_name])</f>
        <v>Carry</v>
      </c>
      <c r="D2265">
        <f>COUNTIFS([3]!players[name],A2265,[3]!players[hero_name],B2265)</f>
        <v>1</v>
      </c>
      <c r="E2265">
        <f>COUNTIFS([3]!players[name],A2265,[3]!players[hero_name],B2265, [3]!players[win], 1)</f>
        <v>1</v>
      </c>
      <c r="F2265" s="1">
        <f t="shared" si="35"/>
        <v>1</v>
      </c>
      <c r="G2265" s="2">
        <f>AVERAGEIFS([3]!players[gold_per_min], [3]!players[name],A2265,[3]!players[hero_name],B2265)</f>
        <v>748</v>
      </c>
      <c r="H2265" s="2">
        <f>AVERAGEIFS([3]!players[xp_per_min], [3]!players[name],A2265,[3]!players[hero_name],B2265)</f>
        <v>857</v>
      </c>
    </row>
    <row r="2266" spans="1:8" x14ac:dyDescent="0.3">
      <c r="A2266" t="str">
        <v>Yuma</v>
      </c>
      <c r="B2266" t="str">
        <v>Muerta</v>
      </c>
      <c r="C2266" t="str" cm="1">
        <f t="array" ref="C2266">_xlfn.XLOOKUP(1,([3]!players[name]=A2266)*([3]!players[hero_name]=B2266),[3]!players[lane_name])</f>
        <v>Carry</v>
      </c>
      <c r="D2266">
        <f>COUNTIFS([3]!players[name],A2266,[3]!players[hero_name],B2266)</f>
        <v>2</v>
      </c>
      <c r="E2266">
        <f>COUNTIFS([3]!players[name],A2266,[3]!players[hero_name],B2266, [3]!players[win], 1)</f>
        <v>0</v>
      </c>
      <c r="F2266" s="1">
        <f t="shared" si="35"/>
        <v>0</v>
      </c>
      <c r="G2266" s="2">
        <f>AVERAGEIFS([3]!players[gold_per_min], [3]!players[name],A2266,[3]!players[hero_name],B2266)</f>
        <v>557.5</v>
      </c>
      <c r="H2266" s="2">
        <f>AVERAGEIFS([3]!players[xp_per_min], [3]!players[name],A2266,[3]!players[hero_name],B2266)</f>
        <v>662</v>
      </c>
    </row>
    <row r="2267" spans="1:8" x14ac:dyDescent="0.3">
      <c r="A2267" t="str">
        <v>Yuma</v>
      </c>
      <c r="B2267" t="str">
        <v>Medusa</v>
      </c>
      <c r="C2267" t="str" cm="1">
        <f t="array" ref="C2267">_xlfn.XLOOKUP(1,([3]!players[name]=A2267)*([3]!players[hero_name]=B2267),[3]!players[lane_name])</f>
        <v>Carry</v>
      </c>
      <c r="D2267">
        <f>COUNTIFS([3]!players[name],A2267,[3]!players[hero_name],B2267)</f>
        <v>1</v>
      </c>
      <c r="E2267">
        <f>COUNTIFS([3]!players[name],A2267,[3]!players[hero_name],B2267, [3]!players[win], 1)</f>
        <v>0</v>
      </c>
      <c r="F2267" s="1">
        <f t="shared" si="35"/>
        <v>0</v>
      </c>
      <c r="G2267" s="2">
        <f>AVERAGEIFS([3]!players[gold_per_min], [3]!players[name],A2267,[3]!players[hero_name],B2267)</f>
        <v>701</v>
      </c>
      <c r="H2267" s="2">
        <f>AVERAGEIFS([3]!players[xp_per_min], [3]!players[name],A2267,[3]!players[hero_name],B2267)</f>
        <v>780</v>
      </c>
    </row>
    <row r="2268" spans="1:8" x14ac:dyDescent="0.3">
      <c r="A2268" t="str">
        <v>Yuma</v>
      </c>
      <c r="B2268" t="str">
        <v>Faceless Void</v>
      </c>
      <c r="C2268" t="str" cm="1">
        <f t="array" ref="C2268">_xlfn.XLOOKUP(1,([3]!players[name]=A2268)*([3]!players[hero_name]=B2268),[3]!players[lane_name])</f>
        <v>Carry</v>
      </c>
      <c r="D2268">
        <f>COUNTIFS([3]!players[name],A2268,[3]!players[hero_name],B2268)</f>
        <v>1</v>
      </c>
      <c r="E2268">
        <f>COUNTIFS([3]!players[name],A2268,[3]!players[hero_name],B2268, [3]!players[win], 1)</f>
        <v>0</v>
      </c>
      <c r="F2268" s="1">
        <f t="shared" si="35"/>
        <v>0</v>
      </c>
      <c r="G2268" s="2">
        <f>AVERAGEIFS([3]!players[gold_per_min], [3]!players[name],A2268,[3]!players[hero_name],B2268)</f>
        <v>463</v>
      </c>
      <c r="H2268" s="2">
        <f>AVERAGEIFS([3]!players[xp_per_min], [3]!players[name],A2268,[3]!players[hero_name],B2268)</f>
        <v>616</v>
      </c>
    </row>
    <row r="2269" spans="1:8" x14ac:dyDescent="0.3">
      <c r="A2269" t="str">
        <v>Yuma</v>
      </c>
      <c r="B2269" t="str">
        <v>Luna</v>
      </c>
      <c r="C2269" t="str" cm="1">
        <f t="array" ref="C2269">_xlfn.XLOOKUP(1,([3]!players[name]=A2269)*([3]!players[hero_name]=B2269),[3]!players[lane_name])</f>
        <v>Carry</v>
      </c>
      <c r="D2269">
        <f>COUNTIFS([3]!players[name],A2269,[3]!players[hero_name],B2269)</f>
        <v>3</v>
      </c>
      <c r="E2269">
        <f>COUNTIFS([3]!players[name],A2269,[3]!players[hero_name],B2269, [3]!players[win], 1)</f>
        <v>1</v>
      </c>
      <c r="F2269" s="1">
        <f t="shared" si="35"/>
        <v>0.33333333333333331</v>
      </c>
      <c r="G2269" s="2">
        <f>AVERAGEIFS([3]!players[gold_per_min], [3]!players[name],A2269,[3]!players[hero_name],B2269)</f>
        <v>694.33333333333337</v>
      </c>
      <c r="H2269" s="2">
        <f>AVERAGEIFS([3]!players[xp_per_min], [3]!players[name],A2269,[3]!players[hero_name],B2269)</f>
        <v>703.33333333333337</v>
      </c>
    </row>
    <row r="2270" spans="1:8" x14ac:dyDescent="0.3">
      <c r="A2270" t="str">
        <v>Yuma</v>
      </c>
      <c r="B2270" t="str">
        <v>Monkey King</v>
      </c>
      <c r="C2270" t="str" cm="1">
        <f t="array" ref="C2270">_xlfn.XLOOKUP(1,([3]!players[name]=A2270)*([3]!players[hero_name]=B2270),[3]!players[lane_name])</f>
        <v>Carry</v>
      </c>
      <c r="D2270">
        <f>COUNTIFS([3]!players[name],A2270,[3]!players[hero_name],B2270)</f>
        <v>4</v>
      </c>
      <c r="E2270">
        <f>COUNTIFS([3]!players[name],A2270,[3]!players[hero_name],B2270, [3]!players[win], 1)</f>
        <v>1</v>
      </c>
      <c r="F2270" s="1">
        <f t="shared" si="35"/>
        <v>0.25</v>
      </c>
      <c r="G2270" s="2">
        <f>AVERAGEIFS([3]!players[gold_per_min], [3]!players[name],A2270,[3]!players[hero_name],B2270)</f>
        <v>570.25</v>
      </c>
      <c r="H2270" s="2">
        <f>AVERAGEIFS([3]!players[xp_per_min], [3]!players[name],A2270,[3]!players[hero_name],B2270)</f>
        <v>762.5</v>
      </c>
    </row>
    <row r="2271" spans="1:8" x14ac:dyDescent="0.3">
      <c r="A2271" t="str">
        <v>Yuma</v>
      </c>
      <c r="B2271" t="str">
        <v>Vengeful Spirit</v>
      </c>
      <c r="C2271" t="str" cm="1">
        <f t="array" ref="C2271">_xlfn.XLOOKUP(1,([3]!players[name]=A2271)*([3]!players[hero_name]=B2271),[3]!players[lane_name])</f>
        <v>Carry</v>
      </c>
      <c r="D2271">
        <f>COUNTIFS([3]!players[name],A2271,[3]!players[hero_name],B2271)</f>
        <v>1</v>
      </c>
      <c r="E2271">
        <f>COUNTIFS([3]!players[name],A2271,[3]!players[hero_name],B2271, [3]!players[win], 1)</f>
        <v>1</v>
      </c>
      <c r="F2271" s="1">
        <f t="shared" si="35"/>
        <v>1</v>
      </c>
      <c r="G2271" s="2">
        <f>AVERAGEIFS([3]!players[gold_per_min], [3]!players[name],A2271,[3]!players[hero_name],B2271)</f>
        <v>531</v>
      </c>
      <c r="H2271" s="2">
        <f>AVERAGEIFS([3]!players[xp_per_min], [3]!players[name],A2271,[3]!players[hero_name],B2271)</f>
        <v>614</v>
      </c>
    </row>
    <row r="2272" spans="1:8" x14ac:dyDescent="0.3">
      <c r="A2272" t="str">
        <v>Yuma</v>
      </c>
      <c r="B2272" t="str">
        <v>Alchemist</v>
      </c>
      <c r="C2272" t="str" cm="1">
        <f t="array" ref="C2272">_xlfn.XLOOKUP(1,([3]!players[name]=A2272)*([3]!players[hero_name]=B2272),[3]!players[lane_name])</f>
        <v>Carry</v>
      </c>
      <c r="D2272">
        <f>COUNTIFS([3]!players[name],A2272,[3]!players[hero_name],B2272)</f>
        <v>4</v>
      </c>
      <c r="E2272">
        <f>COUNTIFS([3]!players[name],A2272,[3]!players[hero_name],B2272, [3]!players[win], 1)</f>
        <v>3</v>
      </c>
      <c r="F2272" s="1">
        <f t="shared" si="35"/>
        <v>0.75</v>
      </c>
      <c r="G2272" s="2">
        <f>AVERAGEIFS([3]!players[gold_per_min], [3]!players[name],A2272,[3]!players[hero_name],B2272)</f>
        <v>895.25</v>
      </c>
      <c r="H2272" s="2">
        <f>AVERAGEIFS([3]!players[xp_per_min], [3]!players[name],A2272,[3]!players[hero_name],B2272)</f>
        <v>907.5</v>
      </c>
    </row>
    <row r="2273" spans="1:8" x14ac:dyDescent="0.3">
      <c r="A2273" t="str">
        <v>Yuma</v>
      </c>
      <c r="B2273" t="str">
        <v>Queen of Pain</v>
      </c>
      <c r="C2273" t="str" cm="1">
        <f t="array" ref="C2273">_xlfn.XLOOKUP(1,([3]!players[name]=A2273)*([3]!players[hero_name]=B2273),[3]!players[lane_name])</f>
        <v>Carry</v>
      </c>
      <c r="D2273">
        <f>COUNTIFS([3]!players[name],A2273,[3]!players[hero_name],B2273)</f>
        <v>1</v>
      </c>
      <c r="E2273">
        <f>COUNTIFS([3]!players[name],A2273,[3]!players[hero_name],B2273, [3]!players[win], 1)</f>
        <v>0</v>
      </c>
      <c r="F2273" s="1">
        <f t="shared" si="35"/>
        <v>0</v>
      </c>
      <c r="G2273" s="2">
        <f>AVERAGEIFS([3]!players[gold_per_min], [3]!players[name],A2273,[3]!players[hero_name],B2273)</f>
        <v>446</v>
      </c>
      <c r="H2273" s="2">
        <f>AVERAGEIFS([3]!players[xp_per_min], [3]!players[name],A2273,[3]!players[hero_name],B2273)</f>
        <v>538</v>
      </c>
    </row>
    <row r="2274" spans="1:8" x14ac:dyDescent="0.3">
      <c r="A2274" t="str">
        <v>Yuma</v>
      </c>
      <c r="B2274" t="str">
        <v>Meepo</v>
      </c>
      <c r="C2274" t="str" cm="1">
        <f t="array" ref="C2274">_xlfn.XLOOKUP(1,([3]!players[name]=A2274)*([3]!players[hero_name]=B2274),[3]!players[lane_name])</f>
        <v>Carry</v>
      </c>
      <c r="D2274">
        <f>COUNTIFS([3]!players[name],A2274,[3]!players[hero_name],B2274)</f>
        <v>4</v>
      </c>
      <c r="E2274">
        <f>COUNTIFS([3]!players[name],A2274,[3]!players[hero_name],B2274, [3]!players[win], 1)</f>
        <v>2</v>
      </c>
      <c r="F2274" s="1">
        <f t="shared" si="35"/>
        <v>0.5</v>
      </c>
      <c r="G2274" s="2">
        <f>AVERAGEIFS([3]!players[gold_per_min], [3]!players[name],A2274,[3]!players[hero_name],B2274)</f>
        <v>671.25</v>
      </c>
      <c r="H2274" s="2">
        <f>AVERAGEIFS([3]!players[xp_per_min], [3]!players[name],A2274,[3]!players[hero_name],B2274)</f>
        <v>743</v>
      </c>
    </row>
    <row r="2275" spans="1:8" x14ac:dyDescent="0.3">
      <c r="A2275" t="str">
        <v>Yuma</v>
      </c>
      <c r="B2275" t="str">
        <v>Terrorblade</v>
      </c>
      <c r="C2275" t="str" cm="1">
        <f t="array" ref="C2275">_xlfn.XLOOKUP(1,([3]!players[name]=A2275)*([3]!players[hero_name]=B2275),[3]!players[lane_name])</f>
        <v>Carry</v>
      </c>
      <c r="D2275">
        <f>COUNTIFS([3]!players[name],A2275,[3]!players[hero_name],B2275)</f>
        <v>1</v>
      </c>
      <c r="E2275">
        <f>COUNTIFS([3]!players[name],A2275,[3]!players[hero_name],B2275, [3]!players[win], 1)</f>
        <v>1</v>
      </c>
      <c r="F2275" s="1">
        <f t="shared" si="35"/>
        <v>1</v>
      </c>
      <c r="G2275" s="2">
        <f>AVERAGEIFS([3]!players[gold_per_min], [3]!players[name],A2275,[3]!players[hero_name],B2275)</f>
        <v>851</v>
      </c>
      <c r="H2275" s="2">
        <f>AVERAGEIFS([3]!players[xp_per_min], [3]!players[name],A2275,[3]!players[hero_name],B2275)</f>
        <v>664</v>
      </c>
    </row>
    <row r="2276" spans="1:8" x14ac:dyDescent="0.3">
      <c r="A2276" t="str">
        <v>Yuma</v>
      </c>
      <c r="B2276" t="str">
        <v>Tiny</v>
      </c>
      <c r="C2276" t="str" cm="1">
        <f t="array" ref="C2276">_xlfn.XLOOKUP(1,([3]!players[name]=A2276)*([3]!players[hero_name]=B2276),[3]!players[lane_name])</f>
        <v>Carry</v>
      </c>
      <c r="D2276">
        <f>COUNTIFS([3]!players[name],A2276,[3]!players[hero_name],B2276)</f>
        <v>5</v>
      </c>
      <c r="E2276">
        <f>COUNTIFS([3]!players[name],A2276,[3]!players[hero_name],B2276, [3]!players[win], 1)</f>
        <v>4</v>
      </c>
      <c r="F2276" s="1">
        <f t="shared" si="35"/>
        <v>0.8</v>
      </c>
      <c r="G2276" s="2">
        <f>AVERAGEIFS([3]!players[gold_per_min], [3]!players[name],A2276,[3]!players[hero_name],B2276)</f>
        <v>645.79999999999995</v>
      </c>
      <c r="H2276" s="2">
        <f>AVERAGEIFS([3]!players[xp_per_min], [3]!players[name],A2276,[3]!players[hero_name],B2276)</f>
        <v>804</v>
      </c>
    </row>
    <row r="2277" spans="1:8" x14ac:dyDescent="0.3">
      <c r="A2277" t="str">
        <v>Yuma</v>
      </c>
      <c r="B2277" t="str">
        <v>Gyrocopter</v>
      </c>
      <c r="C2277" t="str" cm="1">
        <f t="array" ref="C2277">_xlfn.XLOOKUP(1,([3]!players[name]=A2277)*([3]!players[hero_name]=B2277),[3]!players[lane_name])</f>
        <v>Carry</v>
      </c>
      <c r="D2277">
        <f>COUNTIFS([3]!players[name],A2277,[3]!players[hero_name],B2277)</f>
        <v>1</v>
      </c>
      <c r="E2277">
        <f>COUNTIFS([3]!players[name],A2277,[3]!players[hero_name],B2277, [3]!players[win], 1)</f>
        <v>0</v>
      </c>
      <c r="F2277" s="1">
        <f t="shared" si="35"/>
        <v>0</v>
      </c>
      <c r="G2277" s="2">
        <f>AVERAGEIFS([3]!players[gold_per_min], [3]!players[name],A2277,[3]!players[hero_name],B2277)</f>
        <v>703</v>
      </c>
      <c r="H2277" s="2">
        <f>AVERAGEIFS([3]!players[xp_per_min], [3]!players[name],A2277,[3]!players[hero_name],B2277)</f>
        <v>886</v>
      </c>
    </row>
    <row r="2278" spans="1:8" x14ac:dyDescent="0.3">
      <c r="A2278" t="str">
        <v>Yuma</v>
      </c>
      <c r="B2278" t="str">
        <v>Lifestealer</v>
      </c>
      <c r="C2278" t="str" cm="1">
        <f t="array" ref="C2278">_xlfn.XLOOKUP(1,([3]!players[name]=A2278)*([3]!players[hero_name]=B2278),[3]!players[lane_name])</f>
        <v>Carry</v>
      </c>
      <c r="D2278">
        <f>COUNTIFS([3]!players[name],A2278,[3]!players[hero_name],B2278)</f>
        <v>3</v>
      </c>
      <c r="E2278">
        <f>COUNTIFS([3]!players[name],A2278,[3]!players[hero_name],B2278, [3]!players[win], 1)</f>
        <v>2</v>
      </c>
      <c r="F2278" s="1">
        <f t="shared" si="35"/>
        <v>0.66666666666666663</v>
      </c>
      <c r="G2278" s="2">
        <f>AVERAGEIFS([3]!players[gold_per_min], [3]!players[name],A2278,[3]!players[hero_name],B2278)</f>
        <v>667.66666666666663</v>
      </c>
      <c r="H2278" s="2">
        <f>AVERAGEIFS([3]!players[xp_per_min], [3]!players[name],A2278,[3]!players[hero_name],B2278)</f>
        <v>874.33333333333337</v>
      </c>
    </row>
    <row r="2279" spans="1:8" x14ac:dyDescent="0.3">
      <c r="A2279" t="str">
        <v>Yuma</v>
      </c>
      <c r="B2279" t="str">
        <v>Weaver</v>
      </c>
      <c r="C2279" t="str" cm="1">
        <f t="array" ref="C2279">_xlfn.XLOOKUP(1,([3]!players[name]=A2279)*([3]!players[hero_name]=B2279),[3]!players[lane_name])</f>
        <v>Carry</v>
      </c>
      <c r="D2279">
        <f>COUNTIFS([3]!players[name],A2279,[3]!players[hero_name],B2279)</f>
        <v>1</v>
      </c>
      <c r="E2279">
        <f>COUNTIFS([3]!players[name],A2279,[3]!players[hero_name],B2279, [3]!players[win], 1)</f>
        <v>0</v>
      </c>
      <c r="F2279" s="1">
        <f t="shared" si="35"/>
        <v>0</v>
      </c>
      <c r="G2279" s="2">
        <f>AVERAGEIFS([3]!players[gold_per_min], [3]!players[name],A2279,[3]!players[hero_name],B2279)</f>
        <v>590</v>
      </c>
      <c r="H2279" s="2">
        <f>AVERAGEIFS([3]!players[xp_per_min], [3]!players[name],A2279,[3]!players[hero_name],B2279)</f>
        <v>849</v>
      </c>
    </row>
    <row r="2280" spans="1:8" x14ac:dyDescent="0.3">
      <c r="A2280" t="str">
        <v>Yuma</v>
      </c>
      <c r="B2280" t="str">
        <v>Bloodseeker</v>
      </c>
      <c r="C2280" t="str" cm="1">
        <f t="array" ref="C2280">_xlfn.XLOOKUP(1,([3]!players[name]=A2280)*([3]!players[hero_name]=B2280),[3]!players[lane_name])</f>
        <v>Carry</v>
      </c>
      <c r="D2280">
        <f>COUNTIFS([3]!players[name],A2280,[3]!players[hero_name],B2280)</f>
        <v>1</v>
      </c>
      <c r="E2280">
        <f>COUNTIFS([3]!players[name],A2280,[3]!players[hero_name],B2280, [3]!players[win], 1)</f>
        <v>1</v>
      </c>
      <c r="F2280" s="1">
        <f t="shared" si="35"/>
        <v>1</v>
      </c>
      <c r="G2280" s="2">
        <f>AVERAGEIFS([3]!players[gold_per_min], [3]!players[name],A2280,[3]!players[hero_name],B2280)</f>
        <v>770</v>
      </c>
      <c r="H2280" s="2">
        <f>AVERAGEIFS([3]!players[xp_per_min], [3]!players[name],A2280,[3]!players[hero_name],B2280)</f>
        <v>989</v>
      </c>
    </row>
    <row r="2281" spans="1:8" x14ac:dyDescent="0.3">
      <c r="A2281" t="str">
        <v>Yume-</v>
      </c>
      <c r="B2281" t="str">
        <v>Batrider</v>
      </c>
      <c r="C2281" t="str" cm="1">
        <f t="array" ref="C2281">_xlfn.XLOOKUP(1,([3]!players[name]=A2281)*([3]!players[hero_name]=B2281),[3]!players[lane_name])</f>
        <v>Hard Support</v>
      </c>
      <c r="D2281">
        <f>COUNTIFS([3]!players[name],A2281,[3]!players[hero_name],B2281)</f>
        <v>1</v>
      </c>
      <c r="E2281">
        <f>COUNTIFS([3]!players[name],A2281,[3]!players[hero_name],B2281, [3]!players[win], 1)</f>
        <v>1</v>
      </c>
      <c r="F2281" s="1">
        <f t="shared" si="35"/>
        <v>1</v>
      </c>
      <c r="G2281" s="2">
        <f>AVERAGEIFS([3]!players[gold_per_min], [3]!players[name],A2281,[3]!players[hero_name],B2281)</f>
        <v>414</v>
      </c>
      <c r="H2281" s="2">
        <f>AVERAGEIFS([3]!players[xp_per_min], [3]!players[name],A2281,[3]!players[hero_name],B2281)</f>
        <v>806</v>
      </c>
    </row>
    <row r="2282" spans="1:8" x14ac:dyDescent="0.3">
      <c r="A2282" t="str">
        <v>Yume-</v>
      </c>
      <c r="B2282" t="str">
        <v>Phoenix</v>
      </c>
      <c r="C2282" t="str" cm="1">
        <f t="array" ref="C2282">_xlfn.XLOOKUP(1,([3]!players[name]=A2282)*([3]!players[hero_name]=B2282),[3]!players[lane_name])</f>
        <v>Roam</v>
      </c>
      <c r="D2282">
        <f>COUNTIFS([3]!players[name],A2282,[3]!players[hero_name],B2282)</f>
        <v>1</v>
      </c>
      <c r="E2282">
        <f>COUNTIFS([3]!players[name],A2282,[3]!players[hero_name],B2282, [3]!players[win], 1)</f>
        <v>1</v>
      </c>
      <c r="F2282" s="1">
        <f t="shared" si="35"/>
        <v>1</v>
      </c>
      <c r="G2282" s="2">
        <f>AVERAGEIFS([3]!players[gold_per_min], [3]!players[name],A2282,[3]!players[hero_name],B2282)</f>
        <v>202</v>
      </c>
      <c r="H2282" s="2">
        <f>AVERAGEIFS([3]!players[xp_per_min], [3]!players[name],A2282,[3]!players[hero_name],B2282)</f>
        <v>290</v>
      </c>
    </row>
    <row r="2283" spans="1:8" x14ac:dyDescent="0.3">
      <c r="A2283" t="str">
        <v>Yumeyume-</v>
      </c>
      <c r="B2283" t="str">
        <v>Slark</v>
      </c>
      <c r="C2283" t="str" cm="1">
        <f t="array" ref="C2283">_xlfn.XLOOKUP(1,([3]!players[name]=A2283)*([3]!players[hero_name]=B2283),[3]!players[lane_name])</f>
        <v>Carry</v>
      </c>
      <c r="D2283">
        <f>COUNTIFS([3]!players[name],A2283,[3]!players[hero_name],B2283)</f>
        <v>3</v>
      </c>
      <c r="E2283">
        <f>COUNTIFS([3]!players[name],A2283,[3]!players[hero_name],B2283, [3]!players[win], 1)</f>
        <v>1</v>
      </c>
      <c r="F2283" s="1">
        <f t="shared" si="35"/>
        <v>0.33333333333333331</v>
      </c>
      <c r="G2283" s="2">
        <f>AVERAGEIFS([3]!players[gold_per_min], [3]!players[name],A2283,[3]!players[hero_name],B2283)</f>
        <v>512.66666666666663</v>
      </c>
      <c r="H2283" s="2">
        <f>AVERAGEIFS([3]!players[xp_per_min], [3]!players[name],A2283,[3]!players[hero_name],B2283)</f>
        <v>619.66666666666663</v>
      </c>
    </row>
    <row r="2284" spans="1:8" x14ac:dyDescent="0.3">
      <c r="A2284" t="str">
        <v>Yumeyume-</v>
      </c>
      <c r="B2284" t="str">
        <v>Luna</v>
      </c>
      <c r="C2284" t="str" cm="1">
        <f t="array" ref="C2284">_xlfn.XLOOKUP(1,([3]!players[name]=A2284)*([3]!players[hero_name]=B2284),[3]!players[lane_name])</f>
        <v>Carry</v>
      </c>
      <c r="D2284">
        <f>COUNTIFS([3]!players[name],A2284,[3]!players[hero_name],B2284)</f>
        <v>2</v>
      </c>
      <c r="E2284">
        <f>COUNTIFS([3]!players[name],A2284,[3]!players[hero_name],B2284, [3]!players[win], 1)</f>
        <v>0</v>
      </c>
      <c r="F2284" s="1">
        <f t="shared" si="35"/>
        <v>0</v>
      </c>
      <c r="G2284" s="2">
        <f>AVERAGEIFS([3]!players[gold_per_min], [3]!players[name],A2284,[3]!players[hero_name],B2284)</f>
        <v>521.5</v>
      </c>
      <c r="H2284" s="2">
        <f>AVERAGEIFS([3]!players[xp_per_min], [3]!players[name],A2284,[3]!players[hero_name],B2284)</f>
        <v>635</v>
      </c>
    </row>
    <row r="2285" spans="1:8" x14ac:dyDescent="0.3">
      <c r="A2285" t="str">
        <v>Yumeyume-</v>
      </c>
      <c r="B2285" t="str">
        <v>Faceless Void</v>
      </c>
      <c r="C2285" t="str" cm="1">
        <f t="array" ref="C2285">_xlfn.XLOOKUP(1,([3]!players[name]=A2285)*([3]!players[hero_name]=B2285),[3]!players[lane_name])</f>
        <v>Carry</v>
      </c>
      <c r="D2285">
        <f>COUNTIFS([3]!players[name],A2285,[3]!players[hero_name],B2285)</f>
        <v>1</v>
      </c>
      <c r="E2285">
        <f>COUNTIFS([3]!players[name],A2285,[3]!players[hero_name],B2285, [3]!players[win], 1)</f>
        <v>1</v>
      </c>
      <c r="F2285" s="1">
        <f t="shared" si="35"/>
        <v>1</v>
      </c>
      <c r="G2285" s="2">
        <f>AVERAGEIFS([3]!players[gold_per_min], [3]!players[name],A2285,[3]!players[hero_name],B2285)</f>
        <v>629</v>
      </c>
      <c r="H2285" s="2">
        <f>AVERAGEIFS([3]!players[xp_per_min], [3]!players[name],A2285,[3]!players[hero_name],B2285)</f>
        <v>910</v>
      </c>
    </row>
    <row r="2286" spans="1:8" x14ac:dyDescent="0.3">
      <c r="A2286" t="str">
        <v>Yumeyume-</v>
      </c>
      <c r="B2286" t="str">
        <v>Doom</v>
      </c>
      <c r="C2286" t="str" cm="1">
        <f t="array" ref="C2286">_xlfn.XLOOKUP(1,([3]!players[name]=A2286)*([3]!players[hero_name]=B2286),[3]!players[lane_name])</f>
        <v>Carry</v>
      </c>
      <c r="D2286">
        <f>COUNTIFS([3]!players[name],A2286,[3]!players[hero_name],B2286)</f>
        <v>1</v>
      </c>
      <c r="E2286">
        <f>COUNTIFS([3]!players[name],A2286,[3]!players[hero_name],B2286, [3]!players[win], 1)</f>
        <v>0</v>
      </c>
      <c r="F2286" s="1">
        <f t="shared" si="35"/>
        <v>0</v>
      </c>
      <c r="G2286" s="2">
        <f>AVERAGEIFS([3]!players[gold_per_min], [3]!players[name],A2286,[3]!players[hero_name],B2286)</f>
        <v>581</v>
      </c>
      <c r="H2286" s="2">
        <f>AVERAGEIFS([3]!players[xp_per_min], [3]!players[name],A2286,[3]!players[hero_name],B2286)</f>
        <v>601</v>
      </c>
    </row>
    <row r="2287" spans="1:8" x14ac:dyDescent="0.3">
      <c r="A2287" t="str">
        <v>Yumeyume-</v>
      </c>
      <c r="B2287" t="str">
        <v>Muerta</v>
      </c>
      <c r="C2287" t="str" cm="1">
        <f t="array" ref="C2287">_xlfn.XLOOKUP(1,([3]!players[name]=A2287)*([3]!players[hero_name]=B2287),[3]!players[lane_name])</f>
        <v>Carry</v>
      </c>
      <c r="D2287">
        <f>COUNTIFS([3]!players[name],A2287,[3]!players[hero_name],B2287)</f>
        <v>3</v>
      </c>
      <c r="E2287">
        <f>COUNTIFS([3]!players[name],A2287,[3]!players[hero_name],B2287, [3]!players[win], 1)</f>
        <v>2</v>
      </c>
      <c r="F2287" s="1">
        <f t="shared" si="35"/>
        <v>0.66666666666666663</v>
      </c>
      <c r="G2287" s="2">
        <f>AVERAGEIFS([3]!players[gold_per_min], [3]!players[name],A2287,[3]!players[hero_name],B2287)</f>
        <v>653</v>
      </c>
      <c r="H2287" s="2">
        <f>AVERAGEIFS([3]!players[xp_per_min], [3]!players[name],A2287,[3]!players[hero_name],B2287)</f>
        <v>666</v>
      </c>
    </row>
    <row r="2288" spans="1:8" x14ac:dyDescent="0.3">
      <c r="A2288" t="str">
        <v>Yumeyume-</v>
      </c>
      <c r="B2288" t="str">
        <v>Queen of Pain</v>
      </c>
      <c r="C2288" t="str" cm="1">
        <f t="array" ref="C2288">_xlfn.XLOOKUP(1,([3]!players[name]=A2288)*([3]!players[hero_name]=B2288),[3]!players[lane_name])</f>
        <v>Carry</v>
      </c>
      <c r="D2288">
        <f>COUNTIFS([3]!players[name],A2288,[3]!players[hero_name],B2288)</f>
        <v>1</v>
      </c>
      <c r="E2288">
        <f>COUNTIFS([3]!players[name],A2288,[3]!players[hero_name],B2288, [3]!players[win], 1)</f>
        <v>1</v>
      </c>
      <c r="F2288" s="1">
        <f t="shared" si="35"/>
        <v>1</v>
      </c>
      <c r="G2288" s="2">
        <f>AVERAGEIFS([3]!players[gold_per_min], [3]!players[name],A2288,[3]!players[hero_name],B2288)</f>
        <v>734</v>
      </c>
      <c r="H2288" s="2">
        <f>AVERAGEIFS([3]!players[xp_per_min], [3]!players[name],A2288,[3]!players[hero_name],B2288)</f>
        <v>819</v>
      </c>
    </row>
    <row r="2289" spans="1:8" x14ac:dyDescent="0.3">
      <c r="A2289" t="str">
        <v>Yumeyume-</v>
      </c>
      <c r="B2289" t="str">
        <v>Monkey King</v>
      </c>
      <c r="C2289" t="str" cm="1">
        <f t="array" ref="C2289">_xlfn.XLOOKUP(1,([3]!players[name]=A2289)*([3]!players[hero_name]=B2289),[3]!players[lane_name])</f>
        <v>Carry</v>
      </c>
      <c r="D2289">
        <f>COUNTIFS([3]!players[name],A2289,[3]!players[hero_name],B2289)</f>
        <v>1</v>
      </c>
      <c r="E2289">
        <f>COUNTIFS([3]!players[name],A2289,[3]!players[hero_name],B2289, [3]!players[win], 1)</f>
        <v>0</v>
      </c>
      <c r="F2289" s="1">
        <f t="shared" si="35"/>
        <v>0</v>
      </c>
      <c r="G2289" s="2">
        <f>AVERAGEIFS([3]!players[gold_per_min], [3]!players[name],A2289,[3]!players[hero_name],B2289)</f>
        <v>581</v>
      </c>
      <c r="H2289" s="2">
        <f>AVERAGEIFS([3]!players[xp_per_min], [3]!players[name],A2289,[3]!players[hero_name],B2289)</f>
        <v>776</v>
      </c>
    </row>
    <row r="2290" spans="1:8" x14ac:dyDescent="0.3">
      <c r="A2290" t="str">
        <v>Yumeyume-</v>
      </c>
      <c r="B2290" t="str">
        <v>Weaver</v>
      </c>
      <c r="C2290" t="str" cm="1">
        <f t="array" ref="C2290">_xlfn.XLOOKUP(1,([3]!players[name]=A2290)*([3]!players[hero_name]=B2290),[3]!players[lane_name])</f>
        <v>Carry</v>
      </c>
      <c r="D2290">
        <f>COUNTIFS([3]!players[name],A2290,[3]!players[hero_name],B2290)</f>
        <v>2</v>
      </c>
      <c r="E2290">
        <f>COUNTIFS([3]!players[name],A2290,[3]!players[hero_name],B2290, [3]!players[win], 1)</f>
        <v>1</v>
      </c>
      <c r="F2290" s="1">
        <f t="shared" si="35"/>
        <v>0.5</v>
      </c>
      <c r="G2290" s="2">
        <f>AVERAGEIFS([3]!players[gold_per_min], [3]!players[name],A2290,[3]!players[hero_name],B2290)</f>
        <v>659</v>
      </c>
      <c r="H2290" s="2">
        <f>AVERAGEIFS([3]!players[xp_per_min], [3]!players[name],A2290,[3]!players[hero_name],B2290)</f>
        <v>703.5</v>
      </c>
    </row>
    <row r="2291" spans="1:8" x14ac:dyDescent="0.3">
      <c r="A2291" t="str">
        <v>Yumeyume-</v>
      </c>
      <c r="B2291" t="str">
        <v>Lifestealer</v>
      </c>
      <c r="C2291" t="str" cm="1">
        <f t="array" ref="C2291">_xlfn.XLOOKUP(1,([3]!players[name]=A2291)*([3]!players[hero_name]=B2291),[3]!players[lane_name])</f>
        <v>Carry</v>
      </c>
      <c r="D2291">
        <f>COUNTIFS([3]!players[name],A2291,[3]!players[hero_name],B2291)</f>
        <v>1</v>
      </c>
      <c r="E2291">
        <f>COUNTIFS([3]!players[name],A2291,[3]!players[hero_name],B2291, [3]!players[win], 1)</f>
        <v>0</v>
      </c>
      <c r="F2291" s="1">
        <f t="shared" si="35"/>
        <v>0</v>
      </c>
      <c r="G2291" s="2">
        <f>AVERAGEIFS([3]!players[gold_per_min], [3]!players[name],A2291,[3]!players[hero_name],B2291)</f>
        <v>516</v>
      </c>
      <c r="H2291" s="2">
        <f>AVERAGEIFS([3]!players[xp_per_min], [3]!players[name],A2291,[3]!players[hero_name],B2291)</f>
        <v>560</v>
      </c>
    </row>
    <row r="2292" spans="1:8" x14ac:dyDescent="0.3">
      <c r="A2292" t="str">
        <v>Yumeyume-</v>
      </c>
      <c r="B2292" t="str">
        <v>Lone Druid</v>
      </c>
      <c r="C2292" t="str" cm="1">
        <f t="array" ref="C2292">_xlfn.XLOOKUP(1,([3]!players[name]=A2292)*([3]!players[hero_name]=B2292),[3]!players[lane_name])</f>
        <v>Carry</v>
      </c>
      <c r="D2292">
        <f>COUNTIFS([3]!players[name],A2292,[3]!players[hero_name],B2292)</f>
        <v>2</v>
      </c>
      <c r="E2292">
        <f>COUNTIFS([3]!players[name],A2292,[3]!players[hero_name],B2292, [3]!players[win], 1)</f>
        <v>1</v>
      </c>
      <c r="F2292" s="1">
        <f t="shared" si="35"/>
        <v>0.5</v>
      </c>
      <c r="G2292" s="2">
        <f>AVERAGEIFS([3]!players[gold_per_min], [3]!players[name],A2292,[3]!players[hero_name],B2292)</f>
        <v>580</v>
      </c>
      <c r="H2292" s="2">
        <f>AVERAGEIFS([3]!players[xp_per_min], [3]!players[name],A2292,[3]!players[hero_name],B2292)</f>
        <v>573</v>
      </c>
    </row>
    <row r="2293" spans="1:8" x14ac:dyDescent="0.3">
      <c r="A2293" t="str">
        <v>Yumeyume-</v>
      </c>
      <c r="B2293" t="str">
        <v>Tiny</v>
      </c>
      <c r="C2293" t="str" cm="1">
        <f t="array" ref="C2293">_xlfn.XLOOKUP(1,([3]!players[name]=A2293)*([3]!players[hero_name]=B2293),[3]!players[lane_name])</f>
        <v>Carry</v>
      </c>
      <c r="D2293">
        <f>COUNTIFS([3]!players[name],A2293,[3]!players[hero_name],B2293)</f>
        <v>2</v>
      </c>
      <c r="E2293">
        <f>COUNTIFS([3]!players[name],A2293,[3]!players[hero_name],B2293, [3]!players[win], 1)</f>
        <v>2</v>
      </c>
      <c r="F2293" s="1">
        <f t="shared" si="35"/>
        <v>1</v>
      </c>
      <c r="G2293" s="2">
        <f>AVERAGEIFS([3]!players[gold_per_min], [3]!players[name],A2293,[3]!players[hero_name],B2293)</f>
        <v>650</v>
      </c>
      <c r="H2293" s="2">
        <f>AVERAGEIFS([3]!players[xp_per_min], [3]!players[name],A2293,[3]!players[hero_name],B2293)</f>
        <v>702</v>
      </c>
    </row>
    <row r="2294" spans="1:8" x14ac:dyDescent="0.3">
      <c r="A2294" t="str">
        <v>Yumeyume-</v>
      </c>
      <c r="B2294" t="str">
        <v>Bristleback</v>
      </c>
      <c r="C2294" t="str" cm="1">
        <f t="array" ref="C2294">_xlfn.XLOOKUP(1,([3]!players[name]=A2294)*([3]!players[hero_name]=B2294),[3]!players[lane_name])</f>
        <v>Carry</v>
      </c>
      <c r="D2294">
        <f>COUNTIFS([3]!players[name],A2294,[3]!players[hero_name],B2294)</f>
        <v>1</v>
      </c>
      <c r="E2294">
        <f>COUNTIFS([3]!players[name],A2294,[3]!players[hero_name],B2294, [3]!players[win], 1)</f>
        <v>1</v>
      </c>
      <c r="F2294" s="1">
        <f t="shared" si="35"/>
        <v>1</v>
      </c>
      <c r="G2294" s="2">
        <f>AVERAGEIFS([3]!players[gold_per_min], [3]!players[name],A2294,[3]!players[hero_name],B2294)</f>
        <v>753</v>
      </c>
      <c r="H2294" s="2">
        <f>AVERAGEIFS([3]!players[xp_per_min], [3]!players[name],A2294,[3]!players[hero_name],B2294)</f>
        <v>928</v>
      </c>
    </row>
    <row r="2295" spans="1:8" x14ac:dyDescent="0.3">
      <c r="A2295" t="str">
        <v>Zasa</v>
      </c>
      <c r="B2295" t="str">
        <v>Morphling</v>
      </c>
      <c r="C2295" t="str" cm="1">
        <f t="array" ref="C2295">_xlfn.XLOOKUP(1,([3]!players[name]=A2295)*([3]!players[hero_name]=B2295),[3]!players[lane_name])</f>
        <v>Carry</v>
      </c>
      <c r="D2295">
        <f>COUNTIFS([3]!players[name],A2295,[3]!players[hero_name],B2295)</f>
        <v>1</v>
      </c>
      <c r="E2295">
        <f>COUNTIFS([3]!players[name],A2295,[3]!players[hero_name],B2295, [3]!players[win], 1)</f>
        <v>1</v>
      </c>
      <c r="F2295" s="1">
        <f t="shared" si="35"/>
        <v>1</v>
      </c>
      <c r="G2295" s="2">
        <f>AVERAGEIFS([3]!players[gold_per_min], [3]!players[name],A2295,[3]!players[hero_name],B2295)</f>
        <v>700</v>
      </c>
      <c r="H2295" s="2">
        <f>AVERAGEIFS([3]!players[xp_per_min], [3]!players[name],A2295,[3]!players[hero_name],B2295)</f>
        <v>676</v>
      </c>
    </row>
    <row r="2296" spans="1:8" x14ac:dyDescent="0.3">
      <c r="A2296" t="str">
        <v>Zasa</v>
      </c>
      <c r="B2296" t="str">
        <v>Alchemist</v>
      </c>
      <c r="C2296" t="str" cm="1">
        <f t="array" ref="C2296">_xlfn.XLOOKUP(1,([3]!players[name]=A2296)*([3]!players[hero_name]=B2296),[3]!players[lane_name])</f>
        <v>Carry</v>
      </c>
      <c r="D2296">
        <f>COUNTIFS([3]!players[name],A2296,[3]!players[hero_name],B2296)</f>
        <v>1</v>
      </c>
      <c r="E2296">
        <f>COUNTIFS([3]!players[name],A2296,[3]!players[hero_name],B2296, [3]!players[win], 1)</f>
        <v>0</v>
      </c>
      <c r="F2296" s="1">
        <f t="shared" si="35"/>
        <v>0</v>
      </c>
      <c r="G2296" s="2">
        <f>AVERAGEIFS([3]!players[gold_per_min], [3]!players[name],A2296,[3]!players[hero_name],B2296)</f>
        <v>682</v>
      </c>
      <c r="H2296" s="2">
        <f>AVERAGEIFS([3]!players[xp_per_min], [3]!players[name],A2296,[3]!players[hero_name],B2296)</f>
        <v>681</v>
      </c>
    </row>
    <row r="2297" spans="1:8" x14ac:dyDescent="0.3">
      <c r="A2297" t="str">
        <v>Zasa</v>
      </c>
      <c r="B2297" t="str">
        <v>Windranger</v>
      </c>
      <c r="C2297" t="str" cm="1">
        <f t="array" ref="C2297">_xlfn.XLOOKUP(1,([3]!players[name]=A2297)*([3]!players[hero_name]=B2297),[3]!players[lane_name])</f>
        <v>Carry</v>
      </c>
      <c r="D2297">
        <f>COUNTIFS([3]!players[name],A2297,[3]!players[hero_name],B2297)</f>
        <v>2</v>
      </c>
      <c r="E2297">
        <f>COUNTIFS([3]!players[name],A2297,[3]!players[hero_name],B2297, [3]!players[win], 1)</f>
        <v>2</v>
      </c>
      <c r="F2297" s="1">
        <f t="shared" si="35"/>
        <v>1</v>
      </c>
      <c r="G2297" s="2">
        <f>AVERAGEIFS([3]!players[gold_per_min], [3]!players[name],A2297,[3]!players[hero_name],B2297)</f>
        <v>681</v>
      </c>
      <c r="H2297" s="2">
        <f>AVERAGEIFS([3]!players[xp_per_min], [3]!players[name],A2297,[3]!players[hero_name],B2297)</f>
        <v>743</v>
      </c>
    </row>
    <row r="2298" spans="1:8" x14ac:dyDescent="0.3">
      <c r="A2298" t="str">
        <v>Zasa</v>
      </c>
      <c r="B2298" t="str">
        <v>Bristleback</v>
      </c>
      <c r="C2298" t="str" cm="1">
        <f t="array" ref="C2298">_xlfn.XLOOKUP(1,([3]!players[name]=A2298)*([3]!players[hero_name]=B2298),[3]!players[lane_name])</f>
        <v>Carry</v>
      </c>
      <c r="D2298">
        <f>COUNTIFS([3]!players[name],A2298,[3]!players[hero_name],B2298)</f>
        <v>2</v>
      </c>
      <c r="E2298">
        <f>COUNTIFS([3]!players[name],A2298,[3]!players[hero_name],B2298, [3]!players[win], 1)</f>
        <v>2</v>
      </c>
      <c r="F2298" s="1">
        <f t="shared" si="35"/>
        <v>1</v>
      </c>
      <c r="G2298" s="2">
        <f>AVERAGEIFS([3]!players[gold_per_min], [3]!players[name],A2298,[3]!players[hero_name],B2298)</f>
        <v>776</v>
      </c>
      <c r="H2298" s="2">
        <f>AVERAGEIFS([3]!players[xp_per_min], [3]!players[name],A2298,[3]!players[hero_name],B2298)</f>
        <v>1049.5</v>
      </c>
    </row>
    <row r="2299" spans="1:8" x14ac:dyDescent="0.3">
      <c r="A2299" t="str">
        <v>Zasa</v>
      </c>
      <c r="B2299" t="str">
        <v>Marci</v>
      </c>
      <c r="C2299" t="str" cm="1">
        <f t="array" ref="C2299">_xlfn.XLOOKUP(1,([3]!players[name]=A2299)*([3]!players[hero_name]=B2299),[3]!players[lane_name])</f>
        <v>Soft Support</v>
      </c>
      <c r="D2299">
        <f>COUNTIFS([3]!players[name],A2299,[3]!players[hero_name],B2299)</f>
        <v>1</v>
      </c>
      <c r="E2299">
        <f>COUNTIFS([3]!players[name],A2299,[3]!players[hero_name],B2299, [3]!players[win], 1)</f>
        <v>1</v>
      </c>
      <c r="F2299" s="1">
        <f t="shared" si="35"/>
        <v>1</v>
      </c>
      <c r="G2299" s="2">
        <f>AVERAGEIFS([3]!players[gold_per_min], [3]!players[name],A2299,[3]!players[hero_name],B2299)</f>
        <v>495</v>
      </c>
      <c r="H2299" s="2">
        <f>AVERAGEIFS([3]!players[xp_per_min], [3]!players[name],A2299,[3]!players[hero_name],B2299)</f>
        <v>616</v>
      </c>
    </row>
    <row r="2300" spans="1:8" x14ac:dyDescent="0.3">
      <c r="A2300" t="str">
        <v>Zasa</v>
      </c>
      <c r="B2300" t="str">
        <v>Weaver</v>
      </c>
      <c r="C2300" t="str" cm="1">
        <f t="array" ref="C2300">_xlfn.XLOOKUP(1,([3]!players[name]=A2300)*([3]!players[hero_name]=B2300),[3]!players[lane_name])</f>
        <v>Carry</v>
      </c>
      <c r="D2300">
        <f>COUNTIFS([3]!players[name],A2300,[3]!players[hero_name],B2300)</f>
        <v>1</v>
      </c>
      <c r="E2300">
        <f>COUNTIFS([3]!players[name],A2300,[3]!players[hero_name],B2300, [3]!players[win], 1)</f>
        <v>0</v>
      </c>
      <c r="F2300" s="1">
        <f t="shared" si="35"/>
        <v>0</v>
      </c>
      <c r="G2300" s="2">
        <f>AVERAGEIFS([3]!players[gold_per_min], [3]!players[name],A2300,[3]!players[hero_name],B2300)</f>
        <v>480</v>
      </c>
      <c r="H2300" s="2">
        <f>AVERAGEIFS([3]!players[xp_per_min], [3]!players[name],A2300,[3]!players[hero_name],B2300)</f>
        <v>569</v>
      </c>
    </row>
    <row r="2301" spans="1:8" x14ac:dyDescent="0.3">
      <c r="A2301" t="str">
        <v>Zasa</v>
      </c>
      <c r="B2301" t="str">
        <v>Beastmaster</v>
      </c>
      <c r="C2301" t="str" cm="1">
        <f t="array" ref="C2301">_xlfn.XLOOKUP(1,([3]!players[name]=A2301)*([3]!players[hero_name]=B2301),[3]!players[lane_name])</f>
        <v>Carry</v>
      </c>
      <c r="D2301">
        <f>COUNTIFS([3]!players[name],A2301,[3]!players[hero_name],B2301)</f>
        <v>1</v>
      </c>
      <c r="E2301">
        <f>COUNTIFS([3]!players[name],A2301,[3]!players[hero_name],B2301, [3]!players[win], 1)</f>
        <v>0</v>
      </c>
      <c r="F2301" s="1">
        <f t="shared" si="35"/>
        <v>0</v>
      </c>
      <c r="G2301" s="2">
        <f>AVERAGEIFS([3]!players[gold_per_min], [3]!players[name],A2301,[3]!players[hero_name],B2301)</f>
        <v>582</v>
      </c>
      <c r="H2301" s="2">
        <f>AVERAGEIFS([3]!players[xp_per_min], [3]!players[name],A2301,[3]!players[hero_name],B2301)</f>
        <v>711</v>
      </c>
    </row>
    <row r="2302" spans="1:8" x14ac:dyDescent="0.3">
      <c r="A2302" t="str">
        <v>Zasa</v>
      </c>
      <c r="B2302" t="str">
        <v>Ursa</v>
      </c>
      <c r="C2302" t="str" cm="1">
        <f t="array" ref="C2302">_xlfn.XLOOKUP(1,([3]!players[name]=A2302)*([3]!players[hero_name]=B2302),[3]!players[lane_name])</f>
        <v>Carry</v>
      </c>
      <c r="D2302">
        <f>COUNTIFS([3]!players[name],A2302,[3]!players[hero_name],B2302)</f>
        <v>1</v>
      </c>
      <c r="E2302">
        <f>COUNTIFS([3]!players[name],A2302,[3]!players[hero_name],B2302, [3]!players[win], 1)</f>
        <v>1</v>
      </c>
      <c r="F2302" s="1">
        <f t="shared" si="35"/>
        <v>1</v>
      </c>
      <c r="G2302" s="2">
        <f>AVERAGEIFS([3]!players[gold_per_min], [3]!players[name],A2302,[3]!players[hero_name],B2302)</f>
        <v>729</v>
      </c>
      <c r="H2302" s="2">
        <f>AVERAGEIFS([3]!players[xp_per_min], [3]!players[name],A2302,[3]!players[hero_name],B2302)</f>
        <v>1017</v>
      </c>
    </row>
    <row r="2303" spans="1:8" x14ac:dyDescent="0.3">
      <c r="A2303" t="str">
        <v>Zasa</v>
      </c>
      <c r="B2303" t="str">
        <v>Tiny</v>
      </c>
      <c r="C2303" t="str" cm="1">
        <f t="array" ref="C2303">_xlfn.XLOOKUP(1,([3]!players[name]=A2303)*([3]!players[hero_name]=B2303),[3]!players[lane_name])</f>
        <v>Carry</v>
      </c>
      <c r="D2303">
        <f>COUNTIFS([3]!players[name],A2303,[3]!players[hero_name],B2303)</f>
        <v>1</v>
      </c>
      <c r="E2303">
        <f>COUNTIFS([3]!players[name],A2303,[3]!players[hero_name],B2303, [3]!players[win], 1)</f>
        <v>0</v>
      </c>
      <c r="F2303" s="1">
        <f t="shared" si="35"/>
        <v>0</v>
      </c>
      <c r="G2303" s="2">
        <f>AVERAGEIFS([3]!players[gold_per_min], [3]!players[name],A2303,[3]!players[hero_name],B2303)</f>
        <v>585</v>
      </c>
      <c r="H2303" s="2">
        <f>AVERAGEIFS([3]!players[xp_per_min], [3]!players[name],A2303,[3]!players[hero_name],B2303)</f>
        <v>804</v>
      </c>
    </row>
    <row r="2304" spans="1:8" x14ac:dyDescent="0.3">
      <c r="A2304" t="str">
        <v>Zasa</v>
      </c>
      <c r="B2304" t="str">
        <v>Templar Assassin</v>
      </c>
      <c r="C2304" t="str" cm="1">
        <f t="array" ref="C2304">_xlfn.XLOOKUP(1,([3]!players[name]=A2304)*([3]!players[hero_name]=B2304),[3]!players[lane_name])</f>
        <v>Carry</v>
      </c>
      <c r="D2304">
        <f>COUNTIFS([3]!players[name],A2304,[3]!players[hero_name],B2304)</f>
        <v>2</v>
      </c>
      <c r="E2304">
        <f>COUNTIFS([3]!players[name],A2304,[3]!players[hero_name],B2304, [3]!players[win], 1)</f>
        <v>1</v>
      </c>
      <c r="F2304" s="1">
        <f t="shared" si="35"/>
        <v>0.5</v>
      </c>
      <c r="G2304" s="2">
        <f>AVERAGEIFS([3]!players[gold_per_min], [3]!players[name],A2304,[3]!players[hero_name],B2304)</f>
        <v>609.5</v>
      </c>
      <c r="H2304" s="2">
        <f>AVERAGEIFS([3]!players[xp_per_min], [3]!players[name],A2304,[3]!players[hero_name],B2304)</f>
        <v>745</v>
      </c>
    </row>
    <row r="2305" spans="1:8" x14ac:dyDescent="0.3">
      <c r="A2305" t="str">
        <v>zeal</v>
      </c>
      <c r="B2305" t="str">
        <v>Tidehunter</v>
      </c>
      <c r="C2305" t="str" cm="1">
        <f t="array" ref="C2305">_xlfn.XLOOKUP(1,([3]!players[name]=A2305)*([3]!players[hero_name]=B2305),[3]!players[lane_name])</f>
        <v>Off Lane</v>
      </c>
      <c r="D2305">
        <f>COUNTIFS([3]!players[name],A2305,[3]!players[hero_name],B2305)</f>
        <v>10</v>
      </c>
      <c r="E2305">
        <f>COUNTIFS([3]!players[name],A2305,[3]!players[hero_name],B2305, [3]!players[win], 1)</f>
        <v>7</v>
      </c>
      <c r="F2305" s="1">
        <f t="shared" si="35"/>
        <v>0.7</v>
      </c>
      <c r="G2305" s="2">
        <f>AVERAGEIFS([3]!players[gold_per_min], [3]!players[name],A2305,[3]!players[hero_name],B2305)</f>
        <v>541.6</v>
      </c>
      <c r="H2305" s="2">
        <f>AVERAGEIFS([3]!players[xp_per_min], [3]!players[name],A2305,[3]!players[hero_name],B2305)</f>
        <v>654.5</v>
      </c>
    </row>
    <row r="2306" spans="1:8" x14ac:dyDescent="0.3">
      <c r="A2306" t="str">
        <v>zeal</v>
      </c>
      <c r="B2306" t="str">
        <v>Brewmaster</v>
      </c>
      <c r="C2306" t="str" cm="1">
        <f t="array" ref="C2306">_xlfn.XLOOKUP(1,([3]!players[name]=A2306)*([3]!players[hero_name]=B2306),[3]!players[lane_name])</f>
        <v>Off Lane</v>
      </c>
      <c r="D2306">
        <f>COUNTIFS([3]!players[name],A2306,[3]!players[hero_name],B2306)</f>
        <v>3</v>
      </c>
      <c r="E2306">
        <f>COUNTIFS([3]!players[name],A2306,[3]!players[hero_name],B2306, [3]!players[win], 1)</f>
        <v>2</v>
      </c>
      <c r="F2306" s="1">
        <f t="shared" si="35"/>
        <v>0.66666666666666663</v>
      </c>
      <c r="G2306" s="2">
        <f>AVERAGEIFS([3]!players[gold_per_min], [3]!players[name],A2306,[3]!players[hero_name],B2306)</f>
        <v>592.66666666666663</v>
      </c>
      <c r="H2306" s="2">
        <f>AVERAGEIFS([3]!players[xp_per_min], [3]!players[name],A2306,[3]!players[hero_name],B2306)</f>
        <v>743.33333333333337</v>
      </c>
    </row>
    <row r="2307" spans="1:8" x14ac:dyDescent="0.3">
      <c r="A2307" t="str">
        <v>zeal</v>
      </c>
      <c r="B2307" t="str">
        <v>Batrider</v>
      </c>
      <c r="C2307" t="str" cm="1">
        <f t="array" ref="C2307">_xlfn.XLOOKUP(1,([3]!players[name]=A2307)*([3]!players[hero_name]=B2307),[3]!players[lane_name])</f>
        <v>Off Lane</v>
      </c>
      <c r="D2307">
        <f>COUNTIFS([3]!players[name],A2307,[3]!players[hero_name],B2307)</f>
        <v>1</v>
      </c>
      <c r="E2307">
        <f>COUNTIFS([3]!players[name],A2307,[3]!players[hero_name],B2307, [3]!players[win], 1)</f>
        <v>1</v>
      </c>
      <c r="F2307" s="1">
        <f t="shared" ref="F2307:F2319" si="36">E2307/D2307</f>
        <v>1</v>
      </c>
      <c r="G2307" s="2">
        <f>AVERAGEIFS([3]!players[gold_per_min], [3]!players[name],A2307,[3]!players[hero_name],B2307)</f>
        <v>553</v>
      </c>
      <c r="H2307" s="2">
        <f>AVERAGEIFS([3]!players[xp_per_min], [3]!players[name],A2307,[3]!players[hero_name],B2307)</f>
        <v>750</v>
      </c>
    </row>
    <row r="2308" spans="1:8" x14ac:dyDescent="0.3">
      <c r="A2308" t="str">
        <v>zeal</v>
      </c>
      <c r="B2308" t="str">
        <v>Largo</v>
      </c>
      <c r="C2308" t="str" cm="1">
        <f t="array" ref="C2308">_xlfn.XLOOKUP(1,([3]!players[name]=A2308)*([3]!players[hero_name]=B2308),[3]!players[lane_name])</f>
        <v>Off Lane</v>
      </c>
      <c r="D2308">
        <f>COUNTIFS([3]!players[name],A2308,[3]!players[hero_name],B2308)</f>
        <v>4</v>
      </c>
      <c r="E2308">
        <f>COUNTIFS([3]!players[name],A2308,[3]!players[hero_name],B2308, [3]!players[win], 1)</f>
        <v>2</v>
      </c>
      <c r="F2308" s="1">
        <f t="shared" si="36"/>
        <v>0.5</v>
      </c>
      <c r="G2308" s="2">
        <f>AVERAGEIFS([3]!players[gold_per_min], [3]!players[name],A2308,[3]!players[hero_name],B2308)</f>
        <v>602</v>
      </c>
      <c r="H2308" s="2">
        <f>AVERAGEIFS([3]!players[xp_per_min], [3]!players[name],A2308,[3]!players[hero_name],B2308)</f>
        <v>792.5</v>
      </c>
    </row>
    <row r="2309" spans="1:8" x14ac:dyDescent="0.3">
      <c r="A2309" t="str">
        <v>zeal</v>
      </c>
      <c r="B2309" t="str">
        <v>Primal Beast</v>
      </c>
      <c r="C2309" t="str" cm="1">
        <f t="array" ref="C2309">_xlfn.XLOOKUP(1,([3]!players[name]=A2309)*([3]!players[hero_name]=B2309),[3]!players[lane_name])</f>
        <v>Off Lane</v>
      </c>
      <c r="D2309">
        <f>COUNTIFS([3]!players[name],A2309,[3]!players[hero_name],B2309)</f>
        <v>1</v>
      </c>
      <c r="E2309">
        <f>COUNTIFS([3]!players[name],A2309,[3]!players[hero_name],B2309, [3]!players[win], 1)</f>
        <v>1</v>
      </c>
      <c r="F2309" s="1">
        <f t="shared" si="36"/>
        <v>1</v>
      </c>
      <c r="G2309" s="2">
        <f>AVERAGEIFS([3]!players[gold_per_min], [3]!players[name],A2309,[3]!players[hero_name],B2309)</f>
        <v>564</v>
      </c>
      <c r="H2309" s="2">
        <f>AVERAGEIFS([3]!players[xp_per_min], [3]!players[name],A2309,[3]!players[hero_name],B2309)</f>
        <v>688</v>
      </c>
    </row>
    <row r="2310" spans="1:8" x14ac:dyDescent="0.3">
      <c r="A2310" t="str">
        <v>zeal</v>
      </c>
      <c r="B2310" t="str">
        <v>Axe</v>
      </c>
      <c r="C2310" t="str" cm="1">
        <f t="array" ref="C2310">_xlfn.XLOOKUP(1,([3]!players[name]=A2310)*([3]!players[hero_name]=B2310),[3]!players[lane_name])</f>
        <v>Off Lane</v>
      </c>
      <c r="D2310">
        <f>COUNTIFS([3]!players[name],A2310,[3]!players[hero_name],B2310)</f>
        <v>1</v>
      </c>
      <c r="E2310">
        <f>COUNTIFS([3]!players[name],A2310,[3]!players[hero_name],B2310, [3]!players[win], 1)</f>
        <v>1</v>
      </c>
      <c r="F2310" s="1">
        <f t="shared" si="36"/>
        <v>1</v>
      </c>
      <c r="G2310" s="2">
        <f>AVERAGEIFS([3]!players[gold_per_min], [3]!players[name],A2310,[3]!players[hero_name],B2310)</f>
        <v>582</v>
      </c>
      <c r="H2310" s="2">
        <f>AVERAGEIFS([3]!players[xp_per_min], [3]!players[name],A2310,[3]!players[hero_name],B2310)</f>
        <v>654</v>
      </c>
    </row>
    <row r="2311" spans="1:8" x14ac:dyDescent="0.3">
      <c r="A2311" t="str">
        <v>zeal</v>
      </c>
      <c r="B2311" t="str">
        <v>Pangolier</v>
      </c>
      <c r="C2311" t="str" cm="1">
        <f t="array" ref="C2311">_xlfn.XLOOKUP(1,([3]!players[name]=A2311)*([3]!players[hero_name]=B2311),[3]!players[lane_name])</f>
        <v>Off Lane</v>
      </c>
      <c r="D2311">
        <f>COUNTIFS([3]!players[name],A2311,[3]!players[hero_name],B2311)</f>
        <v>3</v>
      </c>
      <c r="E2311">
        <f>COUNTIFS([3]!players[name],A2311,[3]!players[hero_name],B2311, [3]!players[win], 1)</f>
        <v>1</v>
      </c>
      <c r="F2311" s="1">
        <f t="shared" si="36"/>
        <v>0.33333333333333331</v>
      </c>
      <c r="G2311" s="2">
        <f>AVERAGEIFS([3]!players[gold_per_min], [3]!players[name],A2311,[3]!players[hero_name],B2311)</f>
        <v>572.66666666666663</v>
      </c>
      <c r="H2311" s="2">
        <f>AVERAGEIFS([3]!players[xp_per_min], [3]!players[name],A2311,[3]!players[hero_name],B2311)</f>
        <v>767</v>
      </c>
    </row>
    <row r="2312" spans="1:8" x14ac:dyDescent="0.3">
      <c r="A2312" t="str">
        <v>zeal</v>
      </c>
      <c r="B2312" t="str">
        <v>Doom</v>
      </c>
      <c r="C2312" t="str" cm="1">
        <f t="array" ref="C2312">_xlfn.XLOOKUP(1,([3]!players[name]=A2312)*([3]!players[hero_name]=B2312),[3]!players[lane_name])</f>
        <v>Off Lane</v>
      </c>
      <c r="D2312">
        <f>COUNTIFS([3]!players[name],A2312,[3]!players[hero_name],B2312)</f>
        <v>1</v>
      </c>
      <c r="E2312">
        <f>COUNTIFS([3]!players[name],A2312,[3]!players[hero_name],B2312, [3]!players[win], 1)</f>
        <v>1</v>
      </c>
      <c r="F2312" s="1">
        <f t="shared" si="36"/>
        <v>1</v>
      </c>
      <c r="G2312" s="2">
        <f>AVERAGEIFS([3]!players[gold_per_min], [3]!players[name],A2312,[3]!players[hero_name],B2312)</f>
        <v>576</v>
      </c>
      <c r="H2312" s="2">
        <f>AVERAGEIFS([3]!players[xp_per_min], [3]!players[name],A2312,[3]!players[hero_name],B2312)</f>
        <v>643</v>
      </c>
    </row>
    <row r="2313" spans="1:8" x14ac:dyDescent="0.3">
      <c r="A2313" t="str">
        <v>zeal</v>
      </c>
      <c r="B2313" t="str">
        <v>Mars</v>
      </c>
      <c r="C2313" t="str" cm="1">
        <f t="array" ref="C2313">_xlfn.XLOOKUP(1,([3]!players[name]=A2313)*([3]!players[hero_name]=B2313),[3]!players[lane_name])</f>
        <v>Off Lane</v>
      </c>
      <c r="D2313">
        <f>COUNTIFS([3]!players[name],A2313,[3]!players[hero_name],B2313)</f>
        <v>2</v>
      </c>
      <c r="E2313">
        <f>COUNTIFS([3]!players[name],A2313,[3]!players[hero_name],B2313, [3]!players[win], 1)</f>
        <v>1</v>
      </c>
      <c r="F2313" s="1">
        <f t="shared" si="36"/>
        <v>0.5</v>
      </c>
      <c r="G2313" s="2">
        <f>AVERAGEIFS([3]!players[gold_per_min], [3]!players[name],A2313,[3]!players[hero_name],B2313)</f>
        <v>499.5</v>
      </c>
      <c r="H2313" s="2">
        <f>AVERAGEIFS([3]!players[xp_per_min], [3]!players[name],A2313,[3]!players[hero_name],B2313)</f>
        <v>647.5</v>
      </c>
    </row>
    <row r="2314" spans="1:8" x14ac:dyDescent="0.3">
      <c r="A2314" t="str">
        <v>zzq</v>
      </c>
      <c r="B2314" t="str">
        <v>Treant Protector</v>
      </c>
      <c r="C2314" t="str" cm="1">
        <f t="array" ref="C2314">_xlfn.XLOOKUP(1,([3]!players[name]=A2314)*([3]!players[hero_name]=B2314),[3]!players[lane_name])</f>
        <v>Hard Support</v>
      </c>
      <c r="D2314">
        <f>COUNTIFS([3]!players[name],A2314,[3]!players[hero_name],B2314)</f>
        <v>4</v>
      </c>
      <c r="E2314">
        <f>COUNTIFS([3]!players[name],A2314,[3]!players[hero_name],B2314, [3]!players[win], 1)</f>
        <v>4</v>
      </c>
      <c r="F2314" s="1">
        <f t="shared" si="36"/>
        <v>1</v>
      </c>
      <c r="G2314" s="2">
        <f>AVERAGEIFS([3]!players[gold_per_min], [3]!players[name],A2314,[3]!players[hero_name],B2314)</f>
        <v>292.5</v>
      </c>
      <c r="H2314" s="2">
        <f>AVERAGEIFS([3]!players[xp_per_min], [3]!players[name],A2314,[3]!players[hero_name],B2314)</f>
        <v>472.25</v>
      </c>
    </row>
    <row r="2315" spans="1:8" x14ac:dyDescent="0.3">
      <c r="A2315" t="str">
        <v>zzq</v>
      </c>
      <c r="B2315" t="str">
        <v>Jakiro</v>
      </c>
      <c r="C2315" t="str" cm="1">
        <f t="array" ref="C2315">_xlfn.XLOOKUP(1,([3]!players[name]=A2315)*([3]!players[hero_name]=B2315),[3]!players[lane_name])</f>
        <v>Hard Support</v>
      </c>
      <c r="D2315">
        <f>COUNTIFS([3]!players[name],A2315,[3]!players[hero_name],B2315)</f>
        <v>4</v>
      </c>
      <c r="E2315">
        <f>COUNTIFS([3]!players[name],A2315,[3]!players[hero_name],B2315, [3]!players[win], 1)</f>
        <v>2</v>
      </c>
      <c r="F2315" s="1">
        <f t="shared" si="36"/>
        <v>0.5</v>
      </c>
      <c r="G2315" s="2">
        <f>AVERAGEIFS([3]!players[gold_per_min], [3]!players[name],A2315,[3]!players[hero_name],B2315)</f>
        <v>336.25</v>
      </c>
      <c r="H2315" s="2">
        <f>AVERAGEIFS([3]!players[xp_per_min], [3]!players[name],A2315,[3]!players[hero_name],B2315)</f>
        <v>515.25</v>
      </c>
    </row>
    <row r="2316" spans="1:8" x14ac:dyDescent="0.3">
      <c r="A2316" t="str">
        <v>zzq</v>
      </c>
      <c r="B2316" t="str">
        <v>Elder Titan</v>
      </c>
      <c r="C2316" t="str" cm="1">
        <f t="array" ref="C2316">_xlfn.XLOOKUP(1,([3]!players[name]=A2316)*([3]!players[hero_name]=B2316),[3]!players[lane_name])</f>
        <v>Hard Support</v>
      </c>
      <c r="D2316">
        <f>COUNTIFS([3]!players[name],A2316,[3]!players[hero_name],B2316)</f>
        <v>2</v>
      </c>
      <c r="E2316">
        <f>COUNTIFS([3]!players[name],A2316,[3]!players[hero_name],B2316, [3]!players[win], 1)</f>
        <v>1</v>
      </c>
      <c r="F2316" s="1">
        <f t="shared" si="36"/>
        <v>0.5</v>
      </c>
      <c r="G2316" s="2">
        <f>AVERAGEIFS([3]!players[gold_per_min], [3]!players[name],A2316,[3]!players[hero_name],B2316)</f>
        <v>240</v>
      </c>
      <c r="H2316" s="2">
        <f>AVERAGEIFS([3]!players[xp_per_min], [3]!players[name],A2316,[3]!players[hero_name],B2316)</f>
        <v>314.5</v>
      </c>
    </row>
    <row r="2317" spans="1:8" x14ac:dyDescent="0.3">
      <c r="A2317" t="str">
        <v>zzq</v>
      </c>
      <c r="B2317" t="str">
        <v>Chen</v>
      </c>
      <c r="C2317" t="str" cm="1">
        <f t="array" ref="C2317">_xlfn.XLOOKUP(1,([3]!players[name]=A2317)*([3]!players[hero_name]=B2317),[3]!players[lane_name])</f>
        <v>Hard Support</v>
      </c>
      <c r="D2317">
        <f>COUNTIFS([3]!players[name],A2317,[3]!players[hero_name],B2317)</f>
        <v>1</v>
      </c>
      <c r="E2317">
        <f>COUNTIFS([3]!players[name],A2317,[3]!players[hero_name],B2317, [3]!players[win], 1)</f>
        <v>0</v>
      </c>
      <c r="F2317" s="1">
        <f t="shared" si="36"/>
        <v>0</v>
      </c>
      <c r="G2317" s="2">
        <f>AVERAGEIFS([3]!players[gold_per_min], [3]!players[name],A2317,[3]!players[hero_name],B2317)</f>
        <v>322</v>
      </c>
      <c r="H2317" s="2">
        <f>AVERAGEIFS([3]!players[xp_per_min], [3]!players[name],A2317,[3]!players[hero_name],B2317)</f>
        <v>473</v>
      </c>
    </row>
    <row r="2318" spans="1:8" x14ac:dyDescent="0.3">
      <c r="A2318" t="str">
        <v>zzq</v>
      </c>
      <c r="B2318" t="str">
        <v>Phoenix</v>
      </c>
      <c r="C2318" t="str" cm="1">
        <f t="array" ref="C2318">_xlfn.XLOOKUP(1,([3]!players[name]=A2318)*([3]!players[hero_name]=B2318),[3]!players[lane_name])</f>
        <v>Hard Support</v>
      </c>
      <c r="D2318">
        <f>COUNTIFS([3]!players[name],A2318,[3]!players[hero_name],B2318)</f>
        <v>2</v>
      </c>
      <c r="E2318">
        <f>COUNTIFS([3]!players[name],A2318,[3]!players[hero_name],B2318, [3]!players[win], 1)</f>
        <v>1</v>
      </c>
      <c r="F2318" s="1">
        <f t="shared" si="36"/>
        <v>0.5</v>
      </c>
      <c r="G2318" s="2">
        <f>AVERAGEIFS([3]!players[gold_per_min], [3]!players[name],A2318,[3]!players[hero_name],B2318)</f>
        <v>297</v>
      </c>
      <c r="H2318" s="2">
        <f>AVERAGEIFS([3]!players[xp_per_min], [3]!players[name],A2318,[3]!players[hero_name],B2318)</f>
        <v>357.5</v>
      </c>
    </row>
    <row r="2319" spans="1:8" x14ac:dyDescent="0.3">
      <c r="A2319" t="str">
        <v>zzq</v>
      </c>
      <c r="B2319" t="str">
        <v>Silencer</v>
      </c>
      <c r="C2319" t="str" cm="1">
        <f t="array" ref="C2319">_xlfn.XLOOKUP(1,([3]!players[name]=A2319)*([3]!players[hero_name]=B2319),[3]!players[lane_name])</f>
        <v>Roam</v>
      </c>
      <c r="D2319">
        <f>COUNTIFS([3]!players[name],A2319,[3]!players[hero_name],B2319)</f>
        <v>2</v>
      </c>
      <c r="E2319">
        <f>COUNTIFS([3]!players[name],A2319,[3]!players[hero_name],B2319, [3]!players[win], 1)</f>
        <v>2</v>
      </c>
      <c r="F2319" s="1">
        <f t="shared" si="36"/>
        <v>1</v>
      </c>
      <c r="G2319" s="2">
        <f>AVERAGEIFS([3]!players[gold_per_min], [3]!players[name],A2319,[3]!players[hero_name],B2319)</f>
        <v>367</v>
      </c>
      <c r="H2319" s="2">
        <f>AVERAGEIFS([3]!players[xp_per_min], [3]!players[name],A2319,[3]!players[hero_name],B2319)</f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team_summary</vt:lpstr>
      <vt:lpstr>player_summary</vt:lpstr>
      <vt:lpstr>player_hero_summary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HaiFoh Twitch</dc:creator>
  <cp:lastModifiedBy>HaiFoh Twitch</cp:lastModifiedBy>
  <dcterms:created xsi:type="dcterms:W3CDTF">2015-06-05T18:17:20Z</dcterms:created>
  <dcterms:modified xsi:type="dcterms:W3CDTF">2026-06-29T13:03:25Z</dcterms:modified>
</cp:coreProperties>
</file>