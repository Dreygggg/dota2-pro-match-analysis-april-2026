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dre\Downloads\202604\"/>
    </mc:Choice>
  </mc:AlternateContent>
  <xr:revisionPtr revIDLastSave="0" documentId="13_ncr:1_{7482EF1A-FCB1-47B4-B861-EB37577965C6}" xr6:coauthVersionLast="47" xr6:coauthVersionMax="47" xr10:uidLastSave="{00000000-0000-0000-0000-000000000000}"/>
  <bookViews>
    <workbookView xWindow="-108" yWindow="-108" windowWidth="23256" windowHeight="12456" xr2:uid="{00000000-000D-0000-FFFF-FFFF00000000}"/>
  </bookViews>
  <sheets>
    <sheet name="hero_summary" sheetId="1" r:id="rId1"/>
    <sheet name="lane_hero_summary" sheetId="2" r:id="rId2"/>
    <sheet name="most_played_pivot" sheetId="6" r:id="rId3"/>
  </sheets>
  <externalReferences>
    <externalReference r:id="rId4"/>
    <externalReference r:id="rId5"/>
    <externalReference r:id="rId6"/>
  </externalReferences>
  <definedNames>
    <definedName name="_xlnm._FilterDatabase" localSheetId="1" hidden="1">lane_hero_summary!$A$1:$G$541</definedName>
    <definedName name="Slicer_role_name">#N/A</definedName>
  </definedNames>
  <calcPr calcId="191029"/>
  <pivotCaches>
    <pivotCache cacheId="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 l="1" a="1"/>
  <c r="A2" i="1" s="1"/>
  <c r="B2" i="1" l="1"/>
  <c r="B3" i="1"/>
  <c r="D3" i="1" s="1"/>
  <c r="B27" i="1"/>
  <c r="B51" i="1"/>
  <c r="B75" i="1"/>
  <c r="D75" i="1" s="1"/>
  <c r="B99" i="1"/>
  <c r="D99" i="1" s="1"/>
  <c r="B123" i="1"/>
  <c r="F15" i="1"/>
  <c r="F39" i="1"/>
  <c r="F63" i="1"/>
  <c r="F87" i="1"/>
  <c r="F108" i="1"/>
  <c r="C4" i="1"/>
  <c r="C25" i="1"/>
  <c r="C45" i="1"/>
  <c r="E45" i="1" s="1"/>
  <c r="C65" i="1"/>
  <c r="C87" i="1"/>
  <c r="C108" i="1"/>
  <c r="E108" i="1" s="1"/>
  <c r="C126" i="1"/>
  <c r="F95" i="1"/>
  <c r="C12" i="1"/>
  <c r="C93" i="1"/>
  <c r="E93" i="1" s="1"/>
  <c r="F24" i="1"/>
  <c r="C13" i="1"/>
  <c r="F82" i="1"/>
  <c r="C61" i="1"/>
  <c r="E61" i="1" s="1"/>
  <c r="B47" i="1"/>
  <c r="D47" i="1" s="1"/>
  <c r="F35" i="1"/>
  <c r="C63" i="1"/>
  <c r="E63" i="1" s="1"/>
  <c r="C64" i="1"/>
  <c r="E64" i="1" s="1"/>
  <c r="B6" i="1"/>
  <c r="B30" i="1"/>
  <c r="B54" i="1"/>
  <c r="B78" i="1"/>
  <c r="B102" i="1"/>
  <c r="B126" i="1"/>
  <c r="F18" i="1"/>
  <c r="F42" i="1"/>
  <c r="F66" i="1"/>
  <c r="F90" i="1"/>
  <c r="F111" i="1"/>
  <c r="C5" i="1"/>
  <c r="E5" i="1" s="1"/>
  <c r="C27" i="1"/>
  <c r="C48" i="1"/>
  <c r="C66" i="1"/>
  <c r="C88" i="1"/>
  <c r="C109" i="1"/>
  <c r="F71" i="1"/>
  <c r="F117" i="1"/>
  <c r="C52" i="1"/>
  <c r="F48" i="1"/>
  <c r="F118" i="1"/>
  <c r="C75" i="1"/>
  <c r="F34" i="1"/>
  <c r="C101" i="1"/>
  <c r="B71" i="1"/>
  <c r="F106" i="1"/>
  <c r="C102" i="1"/>
  <c r="C24" i="1"/>
  <c r="B7" i="1"/>
  <c r="D7" i="1" s="1"/>
  <c r="B31" i="1"/>
  <c r="D31" i="1" s="1"/>
  <c r="B55" i="1"/>
  <c r="B79" i="1"/>
  <c r="D79" i="1" s="1"/>
  <c r="B103" i="1"/>
  <c r="B127" i="1"/>
  <c r="F19" i="1"/>
  <c r="F43" i="1"/>
  <c r="F67" i="1"/>
  <c r="F91" i="1"/>
  <c r="F114" i="1"/>
  <c r="C6" i="1"/>
  <c r="C28" i="1"/>
  <c r="E28" i="1" s="1"/>
  <c r="C49" i="1"/>
  <c r="E49" i="1" s="1"/>
  <c r="C69" i="1"/>
  <c r="E69" i="1" s="1"/>
  <c r="C89" i="1"/>
  <c r="E89" i="1" s="1"/>
  <c r="C111" i="1"/>
  <c r="F47" i="1"/>
  <c r="C30" i="1"/>
  <c r="E30" i="1" s="1"/>
  <c r="C113" i="1"/>
  <c r="F72" i="1"/>
  <c r="C33" i="1"/>
  <c r="C114" i="1"/>
  <c r="F58" i="1"/>
  <c r="C40" i="1"/>
  <c r="B8" i="1"/>
  <c r="D8" i="1" s="1"/>
  <c r="B32" i="1"/>
  <c r="D32" i="1" s="1"/>
  <c r="B56" i="1"/>
  <c r="G56" i="1" s="1"/>
  <c r="B80" i="1"/>
  <c r="B104" i="1"/>
  <c r="D104" i="1" s="1"/>
  <c r="B128" i="1"/>
  <c r="D128" i="1" s="1"/>
  <c r="F22" i="1"/>
  <c r="F46" i="1"/>
  <c r="F70" i="1"/>
  <c r="F94" i="1"/>
  <c r="F115" i="1"/>
  <c r="C9" i="1"/>
  <c r="C29" i="1"/>
  <c r="E29" i="1" s="1"/>
  <c r="C51" i="1"/>
  <c r="C72" i="1"/>
  <c r="C90" i="1"/>
  <c r="C112" i="1"/>
  <c r="E112" i="1" s="1"/>
  <c r="F23" i="1"/>
  <c r="C73" i="1"/>
  <c r="F96" i="1"/>
  <c r="C53" i="1"/>
  <c r="C96" i="1"/>
  <c r="F10" i="1"/>
  <c r="C81" i="1"/>
  <c r="E81" i="1" s="1"/>
  <c r="B119" i="1"/>
  <c r="D119" i="1" s="1"/>
  <c r="F127" i="1"/>
  <c r="C84" i="1"/>
  <c r="E84" i="1" s="1"/>
  <c r="C3" i="1"/>
  <c r="B11" i="1"/>
  <c r="D11" i="1" s="1"/>
  <c r="B35" i="1"/>
  <c r="D35" i="1" s="1"/>
  <c r="B59" i="1"/>
  <c r="B83" i="1"/>
  <c r="B107" i="1"/>
  <c r="B14" i="1"/>
  <c r="B38" i="1"/>
  <c r="B62" i="1"/>
  <c r="B86" i="1"/>
  <c r="D86" i="1" s="1"/>
  <c r="B110" i="1"/>
  <c r="D110" i="1" s="1"/>
  <c r="C85" i="1"/>
  <c r="E85" i="1" s="1"/>
  <c r="F107" i="1"/>
  <c r="F84" i="1"/>
  <c r="F60" i="1"/>
  <c r="F36" i="1"/>
  <c r="F12" i="1"/>
  <c r="B122" i="1"/>
  <c r="B98" i="1"/>
  <c r="B74" i="1"/>
  <c r="B50" i="1"/>
  <c r="B26" i="1"/>
  <c r="D26" i="1" s="1"/>
  <c r="C42" i="1"/>
  <c r="E42" i="1" s="1"/>
  <c r="C41" i="1"/>
  <c r="E41" i="1" s="1"/>
  <c r="F59" i="1"/>
  <c r="B95" i="1"/>
  <c r="F105" i="1"/>
  <c r="B68" i="1"/>
  <c r="C121" i="1"/>
  <c r="C100" i="1"/>
  <c r="C78" i="1"/>
  <c r="C60" i="1"/>
  <c r="C39" i="1"/>
  <c r="C17" i="1"/>
  <c r="E17" i="1" s="1"/>
  <c r="F123" i="1"/>
  <c r="F103" i="1"/>
  <c r="F79" i="1"/>
  <c r="F55" i="1"/>
  <c r="F31" i="1"/>
  <c r="F7" i="1"/>
  <c r="B115" i="1"/>
  <c r="B91" i="1"/>
  <c r="B67" i="1"/>
  <c r="B43" i="1"/>
  <c r="B19" i="1"/>
  <c r="D19" i="1" s="1"/>
  <c r="C125" i="1"/>
  <c r="E125" i="1" s="1"/>
  <c r="C124" i="1"/>
  <c r="E124" i="1" s="1"/>
  <c r="F83" i="1"/>
  <c r="B23" i="1"/>
  <c r="C18" i="1"/>
  <c r="E18" i="1" s="1"/>
  <c r="B116" i="1"/>
  <c r="B20" i="1"/>
  <c r="C120" i="1"/>
  <c r="C77" i="1"/>
  <c r="C37" i="1"/>
  <c r="F120" i="1"/>
  <c r="F78" i="1"/>
  <c r="G78" i="1" s="1"/>
  <c r="F54" i="1"/>
  <c r="G54" i="1" s="1"/>
  <c r="F6" i="1"/>
  <c r="B114" i="1"/>
  <c r="D114" i="1" s="1"/>
  <c r="B90" i="1"/>
  <c r="B66" i="1"/>
  <c r="D66" i="1" s="1"/>
  <c r="B42" i="1"/>
  <c r="D42" i="1" s="1"/>
  <c r="B18" i="1"/>
  <c r="C105" i="1"/>
  <c r="C21" i="1"/>
  <c r="F11" i="1"/>
  <c r="C123" i="1"/>
  <c r="F126" i="1"/>
  <c r="B92" i="1"/>
  <c r="D92" i="1" s="1"/>
  <c r="B44" i="1"/>
  <c r="D44" i="1" s="1"/>
  <c r="C99" i="1"/>
  <c r="E99" i="1" s="1"/>
  <c r="C57" i="1"/>
  <c r="C16" i="1"/>
  <c r="E16" i="1" s="1"/>
  <c r="F102" i="1"/>
  <c r="G102" i="1" s="1"/>
  <c r="F30" i="1"/>
  <c r="C117" i="1"/>
  <c r="C97" i="1"/>
  <c r="C76" i="1"/>
  <c r="C54" i="1"/>
  <c r="C36" i="1"/>
  <c r="C15" i="1"/>
  <c r="E15" i="1" s="1"/>
  <c r="F119" i="1"/>
  <c r="F99" i="1"/>
  <c r="F75" i="1"/>
  <c r="F51" i="1"/>
  <c r="F27" i="1"/>
  <c r="F3" i="1"/>
  <c r="B111" i="1"/>
  <c r="B87" i="1"/>
  <c r="D87" i="1" s="1"/>
  <c r="B63" i="1"/>
  <c r="D63" i="1" s="1"/>
  <c r="B39" i="1"/>
  <c r="B15" i="1"/>
  <c r="F93" i="1"/>
  <c r="F81" i="1"/>
  <c r="F69" i="1"/>
  <c r="F57" i="1"/>
  <c r="F45" i="1"/>
  <c r="F33" i="1"/>
  <c r="F21" i="1"/>
  <c r="F9" i="1"/>
  <c r="B125" i="1"/>
  <c r="B113" i="1"/>
  <c r="B101" i="1"/>
  <c r="B89" i="1"/>
  <c r="D89" i="1" s="1"/>
  <c r="B77" i="1"/>
  <c r="B65" i="1"/>
  <c r="B53" i="1"/>
  <c r="D53" i="1" s="1"/>
  <c r="B41" i="1"/>
  <c r="B29" i="1"/>
  <c r="D29" i="1" s="1"/>
  <c r="B17" i="1"/>
  <c r="D17" i="1" s="1"/>
  <c r="B5" i="1"/>
  <c r="C122" i="1"/>
  <c r="E122" i="1" s="1"/>
  <c r="C110" i="1"/>
  <c r="C98" i="1"/>
  <c r="C86" i="1"/>
  <c r="C74" i="1"/>
  <c r="C62" i="1"/>
  <c r="E62" i="1" s="1"/>
  <c r="C50" i="1"/>
  <c r="E50" i="1" s="1"/>
  <c r="C38" i="1"/>
  <c r="E38" i="1" s="1"/>
  <c r="C26" i="1"/>
  <c r="C14" i="1"/>
  <c r="E14" i="1" s="1"/>
  <c r="F128" i="1"/>
  <c r="F116" i="1"/>
  <c r="F104" i="1"/>
  <c r="F92" i="1"/>
  <c r="F80" i="1"/>
  <c r="F68" i="1"/>
  <c r="F56" i="1"/>
  <c r="F44" i="1"/>
  <c r="F32" i="1"/>
  <c r="G32" i="1" s="1"/>
  <c r="F20" i="1"/>
  <c r="F8" i="1"/>
  <c r="B124" i="1"/>
  <c r="D124" i="1" s="1"/>
  <c r="B112" i="1"/>
  <c r="D112" i="1" s="1"/>
  <c r="B100" i="1"/>
  <c r="B88" i="1"/>
  <c r="D88" i="1" s="1"/>
  <c r="B76" i="1"/>
  <c r="B64" i="1"/>
  <c r="D64" i="1" s="1"/>
  <c r="B52" i="1"/>
  <c r="B40" i="1"/>
  <c r="D40" i="1" s="1"/>
  <c r="B28" i="1"/>
  <c r="D28" i="1" s="1"/>
  <c r="B16" i="1"/>
  <c r="D16" i="1" s="1"/>
  <c r="B4" i="1"/>
  <c r="D4" i="1" s="1"/>
  <c r="C119" i="1"/>
  <c r="C107" i="1"/>
  <c r="E107" i="1" s="1"/>
  <c r="C95" i="1"/>
  <c r="E95" i="1" s="1"/>
  <c r="C83" i="1"/>
  <c r="C71" i="1"/>
  <c r="C59" i="1"/>
  <c r="E59" i="1" s="1"/>
  <c r="C47" i="1"/>
  <c r="C35" i="1"/>
  <c r="C23" i="1"/>
  <c r="E23" i="1" s="1"/>
  <c r="C11" i="1"/>
  <c r="E11" i="1" s="1"/>
  <c r="F125" i="1"/>
  <c r="F113" i="1"/>
  <c r="G113" i="1" s="1"/>
  <c r="F101" i="1"/>
  <c r="F89" i="1"/>
  <c r="F77" i="1"/>
  <c r="F65" i="1"/>
  <c r="F53" i="1"/>
  <c r="F41" i="1"/>
  <c r="F29" i="1"/>
  <c r="F17" i="1"/>
  <c r="F5" i="1"/>
  <c r="B121" i="1"/>
  <c r="D121" i="1" s="1"/>
  <c r="B109" i="1"/>
  <c r="D109" i="1" s="1"/>
  <c r="B97" i="1"/>
  <c r="D97" i="1" s="1"/>
  <c r="B85" i="1"/>
  <c r="B73" i="1"/>
  <c r="D73" i="1" s="1"/>
  <c r="B61" i="1"/>
  <c r="D61" i="1" s="1"/>
  <c r="B49" i="1"/>
  <c r="B37" i="1"/>
  <c r="D37" i="1" s="1"/>
  <c r="B25" i="1"/>
  <c r="D25" i="1" s="1"/>
  <c r="B13" i="1"/>
  <c r="D13" i="1" s="1"/>
  <c r="C118" i="1"/>
  <c r="C106" i="1"/>
  <c r="E106" i="1" s="1"/>
  <c r="C94" i="1"/>
  <c r="E94" i="1" s="1"/>
  <c r="C82" i="1"/>
  <c r="C70" i="1"/>
  <c r="E70" i="1" s="1"/>
  <c r="C58" i="1"/>
  <c r="E58" i="1" s="1"/>
  <c r="C46" i="1"/>
  <c r="E46" i="1" s="1"/>
  <c r="C34" i="1"/>
  <c r="E34" i="1" s="1"/>
  <c r="C22" i="1"/>
  <c r="C10" i="1"/>
  <c r="E10" i="1" s="1"/>
  <c r="F124" i="1"/>
  <c r="F112" i="1"/>
  <c r="F100" i="1"/>
  <c r="F88" i="1"/>
  <c r="F76" i="1"/>
  <c r="F64" i="1"/>
  <c r="F52" i="1"/>
  <c r="F40" i="1"/>
  <c r="F28" i="1"/>
  <c r="F16" i="1"/>
  <c r="F4" i="1"/>
  <c r="B120" i="1"/>
  <c r="B108" i="1"/>
  <c r="B96" i="1"/>
  <c r="B84" i="1"/>
  <c r="B72" i="1"/>
  <c r="D72" i="1" s="1"/>
  <c r="B60" i="1"/>
  <c r="D60" i="1" s="1"/>
  <c r="B48" i="1"/>
  <c r="G48" i="1" s="1"/>
  <c r="B36" i="1"/>
  <c r="G36" i="1" s="1"/>
  <c r="B24" i="1"/>
  <c r="B12" i="1"/>
  <c r="D12" i="1" s="1"/>
  <c r="C128" i="1"/>
  <c r="E128" i="1" s="1"/>
  <c r="C116" i="1"/>
  <c r="C104" i="1"/>
  <c r="E104" i="1" s="1"/>
  <c r="C92" i="1"/>
  <c r="E92" i="1" s="1"/>
  <c r="C80" i="1"/>
  <c r="E80" i="1" s="1"/>
  <c r="C68" i="1"/>
  <c r="C56" i="1"/>
  <c r="E56" i="1" s="1"/>
  <c r="C44" i="1"/>
  <c r="E44" i="1" s="1"/>
  <c r="C32" i="1"/>
  <c r="E32" i="1" s="1"/>
  <c r="C20" i="1"/>
  <c r="E20" i="1" s="1"/>
  <c r="C8" i="1"/>
  <c r="E8" i="1" s="1"/>
  <c r="F122" i="1"/>
  <c r="F110" i="1"/>
  <c r="F98" i="1"/>
  <c r="F86" i="1"/>
  <c r="F74" i="1"/>
  <c r="G74" i="1" s="1"/>
  <c r="F62" i="1"/>
  <c r="F50" i="1"/>
  <c r="F38" i="1"/>
  <c r="G38" i="1" s="1"/>
  <c r="F26" i="1"/>
  <c r="F14" i="1"/>
  <c r="B118" i="1"/>
  <c r="G118" i="1" s="1"/>
  <c r="B106" i="1"/>
  <c r="B94" i="1"/>
  <c r="D94" i="1" s="1"/>
  <c r="B82" i="1"/>
  <c r="D82" i="1" s="1"/>
  <c r="B70" i="1"/>
  <c r="B58" i="1"/>
  <c r="D58" i="1" s="1"/>
  <c r="B46" i="1"/>
  <c r="D46" i="1" s="1"/>
  <c r="B34" i="1"/>
  <c r="D34" i="1" s="1"/>
  <c r="B22" i="1"/>
  <c r="D22" i="1" s="1"/>
  <c r="B10" i="1"/>
  <c r="D10" i="1" s="1"/>
  <c r="C127" i="1"/>
  <c r="E127" i="1" s="1"/>
  <c r="C115" i="1"/>
  <c r="E115" i="1" s="1"/>
  <c r="C103" i="1"/>
  <c r="E103" i="1" s="1"/>
  <c r="C91" i="1"/>
  <c r="E91" i="1" s="1"/>
  <c r="C79" i="1"/>
  <c r="E79" i="1" s="1"/>
  <c r="C67" i="1"/>
  <c r="E67" i="1" s="1"/>
  <c r="C55" i="1"/>
  <c r="C43" i="1"/>
  <c r="E43" i="1" s="1"/>
  <c r="C31" i="1"/>
  <c r="E31" i="1" s="1"/>
  <c r="C19" i="1"/>
  <c r="E19" i="1" s="1"/>
  <c r="C7" i="1"/>
  <c r="F121" i="1"/>
  <c r="F109" i="1"/>
  <c r="F97" i="1"/>
  <c r="F85" i="1"/>
  <c r="G85" i="1" s="1"/>
  <c r="F73" i="1"/>
  <c r="F61" i="1"/>
  <c r="F49" i="1"/>
  <c r="G49" i="1" s="1"/>
  <c r="F37" i="1"/>
  <c r="F25" i="1"/>
  <c r="F13" i="1"/>
  <c r="B117" i="1"/>
  <c r="D117" i="1" s="1"/>
  <c r="B105" i="1"/>
  <c r="D105" i="1" s="1"/>
  <c r="B93" i="1"/>
  <c r="D93" i="1" s="1"/>
  <c r="B81" i="1"/>
  <c r="D81" i="1" s="1"/>
  <c r="B69" i="1"/>
  <c r="D69" i="1" s="1"/>
  <c r="B57" i="1"/>
  <c r="D57" i="1" s="1"/>
  <c r="B45" i="1"/>
  <c r="D45" i="1" s="1"/>
  <c r="B33" i="1"/>
  <c r="D33" i="1" s="1"/>
  <c r="B21" i="1"/>
  <c r="D21" i="1" s="1"/>
  <c r="B9" i="1"/>
  <c r="D9" i="1" s="1"/>
  <c r="F2" i="1"/>
  <c r="C2" i="1"/>
  <c r="E2" i="1" s="1"/>
  <c r="D2" i="1"/>
  <c r="E22" i="1"/>
  <c r="E82" i="1"/>
  <c r="E118" i="1"/>
  <c r="D52" i="1"/>
  <c r="D76" i="1"/>
  <c r="D100" i="1"/>
  <c r="E47" i="1"/>
  <c r="E71" i="1"/>
  <c r="E119" i="1"/>
  <c r="E35" i="1"/>
  <c r="E83" i="1"/>
  <c r="D5" i="1"/>
  <c r="D101" i="1"/>
  <c r="D125" i="1"/>
  <c r="E3" i="1"/>
  <c r="E27" i="1"/>
  <c r="E39" i="1"/>
  <c r="E51" i="1"/>
  <c r="E75" i="1"/>
  <c r="E87" i="1"/>
  <c r="E111" i="1"/>
  <c r="E123" i="1"/>
  <c r="E4" i="1"/>
  <c r="E40" i="1"/>
  <c r="E52" i="1"/>
  <c r="E76" i="1"/>
  <c r="E88" i="1"/>
  <c r="E100" i="1"/>
  <c r="D70" i="1"/>
  <c r="D106" i="1"/>
  <c r="E53" i="1"/>
  <c r="E65" i="1"/>
  <c r="E77" i="1"/>
  <c r="E101" i="1"/>
  <c r="E113" i="1"/>
  <c r="D23" i="1"/>
  <c r="D59" i="1"/>
  <c r="D83" i="1"/>
  <c r="D95" i="1"/>
  <c r="D107" i="1"/>
  <c r="E12" i="1"/>
  <c r="E54" i="1"/>
  <c r="E73" i="1"/>
  <c r="D30" i="1"/>
  <c r="D50" i="1"/>
  <c r="D91" i="1"/>
  <c r="D111" i="1"/>
  <c r="E60" i="1"/>
  <c r="E102" i="1"/>
  <c r="D98" i="1"/>
  <c r="D103" i="1"/>
  <c r="D43" i="1"/>
  <c r="D67" i="1"/>
  <c r="E13" i="1"/>
  <c r="E33" i="1"/>
  <c r="E55" i="1"/>
  <c r="E74" i="1"/>
  <c r="E96" i="1"/>
  <c r="E116" i="1"/>
  <c r="E66" i="1"/>
  <c r="E7" i="1"/>
  <c r="D6" i="1"/>
  <c r="E36" i="1"/>
  <c r="E78" i="1"/>
  <c r="E97" i="1"/>
  <c r="E117" i="1"/>
  <c r="D96" i="1"/>
  <c r="D115" i="1"/>
  <c r="E37" i="1"/>
  <c r="E57" i="1"/>
  <c r="E98" i="1"/>
  <c r="D14" i="1"/>
  <c r="D55" i="1"/>
  <c r="D15" i="1"/>
  <c r="E105" i="1"/>
  <c r="D84" i="1"/>
  <c r="E90" i="1"/>
  <c r="D27" i="1"/>
  <c r="E120" i="1"/>
  <c r="G103" i="1"/>
  <c r="E121" i="1"/>
  <c r="D20" i="1"/>
  <c r="D126" i="1"/>
  <c r="E68" i="1"/>
  <c r="D108" i="1"/>
  <c r="E110" i="1"/>
  <c r="E114" i="1"/>
  <c r="D24" i="1"/>
  <c r="D68" i="1"/>
  <c r="E48" i="1"/>
  <c r="E86" i="1"/>
  <c r="E25" i="1"/>
  <c r="E6" i="1"/>
  <c r="D90" i="1"/>
  <c r="E72" i="1"/>
  <c r="E26" i="1"/>
  <c r="D123" i="1"/>
  <c r="E24" i="1"/>
  <c r="E9" i="1"/>
  <c r="D127" i="1"/>
  <c r="E109" i="1"/>
  <c r="G67" i="1"/>
  <c r="D122" i="1"/>
  <c r="D80" i="1"/>
  <c r="D39" i="1"/>
  <c r="E126" i="1"/>
  <c r="E21" i="1"/>
  <c r="G107" i="1"/>
  <c r="D78" i="1"/>
  <c r="D18" i="1"/>
  <c r="D41" i="1"/>
  <c r="G68" i="1"/>
  <c r="D51" i="1"/>
  <c r="G91" i="1"/>
  <c r="G71" i="1" l="1"/>
  <c r="D56" i="1"/>
  <c r="G57" i="1"/>
  <c r="G99" i="1"/>
  <c r="G127" i="1"/>
  <c r="D118" i="1"/>
  <c r="G109" i="1"/>
  <c r="G31" i="1"/>
  <c r="H31" i="1" s="1"/>
  <c r="I31" i="1" s="1"/>
  <c r="G28" i="1"/>
  <c r="H28" i="1" s="1"/>
  <c r="I28" i="1" s="1"/>
  <c r="G65" i="1"/>
  <c r="G25" i="1"/>
  <c r="H25" i="1" s="1"/>
  <c r="I25" i="1" s="1"/>
  <c r="G77" i="1"/>
  <c r="M2" i="1" a="1"/>
  <c r="M2" i="1" s="1"/>
  <c r="L2" i="1" s="1"/>
  <c r="G120" i="1"/>
  <c r="G112" i="1"/>
  <c r="H112" i="1" s="1"/>
  <c r="I112" i="1" s="1"/>
  <c r="G29" i="1"/>
  <c r="H29" i="1" s="1"/>
  <c r="I29" i="1" s="1"/>
  <c r="G41" i="1"/>
  <c r="H41" i="1" s="1"/>
  <c r="I41" i="1" s="1"/>
  <c r="G116" i="1"/>
  <c r="G69" i="1"/>
  <c r="H69" i="1" s="1"/>
  <c r="I69" i="1" s="1"/>
  <c r="H91" i="1"/>
  <c r="I91" i="1" s="1"/>
  <c r="H32" i="1"/>
  <c r="I32" i="1" s="1"/>
  <c r="H103" i="1"/>
  <c r="I103" i="1" s="1"/>
  <c r="H109" i="1"/>
  <c r="I109" i="1" s="1"/>
  <c r="H67" i="1"/>
  <c r="I67" i="1" s="1"/>
  <c r="H68" i="1"/>
  <c r="I68" i="1" s="1"/>
  <c r="D49" i="1"/>
  <c r="H49" i="1" s="1"/>
  <c r="I49" i="1" s="1"/>
  <c r="G55" i="1"/>
  <c r="H55" i="1" s="1"/>
  <c r="I55" i="1" s="1"/>
  <c r="G110" i="1"/>
  <c r="H110" i="1" s="1"/>
  <c r="I110" i="1" s="1"/>
  <c r="H127" i="1"/>
  <c r="I127" i="1" s="1"/>
  <c r="G13" i="1"/>
  <c r="H13" i="1" s="1"/>
  <c r="I13" i="1" s="1"/>
  <c r="D102" i="1"/>
  <c r="H102" i="1" s="1"/>
  <c r="I102" i="1" s="1"/>
  <c r="D116" i="1"/>
  <c r="D65" i="1"/>
  <c r="G75" i="1"/>
  <c r="H75" i="1" s="1"/>
  <c r="I75" i="1" s="1"/>
  <c r="G111" i="1"/>
  <c r="H111" i="1" s="1"/>
  <c r="I111" i="1" s="1"/>
  <c r="D38" i="1"/>
  <c r="H38" i="1" s="1"/>
  <c r="I38" i="1" s="1"/>
  <c r="G98" i="1"/>
  <c r="H98" i="1" s="1"/>
  <c r="I98" i="1" s="1"/>
  <c r="G121" i="1"/>
  <c r="H121" i="1" s="1"/>
  <c r="I121" i="1" s="1"/>
  <c r="G100" i="1"/>
  <c r="H100" i="1" s="1"/>
  <c r="I100" i="1" s="1"/>
  <c r="D85" i="1"/>
  <c r="H85" i="1" s="1"/>
  <c r="I85" i="1" s="1"/>
  <c r="G24" i="1"/>
  <c r="H24" i="1" s="1"/>
  <c r="I24" i="1" s="1"/>
  <c r="G15" i="1"/>
  <c r="H15" i="1" s="1"/>
  <c r="I15" i="1" s="1"/>
  <c r="G59" i="1"/>
  <c r="H59" i="1" s="1"/>
  <c r="I59" i="1" s="1"/>
  <c r="G92" i="1"/>
  <c r="H92" i="1" s="1"/>
  <c r="I92" i="1" s="1"/>
  <c r="G128" i="1"/>
  <c r="H128" i="1" s="1"/>
  <c r="I128" i="1" s="1"/>
  <c r="G82" i="1"/>
  <c r="H82" i="1" s="1"/>
  <c r="I82" i="1" s="1"/>
  <c r="G97" i="1"/>
  <c r="H97" i="1" s="1"/>
  <c r="I97" i="1" s="1"/>
  <c r="G106" i="1"/>
  <c r="H106" i="1" s="1"/>
  <c r="I106" i="1" s="1"/>
  <c r="G63" i="1"/>
  <c r="H63" i="1" s="1"/>
  <c r="I63" i="1" s="1"/>
  <c r="G19" i="1"/>
  <c r="H19" i="1" s="1"/>
  <c r="I19" i="1" s="1"/>
  <c r="G23" i="1"/>
  <c r="H23" i="1" s="1"/>
  <c r="I23" i="1" s="1"/>
  <c r="G45" i="1"/>
  <c r="H45" i="1" s="1"/>
  <c r="I45" i="1" s="1"/>
  <c r="G125" i="1"/>
  <c r="H125" i="1" s="1"/>
  <c r="I125" i="1" s="1"/>
  <c r="G33" i="1"/>
  <c r="H33" i="1" s="1"/>
  <c r="I33" i="1" s="1"/>
  <c r="G21" i="1"/>
  <c r="H21" i="1" s="1"/>
  <c r="I21" i="1" s="1"/>
  <c r="G81" i="1"/>
  <c r="H81" i="1" s="1"/>
  <c r="I81" i="1" s="1"/>
  <c r="G17" i="1"/>
  <c r="H17" i="1" s="1"/>
  <c r="I17" i="1" s="1"/>
  <c r="G14" i="1"/>
  <c r="H14" i="1" s="1"/>
  <c r="I14" i="1" s="1"/>
  <c r="G60" i="1"/>
  <c r="H60" i="1" s="1"/>
  <c r="I60" i="1" s="1"/>
  <c r="G37" i="1"/>
  <c r="H37" i="1" s="1"/>
  <c r="I37" i="1" s="1"/>
  <c r="G66" i="1"/>
  <c r="H66" i="1" s="1"/>
  <c r="I66" i="1" s="1"/>
  <c r="G88" i="1"/>
  <c r="H88" i="1" s="1"/>
  <c r="I88" i="1" s="1"/>
  <c r="G119" i="1"/>
  <c r="H119" i="1" s="1"/>
  <c r="I119" i="1" s="1"/>
  <c r="G58" i="1"/>
  <c r="H58" i="1" s="1"/>
  <c r="I58" i="1" s="1"/>
  <c r="G40" i="1"/>
  <c r="H40" i="1" s="1"/>
  <c r="I40" i="1" s="1"/>
  <c r="G62" i="1"/>
  <c r="G44" i="1"/>
  <c r="H44" i="1" s="1"/>
  <c r="I44" i="1" s="1"/>
  <c r="G90" i="1"/>
  <c r="H90" i="1" s="1"/>
  <c r="I90" i="1" s="1"/>
  <c r="G61" i="1"/>
  <c r="H61" i="1" s="1"/>
  <c r="I61" i="1" s="1"/>
  <c r="G101" i="1"/>
  <c r="H101" i="1" s="1"/>
  <c r="I101" i="1" s="1"/>
  <c r="H78" i="1"/>
  <c r="I78" i="1" s="1"/>
  <c r="G46" i="1"/>
  <c r="H46" i="1" s="1"/>
  <c r="I46" i="1" s="1"/>
  <c r="H56" i="1"/>
  <c r="I56" i="1" s="1"/>
  <c r="H118" i="1"/>
  <c r="I118" i="1" s="1"/>
  <c r="G87" i="1"/>
  <c r="H87" i="1" s="1"/>
  <c r="I87" i="1" s="1"/>
  <c r="G93" i="1"/>
  <c r="H93" i="1" s="1"/>
  <c r="I93" i="1" s="1"/>
  <c r="D54" i="1"/>
  <c r="H54" i="1" s="1"/>
  <c r="I54" i="1" s="1"/>
  <c r="G122" i="1"/>
  <c r="H122" i="1" s="1"/>
  <c r="I122" i="1" s="1"/>
  <c r="G123" i="1"/>
  <c r="H123" i="1" s="1"/>
  <c r="I123" i="1" s="1"/>
  <c r="G124" i="1"/>
  <c r="H124" i="1" s="1"/>
  <c r="I124" i="1" s="1"/>
  <c r="G10" i="1"/>
  <c r="H10" i="1" s="1"/>
  <c r="I10" i="1" s="1"/>
  <c r="G80" i="1"/>
  <c r="H80" i="1" s="1"/>
  <c r="I80" i="1" s="1"/>
  <c r="G3" i="1"/>
  <c r="H3" i="1" s="1"/>
  <c r="I3" i="1" s="1"/>
  <c r="D120" i="1"/>
  <c r="G94" i="1"/>
  <c r="H94" i="1" s="1"/>
  <c r="I94" i="1" s="1"/>
  <c r="G95" i="1"/>
  <c r="H95" i="1" s="1"/>
  <c r="I95" i="1" s="1"/>
  <c r="G79" i="1"/>
  <c r="H79" i="1" s="1"/>
  <c r="I79" i="1" s="1"/>
  <c r="G115" i="1"/>
  <c r="H115" i="1" s="1"/>
  <c r="I115" i="1" s="1"/>
  <c r="G104" i="1"/>
  <c r="H104" i="1" s="1"/>
  <c r="I104" i="1" s="1"/>
  <c r="H57" i="1"/>
  <c r="I57" i="1" s="1"/>
  <c r="G16" i="1"/>
  <c r="H16" i="1" s="1"/>
  <c r="I16" i="1" s="1"/>
  <c r="G12" i="1"/>
  <c r="H12" i="1" s="1"/>
  <c r="I12" i="1" s="1"/>
  <c r="G108" i="1"/>
  <c r="H108" i="1" s="1"/>
  <c r="I108" i="1" s="1"/>
  <c r="G34" i="1"/>
  <c r="H34" i="1" s="1"/>
  <c r="I34" i="1" s="1"/>
  <c r="H99" i="1"/>
  <c r="I99" i="1" s="1"/>
  <c r="G117" i="1"/>
  <c r="H117" i="1" s="1"/>
  <c r="I117" i="1" s="1"/>
  <c r="G70" i="1"/>
  <c r="H70" i="1" s="1"/>
  <c r="I70" i="1" s="1"/>
  <c r="G84" i="1"/>
  <c r="H84" i="1" s="1"/>
  <c r="I84" i="1" s="1"/>
  <c r="G126" i="1"/>
  <c r="H126" i="1" s="1"/>
  <c r="I126" i="1" s="1"/>
  <c r="G27" i="1"/>
  <c r="H27" i="1" s="1"/>
  <c r="I27" i="1" s="1"/>
  <c r="G8" i="1"/>
  <c r="H8" i="1" s="1"/>
  <c r="I8" i="1" s="1"/>
  <c r="G11" i="1"/>
  <c r="H11" i="1" s="1"/>
  <c r="I11" i="1" s="1"/>
  <c r="D77" i="1"/>
  <c r="D36" i="1"/>
  <c r="H36" i="1" s="1"/>
  <c r="I36" i="1" s="1"/>
  <c r="G9" i="1"/>
  <c r="H9" i="1" s="1"/>
  <c r="I9" i="1" s="1"/>
  <c r="D48" i="1"/>
  <c r="H48" i="1" s="1"/>
  <c r="I48" i="1" s="1"/>
  <c r="D74" i="1"/>
  <c r="H74" i="1" s="1"/>
  <c r="I74" i="1" s="1"/>
  <c r="G5" i="1"/>
  <c r="H5" i="1" s="1"/>
  <c r="I5" i="1" s="1"/>
  <c r="G105" i="1"/>
  <c r="H105" i="1" s="1"/>
  <c r="I105" i="1" s="1"/>
  <c r="H107" i="1"/>
  <c r="I107" i="1" s="1"/>
  <c r="G89" i="1"/>
  <c r="H89" i="1" s="1"/>
  <c r="I89" i="1" s="1"/>
  <c r="G26" i="1"/>
  <c r="H26" i="1" s="1"/>
  <c r="I26" i="1" s="1"/>
  <c r="D113" i="1"/>
  <c r="H113" i="1" s="1"/>
  <c r="I113" i="1" s="1"/>
  <c r="G47" i="1"/>
  <c r="H47" i="1" s="1"/>
  <c r="I47" i="1" s="1"/>
  <c r="G4" i="1"/>
  <c r="H4" i="1" s="1"/>
  <c r="I4" i="1" s="1"/>
  <c r="G42" i="1"/>
  <c r="H42" i="1" s="1"/>
  <c r="I42" i="1" s="1"/>
  <c r="G35" i="1"/>
  <c r="H35" i="1" s="1"/>
  <c r="I35" i="1" s="1"/>
  <c r="G72" i="1"/>
  <c r="H72" i="1" s="1"/>
  <c r="I72" i="1" s="1"/>
  <c r="G22" i="1"/>
  <c r="H22" i="1" s="1"/>
  <c r="I22" i="1" s="1"/>
  <c r="D71" i="1"/>
  <c r="H71" i="1" s="1"/>
  <c r="I71" i="1" s="1"/>
  <c r="G83" i="1"/>
  <c r="H83" i="1" s="1"/>
  <c r="I83" i="1" s="1"/>
  <c r="G39" i="1"/>
  <c r="H39" i="1" s="1"/>
  <c r="I39" i="1" s="1"/>
  <c r="G114" i="1"/>
  <c r="H114" i="1" s="1"/>
  <c r="I114" i="1" s="1"/>
  <c r="G50" i="1"/>
  <c r="H50" i="1" s="1"/>
  <c r="I50" i="1" s="1"/>
  <c r="G76" i="1"/>
  <c r="H76" i="1" s="1"/>
  <c r="I76" i="1" s="1"/>
  <c r="G6" i="1"/>
  <c r="H6" i="1" s="1"/>
  <c r="I6" i="1" s="1"/>
  <c r="G43" i="1"/>
  <c r="H43" i="1" s="1"/>
  <c r="I43" i="1" s="1"/>
  <c r="G30" i="1"/>
  <c r="H30" i="1" s="1"/>
  <c r="I30" i="1" s="1"/>
  <c r="G64" i="1"/>
  <c r="H64" i="1" s="1"/>
  <c r="I64" i="1" s="1"/>
  <c r="G20" i="1"/>
  <c r="H20" i="1" s="1"/>
  <c r="I20" i="1" s="1"/>
  <c r="G96" i="1"/>
  <c r="H96" i="1" s="1"/>
  <c r="I96" i="1" s="1"/>
  <c r="G73" i="1"/>
  <c r="H73" i="1" s="1"/>
  <c r="I73" i="1" s="1"/>
  <c r="G52" i="1"/>
  <c r="H52" i="1" s="1"/>
  <c r="I52" i="1" s="1"/>
  <c r="G51" i="1"/>
  <c r="H51" i="1" s="1"/>
  <c r="I51" i="1" s="1"/>
  <c r="G53" i="1"/>
  <c r="H53" i="1" s="1"/>
  <c r="I53" i="1" s="1"/>
  <c r="G7" i="1"/>
  <c r="H7" i="1" s="1"/>
  <c r="I7" i="1" s="1"/>
  <c r="D62" i="1"/>
  <c r="G86" i="1"/>
  <c r="H86" i="1" s="1"/>
  <c r="I86" i="1" s="1"/>
  <c r="G18" i="1"/>
  <c r="H18" i="1" s="1"/>
  <c r="I18" i="1" s="1"/>
  <c r="G2" i="1"/>
  <c r="H2" i="1" s="1"/>
  <c r="H120" i="1" l="1"/>
  <c r="I120" i="1" s="1"/>
  <c r="H116" i="1"/>
  <c r="I116" i="1" s="1"/>
  <c r="H77" i="1"/>
  <c r="I77" i="1" s="1"/>
  <c r="L5" i="1"/>
  <c r="H65" i="1"/>
  <c r="I65" i="1" s="1"/>
  <c r="L11" i="1"/>
  <c r="L10" i="1"/>
  <c r="L9" i="1"/>
  <c r="L8" i="1"/>
  <c r="L7" i="1"/>
  <c r="L6" i="1"/>
  <c r="L3" i="1"/>
  <c r="L4" i="1"/>
  <c r="H62" i="1"/>
  <c r="I62" i="1" s="1"/>
  <c r="I2" i="1"/>
  <c r="A2" i="2" l="1" a="1"/>
  <c r="A2" i="2" l="1"/>
  <c r="D410" i="2"/>
  <c r="D422" i="2"/>
  <c r="D434" i="2"/>
  <c r="D446" i="2"/>
  <c r="D458" i="2"/>
  <c r="D470" i="2"/>
  <c r="D482" i="2"/>
  <c r="D494" i="2"/>
  <c r="D506" i="2"/>
  <c r="D518" i="2"/>
  <c r="D530" i="2"/>
  <c r="C419" i="2"/>
  <c r="F419" i="2" s="1"/>
  <c r="C431" i="2"/>
  <c r="F431" i="2" s="1"/>
  <c r="C443" i="2"/>
  <c r="F443" i="2" s="1"/>
  <c r="C455" i="2"/>
  <c r="F455" i="2" s="1"/>
  <c r="C467" i="2"/>
  <c r="F467" i="2" s="1"/>
  <c r="C479" i="2"/>
  <c r="F479" i="2" s="1"/>
  <c r="C491" i="2"/>
  <c r="F491" i="2" s="1"/>
  <c r="C503" i="2"/>
  <c r="F503" i="2" s="1"/>
  <c r="C515" i="2"/>
  <c r="F515" i="2" s="1"/>
  <c r="C527" i="2"/>
  <c r="F527" i="2" s="1"/>
  <c r="C539" i="2"/>
  <c r="F539" i="2" s="1"/>
  <c r="D411" i="2"/>
  <c r="D423" i="2"/>
  <c r="D435" i="2"/>
  <c r="D447" i="2"/>
  <c r="D459" i="2"/>
  <c r="D471" i="2"/>
  <c r="D483" i="2"/>
  <c r="D495" i="2"/>
  <c r="D507" i="2"/>
  <c r="D519" i="2"/>
  <c r="D531" i="2"/>
  <c r="C420" i="2"/>
  <c r="F420" i="2" s="1"/>
  <c r="C432" i="2"/>
  <c r="F432" i="2" s="1"/>
  <c r="C444" i="2"/>
  <c r="F444" i="2" s="1"/>
  <c r="C456" i="2"/>
  <c r="F456" i="2" s="1"/>
  <c r="C468" i="2"/>
  <c r="F468" i="2" s="1"/>
  <c r="C480" i="2"/>
  <c r="F480" i="2" s="1"/>
  <c r="C492" i="2"/>
  <c r="F492" i="2" s="1"/>
  <c r="C504" i="2"/>
  <c r="F504" i="2" s="1"/>
  <c r="C516" i="2"/>
  <c r="F516" i="2" s="1"/>
  <c r="C528" i="2"/>
  <c r="F528" i="2" s="1"/>
  <c r="C540" i="2"/>
  <c r="F540" i="2" s="1"/>
  <c r="D412" i="2"/>
  <c r="D424" i="2"/>
  <c r="D436" i="2"/>
  <c r="D448" i="2"/>
  <c r="D460" i="2"/>
  <c r="D472" i="2"/>
  <c r="D484" i="2"/>
  <c r="D496" i="2"/>
  <c r="D520" i="2"/>
  <c r="D532" i="2"/>
  <c r="C421" i="2"/>
  <c r="F421" i="2" s="1"/>
  <c r="C445" i="2"/>
  <c r="F445" i="2" s="1"/>
  <c r="C457" i="2"/>
  <c r="F457" i="2" s="1"/>
  <c r="C481" i="2"/>
  <c r="F481" i="2" s="1"/>
  <c r="C505" i="2"/>
  <c r="F505" i="2" s="1"/>
  <c r="C529" i="2"/>
  <c r="F529" i="2" s="1"/>
  <c r="D430" i="2"/>
  <c r="D502" i="2"/>
  <c r="C427" i="2"/>
  <c r="F427" i="2" s="1"/>
  <c r="C487" i="2"/>
  <c r="F487" i="2" s="1"/>
  <c r="C464" i="2"/>
  <c r="F464" i="2" s="1"/>
  <c r="C536" i="2"/>
  <c r="F536" i="2" s="1"/>
  <c r="D480" i="2"/>
  <c r="C429" i="2"/>
  <c r="F429" i="2" s="1"/>
  <c r="C501" i="2"/>
  <c r="F501" i="2" s="1"/>
  <c r="D504" i="2"/>
  <c r="D413" i="2"/>
  <c r="D425" i="2"/>
  <c r="D437" i="2"/>
  <c r="D449" i="2"/>
  <c r="D461" i="2"/>
  <c r="D473" i="2"/>
  <c r="D485" i="2"/>
  <c r="D497" i="2"/>
  <c r="D509" i="2"/>
  <c r="D521" i="2"/>
  <c r="D533" i="2"/>
  <c r="C410" i="2"/>
  <c r="F410" i="2" s="1"/>
  <c r="C422" i="2"/>
  <c r="F422" i="2" s="1"/>
  <c r="C434" i="2"/>
  <c r="F434" i="2" s="1"/>
  <c r="C446" i="2"/>
  <c r="F446" i="2" s="1"/>
  <c r="C458" i="2"/>
  <c r="F458" i="2" s="1"/>
  <c r="C470" i="2"/>
  <c r="F470" i="2" s="1"/>
  <c r="C482" i="2"/>
  <c r="F482" i="2" s="1"/>
  <c r="G482" i="2" s="1"/>
  <c r="C494" i="2"/>
  <c r="F494" i="2" s="1"/>
  <c r="C506" i="2"/>
  <c r="F506" i="2" s="1"/>
  <c r="C518" i="2"/>
  <c r="F518" i="2" s="1"/>
  <c r="G518" i="2" s="1"/>
  <c r="C530" i="2"/>
  <c r="F530" i="2" s="1"/>
  <c r="D426" i="2"/>
  <c r="D438" i="2"/>
  <c r="D450" i="2"/>
  <c r="D462" i="2"/>
  <c r="D474" i="2"/>
  <c r="D486" i="2"/>
  <c r="D498" i="2"/>
  <c r="D510" i="2"/>
  <c r="D522" i="2"/>
  <c r="C411" i="2"/>
  <c r="F411" i="2" s="1"/>
  <c r="C423" i="2"/>
  <c r="F423" i="2" s="1"/>
  <c r="C447" i="2"/>
  <c r="F447" i="2" s="1"/>
  <c r="C459" i="2"/>
  <c r="F459" i="2" s="1"/>
  <c r="C483" i="2"/>
  <c r="F483" i="2" s="1"/>
  <c r="C507" i="2"/>
  <c r="F507" i="2" s="1"/>
  <c r="C531" i="2"/>
  <c r="F531" i="2" s="1"/>
  <c r="D415" i="2"/>
  <c r="D439" i="2"/>
  <c r="D463" i="2"/>
  <c r="D487" i="2"/>
  <c r="D523" i="2"/>
  <c r="C412" i="2"/>
  <c r="F412" i="2" s="1"/>
  <c r="G412" i="2" s="1"/>
  <c r="C436" i="2"/>
  <c r="F436" i="2" s="1"/>
  <c r="C460" i="2"/>
  <c r="F460" i="2" s="1"/>
  <c r="C484" i="2"/>
  <c r="F484" i="2" s="1"/>
  <c r="C508" i="2"/>
  <c r="F508" i="2" s="1"/>
  <c r="G508" i="2" s="1"/>
  <c r="C532" i="2"/>
  <c r="F532" i="2" s="1"/>
  <c r="D418" i="2"/>
  <c r="D478" i="2"/>
  <c r="D526" i="2"/>
  <c r="C439" i="2"/>
  <c r="F439" i="2" s="1"/>
  <c r="C499" i="2"/>
  <c r="F499" i="2" s="1"/>
  <c r="C488" i="2"/>
  <c r="F488" i="2" s="1"/>
  <c r="D444" i="2"/>
  <c r="D516" i="2"/>
  <c r="E516" i="2" s="1"/>
  <c r="C453" i="2"/>
  <c r="F453" i="2" s="1"/>
  <c r="C525" i="2"/>
  <c r="F525" i="2" s="1"/>
  <c r="D414" i="2"/>
  <c r="D534" i="2"/>
  <c r="C435" i="2"/>
  <c r="F435" i="2" s="1"/>
  <c r="C471" i="2"/>
  <c r="F471" i="2" s="1"/>
  <c r="C495" i="2"/>
  <c r="F495" i="2" s="1"/>
  <c r="C519" i="2"/>
  <c r="F519" i="2" s="1"/>
  <c r="D427" i="2"/>
  <c r="D451" i="2"/>
  <c r="D475" i="2"/>
  <c r="D499" i="2"/>
  <c r="D511" i="2"/>
  <c r="D535" i="2"/>
  <c r="C424" i="2"/>
  <c r="F424" i="2" s="1"/>
  <c r="C448" i="2"/>
  <c r="F448" i="2" s="1"/>
  <c r="C472" i="2"/>
  <c r="F472" i="2" s="1"/>
  <c r="C496" i="2"/>
  <c r="F496" i="2" s="1"/>
  <c r="C520" i="2"/>
  <c r="F520" i="2" s="1"/>
  <c r="D454" i="2"/>
  <c r="D514" i="2"/>
  <c r="C451" i="2"/>
  <c r="F451" i="2" s="1"/>
  <c r="C511" i="2"/>
  <c r="F511" i="2" s="1"/>
  <c r="C512" i="2"/>
  <c r="F512" i="2" s="1"/>
  <c r="D432" i="2"/>
  <c r="C441" i="2"/>
  <c r="F441" i="2" s="1"/>
  <c r="C513" i="2"/>
  <c r="F513" i="2" s="1"/>
  <c r="D492" i="2"/>
  <c r="D416" i="2"/>
  <c r="D428" i="2"/>
  <c r="D440" i="2"/>
  <c r="D452" i="2"/>
  <c r="D464" i="2"/>
  <c r="E464" i="2" s="1"/>
  <c r="D476" i="2"/>
  <c r="D488" i="2"/>
  <c r="E488" i="2" s="1"/>
  <c r="D500" i="2"/>
  <c r="D512" i="2"/>
  <c r="D524" i="2"/>
  <c r="D536" i="2"/>
  <c r="C413" i="2"/>
  <c r="F413" i="2" s="1"/>
  <c r="C425" i="2"/>
  <c r="F425" i="2" s="1"/>
  <c r="C437" i="2"/>
  <c r="F437" i="2" s="1"/>
  <c r="C449" i="2"/>
  <c r="F449" i="2" s="1"/>
  <c r="G449" i="2" s="1"/>
  <c r="C461" i="2"/>
  <c r="F461" i="2" s="1"/>
  <c r="C473" i="2"/>
  <c r="F473" i="2" s="1"/>
  <c r="C485" i="2"/>
  <c r="F485" i="2" s="1"/>
  <c r="C497" i="2"/>
  <c r="F497" i="2" s="1"/>
  <c r="C509" i="2"/>
  <c r="F509" i="2" s="1"/>
  <c r="C521" i="2"/>
  <c r="F521" i="2" s="1"/>
  <c r="C533" i="2"/>
  <c r="F533" i="2" s="1"/>
  <c r="D466" i="2"/>
  <c r="D538" i="2"/>
  <c r="C463" i="2"/>
  <c r="F463" i="2" s="1"/>
  <c r="C535" i="2"/>
  <c r="F535" i="2" s="1"/>
  <c r="C524" i="2"/>
  <c r="F524" i="2" s="1"/>
  <c r="D468" i="2"/>
  <c r="C417" i="2"/>
  <c r="F417" i="2" s="1"/>
  <c r="C489" i="2"/>
  <c r="F489" i="2" s="1"/>
  <c r="D417" i="2"/>
  <c r="D429" i="2"/>
  <c r="D441" i="2"/>
  <c r="D453" i="2"/>
  <c r="D465" i="2"/>
  <c r="D477" i="2"/>
  <c r="D489" i="2"/>
  <c r="D501" i="2"/>
  <c r="D513" i="2"/>
  <c r="D525" i="2"/>
  <c r="D537" i="2"/>
  <c r="C414" i="2"/>
  <c r="F414" i="2" s="1"/>
  <c r="C426" i="2"/>
  <c r="F426" i="2" s="1"/>
  <c r="C438" i="2"/>
  <c r="F438" i="2" s="1"/>
  <c r="C450" i="2"/>
  <c r="F450" i="2" s="1"/>
  <c r="C462" i="2"/>
  <c r="F462" i="2" s="1"/>
  <c r="C474" i="2"/>
  <c r="F474" i="2" s="1"/>
  <c r="C486" i="2"/>
  <c r="F486" i="2" s="1"/>
  <c r="G486" i="2" s="1"/>
  <c r="C498" i="2"/>
  <c r="F498" i="2" s="1"/>
  <c r="C510" i="2"/>
  <c r="F510" i="2" s="1"/>
  <c r="C522" i="2"/>
  <c r="F522" i="2" s="1"/>
  <c r="C534" i="2"/>
  <c r="F534" i="2" s="1"/>
  <c r="D419" i="2"/>
  <c r="E419" i="2" s="1"/>
  <c r="D431" i="2"/>
  <c r="D443" i="2"/>
  <c r="D455" i="2"/>
  <c r="D467" i="2"/>
  <c r="D479" i="2"/>
  <c r="D491" i="2"/>
  <c r="E491" i="2" s="1"/>
  <c r="D503" i="2"/>
  <c r="D515" i="2"/>
  <c r="D527" i="2"/>
  <c r="D539" i="2"/>
  <c r="C416" i="2"/>
  <c r="F416" i="2" s="1"/>
  <c r="C428" i="2"/>
  <c r="F428" i="2" s="1"/>
  <c r="C440" i="2"/>
  <c r="F440" i="2" s="1"/>
  <c r="C452" i="2"/>
  <c r="F452" i="2" s="1"/>
  <c r="C476" i="2"/>
  <c r="F476" i="2" s="1"/>
  <c r="D456" i="2"/>
  <c r="D540" i="2"/>
  <c r="C477" i="2"/>
  <c r="F477" i="2" s="1"/>
  <c r="D421" i="2"/>
  <c r="D433" i="2"/>
  <c r="D445" i="2"/>
  <c r="D457" i="2"/>
  <c r="D469" i="2"/>
  <c r="D481" i="2"/>
  <c r="D493" i="2"/>
  <c r="D505" i="2"/>
  <c r="D517" i="2"/>
  <c r="D529" i="2"/>
  <c r="E529" i="2" s="1"/>
  <c r="D541" i="2"/>
  <c r="C418" i="2"/>
  <c r="F418" i="2" s="1"/>
  <c r="C430" i="2"/>
  <c r="F430" i="2" s="1"/>
  <c r="C442" i="2"/>
  <c r="F442" i="2" s="1"/>
  <c r="C454" i="2"/>
  <c r="F454" i="2" s="1"/>
  <c r="C466" i="2"/>
  <c r="F466" i="2" s="1"/>
  <c r="C478" i="2"/>
  <c r="F478" i="2" s="1"/>
  <c r="C490" i="2"/>
  <c r="F490" i="2" s="1"/>
  <c r="C502" i="2"/>
  <c r="F502" i="2" s="1"/>
  <c r="C514" i="2"/>
  <c r="F514" i="2" s="1"/>
  <c r="C526" i="2"/>
  <c r="F526" i="2" s="1"/>
  <c r="C538" i="2"/>
  <c r="F538" i="2" s="1"/>
  <c r="D508" i="2"/>
  <c r="C433" i="2"/>
  <c r="F433" i="2" s="1"/>
  <c r="C469" i="2"/>
  <c r="F469" i="2" s="1"/>
  <c r="C493" i="2"/>
  <c r="F493" i="2" s="1"/>
  <c r="C517" i="2"/>
  <c r="F517" i="2" s="1"/>
  <c r="C541" i="2"/>
  <c r="F541" i="2" s="1"/>
  <c r="D442" i="2"/>
  <c r="D490" i="2"/>
  <c r="E490" i="2" s="1"/>
  <c r="C415" i="2"/>
  <c r="F415" i="2" s="1"/>
  <c r="C475" i="2"/>
  <c r="F475" i="2" s="1"/>
  <c r="C523" i="2"/>
  <c r="F523" i="2" s="1"/>
  <c r="C500" i="2"/>
  <c r="F500" i="2" s="1"/>
  <c r="D420" i="2"/>
  <c r="D528" i="2"/>
  <c r="C465" i="2"/>
  <c r="F465" i="2" s="1"/>
  <c r="C537" i="2"/>
  <c r="F537" i="2" s="1"/>
  <c r="D343" i="2"/>
  <c r="D199" i="2"/>
  <c r="D55" i="2"/>
  <c r="D318" i="2"/>
  <c r="D174" i="2"/>
  <c r="D30" i="2"/>
  <c r="D293" i="2"/>
  <c r="D149" i="2"/>
  <c r="D5" i="2"/>
  <c r="D268" i="2"/>
  <c r="D124" i="2"/>
  <c r="D387" i="2"/>
  <c r="D243" i="2"/>
  <c r="D99" i="2"/>
  <c r="D374" i="2"/>
  <c r="D230" i="2"/>
  <c r="D86" i="2"/>
  <c r="D349" i="2"/>
  <c r="D205" i="2"/>
  <c r="D61" i="2"/>
  <c r="D324" i="2"/>
  <c r="D180" i="2"/>
  <c r="D36" i="2"/>
  <c r="D299" i="2"/>
  <c r="D155" i="2"/>
  <c r="D11" i="2"/>
  <c r="D274" i="2"/>
  <c r="D130" i="2"/>
  <c r="D393" i="2"/>
  <c r="D249" i="2"/>
  <c r="D105" i="2"/>
  <c r="D368" i="2"/>
  <c r="D224" i="2"/>
  <c r="D80" i="2"/>
  <c r="D331" i="2"/>
  <c r="D187" i="2"/>
  <c r="D43" i="2"/>
  <c r="D306" i="2"/>
  <c r="D162" i="2"/>
  <c r="D18" i="2"/>
  <c r="D281" i="2"/>
  <c r="D137" i="2"/>
  <c r="D400" i="2"/>
  <c r="D256" i="2"/>
  <c r="D112" i="2"/>
  <c r="D375" i="2"/>
  <c r="D231" i="2"/>
  <c r="D87" i="2"/>
  <c r="D362" i="2"/>
  <c r="D218" i="2"/>
  <c r="D74" i="2"/>
  <c r="D337" i="2"/>
  <c r="D193" i="2"/>
  <c r="D49" i="2"/>
  <c r="D312" i="2"/>
  <c r="D168" i="2"/>
  <c r="D24" i="2"/>
  <c r="D287" i="2"/>
  <c r="D143" i="2"/>
  <c r="D406" i="2"/>
  <c r="D262" i="2"/>
  <c r="D118" i="2"/>
  <c r="D381" i="2"/>
  <c r="D237" i="2"/>
  <c r="D93" i="2"/>
  <c r="D356" i="2"/>
  <c r="D212" i="2"/>
  <c r="D68" i="2"/>
  <c r="D319" i="2"/>
  <c r="D175" i="2"/>
  <c r="D31" i="2"/>
  <c r="D294" i="2"/>
  <c r="D150" i="2"/>
  <c r="D6" i="2"/>
  <c r="D269" i="2"/>
  <c r="D125" i="2"/>
  <c r="D388" i="2"/>
  <c r="D244" i="2"/>
  <c r="D100" i="2"/>
  <c r="D363" i="2"/>
  <c r="D219" i="2"/>
  <c r="D75" i="2"/>
  <c r="D350" i="2"/>
  <c r="D206" i="2"/>
  <c r="D62" i="2"/>
  <c r="D325" i="2"/>
  <c r="D181" i="2"/>
  <c r="D37" i="2"/>
  <c r="D300" i="2"/>
  <c r="D156" i="2"/>
  <c r="D12" i="2"/>
  <c r="D275" i="2"/>
  <c r="D131" i="2"/>
  <c r="D394" i="2"/>
  <c r="D250" i="2"/>
  <c r="D106" i="2"/>
  <c r="D369" i="2"/>
  <c r="D225" i="2"/>
  <c r="D81" i="2"/>
  <c r="D344" i="2"/>
  <c r="D200" i="2"/>
  <c r="D56" i="2"/>
  <c r="D307" i="2"/>
  <c r="D163" i="2"/>
  <c r="D19" i="2"/>
  <c r="D282" i="2"/>
  <c r="D138" i="2"/>
  <c r="D401" i="2"/>
  <c r="D257" i="2"/>
  <c r="D113" i="2"/>
  <c r="D376" i="2"/>
  <c r="D232" i="2"/>
  <c r="D88" i="2"/>
  <c r="D351" i="2"/>
  <c r="D207" i="2"/>
  <c r="D63" i="2"/>
  <c r="D338" i="2"/>
  <c r="D194" i="2"/>
  <c r="D50" i="2"/>
  <c r="D313" i="2"/>
  <c r="D169" i="2"/>
  <c r="D25" i="2"/>
  <c r="D288" i="2"/>
  <c r="D144" i="2"/>
  <c r="D407" i="2"/>
  <c r="D263" i="2"/>
  <c r="D119" i="2"/>
  <c r="D382" i="2"/>
  <c r="D238" i="2"/>
  <c r="D94" i="2"/>
  <c r="D357" i="2"/>
  <c r="D213" i="2"/>
  <c r="D69" i="2"/>
  <c r="D332" i="2"/>
  <c r="D188" i="2"/>
  <c r="D44" i="2"/>
  <c r="D295" i="2"/>
  <c r="D151" i="2"/>
  <c r="D7" i="2"/>
  <c r="D270" i="2"/>
  <c r="D126" i="2"/>
  <c r="D389" i="2"/>
  <c r="D245" i="2"/>
  <c r="D101" i="2"/>
  <c r="D364" i="2"/>
  <c r="D220" i="2"/>
  <c r="D76" i="2"/>
  <c r="D339" i="2"/>
  <c r="D195" i="2"/>
  <c r="D51" i="2"/>
  <c r="D326" i="2"/>
  <c r="D182" i="2"/>
  <c r="D38" i="2"/>
  <c r="D301" i="2"/>
  <c r="D157" i="2"/>
  <c r="D13" i="2"/>
  <c r="D276" i="2"/>
  <c r="D132" i="2"/>
  <c r="D395" i="2"/>
  <c r="D251" i="2"/>
  <c r="D107" i="2"/>
  <c r="D370" i="2"/>
  <c r="D226" i="2"/>
  <c r="D82" i="2"/>
  <c r="D345" i="2"/>
  <c r="D201" i="2"/>
  <c r="D57" i="2"/>
  <c r="D320" i="2"/>
  <c r="D176" i="2"/>
  <c r="D32" i="2"/>
  <c r="D283" i="2"/>
  <c r="D139" i="2"/>
  <c r="D402" i="2"/>
  <c r="D258" i="2"/>
  <c r="D114" i="2"/>
  <c r="D377" i="2"/>
  <c r="D233" i="2"/>
  <c r="D89" i="2"/>
  <c r="D352" i="2"/>
  <c r="D208" i="2"/>
  <c r="D64" i="2"/>
  <c r="D327" i="2"/>
  <c r="D183" i="2"/>
  <c r="D39" i="2"/>
  <c r="D314" i="2"/>
  <c r="D170" i="2"/>
  <c r="D26" i="2"/>
  <c r="D289" i="2"/>
  <c r="D145" i="2"/>
  <c r="D408" i="2"/>
  <c r="D264" i="2"/>
  <c r="D120" i="2"/>
  <c r="D383" i="2"/>
  <c r="D239" i="2"/>
  <c r="D95" i="2"/>
  <c r="D358" i="2"/>
  <c r="D214" i="2"/>
  <c r="D70" i="2"/>
  <c r="D333" i="2"/>
  <c r="D189" i="2"/>
  <c r="D45" i="2"/>
  <c r="D308" i="2"/>
  <c r="D164" i="2"/>
  <c r="D20" i="2"/>
  <c r="D271" i="2"/>
  <c r="D127" i="2"/>
  <c r="D390" i="2"/>
  <c r="D246" i="2"/>
  <c r="D102" i="2"/>
  <c r="D365" i="2"/>
  <c r="D221" i="2"/>
  <c r="D77" i="2"/>
  <c r="D340" i="2"/>
  <c r="D196" i="2"/>
  <c r="D52" i="2"/>
  <c r="D315" i="2"/>
  <c r="D171" i="2"/>
  <c r="D27" i="2"/>
  <c r="D302" i="2"/>
  <c r="D158" i="2"/>
  <c r="D14" i="2"/>
  <c r="D277" i="2"/>
  <c r="D133" i="2"/>
  <c r="D396" i="2"/>
  <c r="D252" i="2"/>
  <c r="D108" i="2"/>
  <c r="D371" i="2"/>
  <c r="D227" i="2"/>
  <c r="D83" i="2"/>
  <c r="D346" i="2"/>
  <c r="D202" i="2"/>
  <c r="D58" i="2"/>
  <c r="D321" i="2"/>
  <c r="D177" i="2"/>
  <c r="D33" i="2"/>
  <c r="D296" i="2"/>
  <c r="D152" i="2"/>
  <c r="D8" i="2"/>
  <c r="C270" i="2"/>
  <c r="F270" i="2" s="1"/>
  <c r="C42" i="2"/>
  <c r="F42" i="2" s="1"/>
  <c r="G42" i="2" s="1"/>
  <c r="C257" i="2"/>
  <c r="F257" i="2" s="1"/>
  <c r="C101" i="2"/>
  <c r="F101" i="2" s="1"/>
  <c r="C364" i="2"/>
  <c r="F364" i="2" s="1"/>
  <c r="C220" i="2"/>
  <c r="F220" i="2" s="1"/>
  <c r="C76" i="2"/>
  <c r="F76" i="2" s="1"/>
  <c r="D403" i="2"/>
  <c r="D259" i="2"/>
  <c r="D115" i="2"/>
  <c r="D378" i="2"/>
  <c r="D234" i="2"/>
  <c r="D90" i="2"/>
  <c r="D353" i="2"/>
  <c r="D209" i="2"/>
  <c r="D65" i="2"/>
  <c r="D328" i="2"/>
  <c r="D184" i="2"/>
  <c r="D40" i="2"/>
  <c r="D303" i="2"/>
  <c r="D159" i="2"/>
  <c r="D15" i="2"/>
  <c r="D290" i="2"/>
  <c r="D146" i="2"/>
  <c r="D409" i="2"/>
  <c r="D265" i="2"/>
  <c r="D121" i="2"/>
  <c r="D384" i="2"/>
  <c r="D240" i="2"/>
  <c r="D96" i="2"/>
  <c r="D359" i="2"/>
  <c r="D215" i="2"/>
  <c r="D71" i="2"/>
  <c r="D334" i="2"/>
  <c r="D190" i="2"/>
  <c r="D46" i="2"/>
  <c r="D309" i="2"/>
  <c r="D165" i="2"/>
  <c r="D21" i="2"/>
  <c r="D284" i="2"/>
  <c r="D140" i="2"/>
  <c r="C246" i="2"/>
  <c r="F246" i="2" s="1"/>
  <c r="G246" i="2" s="1"/>
  <c r="C30" i="2"/>
  <c r="F30" i="2" s="1"/>
  <c r="C233" i="2"/>
  <c r="F233" i="2" s="1"/>
  <c r="C89" i="2"/>
  <c r="F89" i="2" s="1"/>
  <c r="G89" i="2" s="1"/>
  <c r="C352" i="2"/>
  <c r="F352" i="2" s="1"/>
  <c r="C208" i="2"/>
  <c r="F208" i="2" s="1"/>
  <c r="G208" i="2" s="1"/>
  <c r="C64" i="2"/>
  <c r="F64" i="2" s="1"/>
  <c r="G64" i="2" s="1"/>
  <c r="C317" i="2"/>
  <c r="F317" i="2" s="1"/>
  <c r="C279" i="2"/>
  <c r="F279" i="2" s="1"/>
  <c r="C135" i="2"/>
  <c r="F135" i="2" s="1"/>
  <c r="C398" i="2"/>
  <c r="F398" i="2" s="1"/>
  <c r="C254" i="2"/>
  <c r="F254" i="2" s="1"/>
  <c r="C110" i="2"/>
  <c r="F110" i="2" s="1"/>
  <c r="C373" i="2"/>
  <c r="F373" i="2" s="1"/>
  <c r="C229" i="2"/>
  <c r="F229" i="2" s="1"/>
  <c r="G229" i="2" s="1"/>
  <c r="C85" i="2"/>
  <c r="F85" i="2" s="1"/>
  <c r="G85" i="2" s="1"/>
  <c r="C348" i="2"/>
  <c r="F348" i="2" s="1"/>
  <c r="C204" i="2"/>
  <c r="F204" i="2" s="1"/>
  <c r="G204" i="2" s="1"/>
  <c r="C60" i="2"/>
  <c r="F60" i="2" s="1"/>
  <c r="G60" i="2" s="1"/>
  <c r="C210" i="2"/>
  <c r="F210" i="2" s="1"/>
  <c r="G210" i="2" s="1"/>
  <c r="C311" i="2"/>
  <c r="F311" i="2" s="1"/>
  <c r="C167" i="2"/>
  <c r="F167" i="2" s="1"/>
  <c r="G167" i="2" s="1"/>
  <c r="C23" i="2"/>
  <c r="F23" i="2" s="1"/>
  <c r="C286" i="2"/>
  <c r="F286" i="2" s="1"/>
  <c r="C142" i="2"/>
  <c r="F142" i="2" s="1"/>
  <c r="G142" i="2" s="1"/>
  <c r="C405" i="2"/>
  <c r="F405" i="2" s="1"/>
  <c r="C261" i="2"/>
  <c r="F261" i="2" s="1"/>
  <c r="C117" i="2"/>
  <c r="F117" i="2" s="1"/>
  <c r="C380" i="2"/>
  <c r="F380" i="2" s="1"/>
  <c r="G380" i="2" s="1"/>
  <c r="C236" i="2"/>
  <c r="F236" i="2" s="1"/>
  <c r="C92" i="2"/>
  <c r="F92" i="2" s="1"/>
  <c r="G92" i="2" s="1"/>
  <c r="C355" i="2"/>
  <c r="F355" i="2" s="1"/>
  <c r="C211" i="2"/>
  <c r="F211" i="2" s="1"/>
  <c r="G211" i="2" s="1"/>
  <c r="C67" i="2"/>
  <c r="F67" i="2" s="1"/>
  <c r="C222" i="2"/>
  <c r="F222" i="2" s="1"/>
  <c r="C18" i="2"/>
  <c r="F18" i="2" s="1"/>
  <c r="C221" i="2"/>
  <c r="F221" i="2" s="1"/>
  <c r="G221" i="2" s="1"/>
  <c r="C77" i="2"/>
  <c r="F77" i="2" s="1"/>
  <c r="C340" i="2"/>
  <c r="F340" i="2" s="1"/>
  <c r="C196" i="2"/>
  <c r="F196" i="2" s="1"/>
  <c r="G196" i="2" s="1"/>
  <c r="C52" i="2"/>
  <c r="F52" i="2" s="1"/>
  <c r="C245" i="2"/>
  <c r="F245" i="2" s="1"/>
  <c r="G245" i="2" s="1"/>
  <c r="C267" i="2"/>
  <c r="F267" i="2" s="1"/>
  <c r="C123" i="2"/>
  <c r="F123" i="2" s="1"/>
  <c r="C386" i="2"/>
  <c r="F386" i="2" s="1"/>
  <c r="C242" i="2"/>
  <c r="F242" i="2" s="1"/>
  <c r="C98" i="2"/>
  <c r="F98" i="2" s="1"/>
  <c r="C361" i="2"/>
  <c r="F361" i="2" s="1"/>
  <c r="C217" i="2"/>
  <c r="F217" i="2" s="1"/>
  <c r="G217" i="2" s="1"/>
  <c r="C73" i="2"/>
  <c r="F73" i="2" s="1"/>
  <c r="D391" i="2"/>
  <c r="D247" i="2"/>
  <c r="D103" i="2"/>
  <c r="D366" i="2"/>
  <c r="D222" i="2"/>
  <c r="D78" i="2"/>
  <c r="D341" i="2"/>
  <c r="D197" i="2"/>
  <c r="D53" i="2"/>
  <c r="D316" i="2"/>
  <c r="D172" i="2"/>
  <c r="D28" i="2"/>
  <c r="D291" i="2"/>
  <c r="D147" i="2"/>
  <c r="D3" i="2"/>
  <c r="D278" i="2"/>
  <c r="D134" i="2"/>
  <c r="D397" i="2"/>
  <c r="D253" i="2"/>
  <c r="D109" i="2"/>
  <c r="D372" i="2"/>
  <c r="D228" i="2"/>
  <c r="D84" i="2"/>
  <c r="D347" i="2"/>
  <c r="D203" i="2"/>
  <c r="D59" i="2"/>
  <c r="D322" i="2"/>
  <c r="D178" i="2"/>
  <c r="D34" i="2"/>
  <c r="D297" i="2"/>
  <c r="D153" i="2"/>
  <c r="D9" i="2"/>
  <c r="D272" i="2"/>
  <c r="D128" i="2"/>
  <c r="D367" i="2"/>
  <c r="D223" i="2"/>
  <c r="D79" i="2"/>
  <c r="D342" i="2"/>
  <c r="D198" i="2"/>
  <c r="D54" i="2"/>
  <c r="D317" i="2"/>
  <c r="D173" i="2"/>
  <c r="D29" i="2"/>
  <c r="D292" i="2"/>
  <c r="D148" i="2"/>
  <c r="D4" i="2"/>
  <c r="D267" i="2"/>
  <c r="D123" i="2"/>
  <c r="D398" i="2"/>
  <c r="D254" i="2"/>
  <c r="D110" i="2"/>
  <c r="D373" i="2"/>
  <c r="D229" i="2"/>
  <c r="D85" i="2"/>
  <c r="D348" i="2"/>
  <c r="D204" i="2"/>
  <c r="D60" i="2"/>
  <c r="D323" i="2"/>
  <c r="D179" i="2"/>
  <c r="D35" i="2"/>
  <c r="D298" i="2"/>
  <c r="D154" i="2"/>
  <c r="D10" i="2"/>
  <c r="D273" i="2"/>
  <c r="D129" i="2"/>
  <c r="D392" i="2"/>
  <c r="D248" i="2"/>
  <c r="D104" i="2"/>
  <c r="D355" i="2"/>
  <c r="D211" i="2"/>
  <c r="D67" i="2"/>
  <c r="D330" i="2"/>
  <c r="D186" i="2"/>
  <c r="D42" i="2"/>
  <c r="D305" i="2"/>
  <c r="D161" i="2"/>
  <c r="D17" i="2"/>
  <c r="D280" i="2"/>
  <c r="D136" i="2"/>
  <c r="D399" i="2"/>
  <c r="D255" i="2"/>
  <c r="D111" i="2"/>
  <c r="D386" i="2"/>
  <c r="D242" i="2"/>
  <c r="D98" i="2"/>
  <c r="D361" i="2"/>
  <c r="D217" i="2"/>
  <c r="D73" i="2"/>
  <c r="D336" i="2"/>
  <c r="D192" i="2"/>
  <c r="D48" i="2"/>
  <c r="D311" i="2"/>
  <c r="D167" i="2"/>
  <c r="D23" i="2"/>
  <c r="D286" i="2"/>
  <c r="D142" i="2"/>
  <c r="E142" i="2" s="1"/>
  <c r="D405" i="2"/>
  <c r="D261" i="2"/>
  <c r="D117" i="2"/>
  <c r="D380" i="2"/>
  <c r="D236" i="2"/>
  <c r="D92" i="2"/>
  <c r="D379" i="2"/>
  <c r="D279" i="2"/>
  <c r="D191" i="2"/>
  <c r="C126" i="2"/>
  <c r="F126" i="2" s="1"/>
  <c r="G126" i="2" s="1"/>
  <c r="C293" i="2"/>
  <c r="F293" i="2" s="1"/>
  <c r="C65" i="2"/>
  <c r="F65" i="2" s="1"/>
  <c r="G65" i="2" s="1"/>
  <c r="C292" i="2"/>
  <c r="F292" i="2" s="1"/>
  <c r="C112" i="2"/>
  <c r="F112" i="2" s="1"/>
  <c r="C353" i="2"/>
  <c r="F353" i="2" s="1"/>
  <c r="C243" i="2"/>
  <c r="F243" i="2" s="1"/>
  <c r="G243" i="2" s="1"/>
  <c r="C75" i="2"/>
  <c r="F75" i="2" s="1"/>
  <c r="C314" i="2"/>
  <c r="F314" i="2" s="1"/>
  <c r="G314" i="2" s="1"/>
  <c r="C146" i="2"/>
  <c r="F146" i="2" s="1"/>
  <c r="G146" i="2" s="1"/>
  <c r="C385" i="2"/>
  <c r="F385" i="2" s="1"/>
  <c r="C193" i="2"/>
  <c r="F193" i="2" s="1"/>
  <c r="G193" i="2" s="1"/>
  <c r="C25" i="2"/>
  <c r="F25" i="2" s="1"/>
  <c r="C276" i="2"/>
  <c r="F276" i="2" s="1"/>
  <c r="C120" i="2"/>
  <c r="F120" i="2" s="1"/>
  <c r="C306" i="2"/>
  <c r="F306" i="2" s="1"/>
  <c r="C347" i="2"/>
  <c r="F347" i="2" s="1"/>
  <c r="C191" i="2"/>
  <c r="F191" i="2" s="1"/>
  <c r="C35" i="2"/>
  <c r="F35" i="2" s="1"/>
  <c r="C274" i="2"/>
  <c r="F274" i="2" s="1"/>
  <c r="C118" i="2"/>
  <c r="F118" i="2" s="1"/>
  <c r="C369" i="2"/>
  <c r="F369" i="2" s="1"/>
  <c r="C213" i="2"/>
  <c r="F213" i="2" s="1"/>
  <c r="C57" i="2"/>
  <c r="F57" i="2" s="1"/>
  <c r="C308" i="2"/>
  <c r="F308" i="2" s="1"/>
  <c r="C152" i="2"/>
  <c r="F152" i="2" s="1"/>
  <c r="G152" i="2" s="1"/>
  <c r="C403" i="2"/>
  <c r="F403" i="2" s="1"/>
  <c r="C247" i="2"/>
  <c r="F247" i="2" s="1"/>
  <c r="C91" i="2"/>
  <c r="F91" i="2" s="1"/>
  <c r="G91" i="2" s="1"/>
  <c r="C114" i="2"/>
  <c r="F114" i="2" s="1"/>
  <c r="C281" i="2"/>
  <c r="F281" i="2" s="1"/>
  <c r="C53" i="2"/>
  <c r="F53" i="2" s="1"/>
  <c r="C280" i="2"/>
  <c r="F280" i="2" s="1"/>
  <c r="C100" i="2"/>
  <c r="F100" i="2" s="1"/>
  <c r="G100" i="2" s="1"/>
  <c r="C399" i="2"/>
  <c r="F399" i="2" s="1"/>
  <c r="C231" i="2"/>
  <c r="F231" i="2" s="1"/>
  <c r="C63" i="2"/>
  <c r="F63" i="2" s="1"/>
  <c r="C302" i="2"/>
  <c r="F302" i="2" s="1"/>
  <c r="C134" i="2"/>
  <c r="F134" i="2" s="1"/>
  <c r="C349" i="2"/>
  <c r="F349" i="2" s="1"/>
  <c r="C181" i="2"/>
  <c r="F181" i="2" s="1"/>
  <c r="C13" i="2"/>
  <c r="F13" i="2" s="1"/>
  <c r="G13" i="2" s="1"/>
  <c r="C264" i="2"/>
  <c r="F264" i="2" s="1"/>
  <c r="C282" i="2"/>
  <c r="F282" i="2" s="1"/>
  <c r="C335" i="2"/>
  <c r="F335" i="2" s="1"/>
  <c r="C179" i="2"/>
  <c r="F179" i="2" s="1"/>
  <c r="C11" i="2"/>
  <c r="F11" i="2" s="1"/>
  <c r="C262" i="2"/>
  <c r="F262" i="2" s="1"/>
  <c r="C106" i="2"/>
  <c r="F106" i="2" s="1"/>
  <c r="C201" i="2"/>
  <c r="F201" i="2" s="1"/>
  <c r="G201" i="2" s="1"/>
  <c r="C45" i="2"/>
  <c r="F45" i="2" s="1"/>
  <c r="C140" i="2"/>
  <c r="F140" i="2" s="1"/>
  <c r="G140" i="2" s="1"/>
  <c r="C391" i="2"/>
  <c r="F391" i="2" s="1"/>
  <c r="C79" i="2"/>
  <c r="F79" i="2" s="1"/>
  <c r="D91" i="2"/>
  <c r="D310" i="2"/>
  <c r="C269" i="2"/>
  <c r="F269" i="2" s="1"/>
  <c r="C41" i="2"/>
  <c r="F41" i="2" s="1"/>
  <c r="G41" i="2" s="1"/>
  <c r="C88" i="2"/>
  <c r="F88" i="2" s="1"/>
  <c r="C219" i="2"/>
  <c r="F219" i="2" s="1"/>
  <c r="C51" i="2"/>
  <c r="F51" i="2" s="1"/>
  <c r="G51" i="2" s="1"/>
  <c r="C122" i="2"/>
  <c r="F122" i="2" s="1"/>
  <c r="G122" i="2" s="1"/>
  <c r="C169" i="2"/>
  <c r="F169" i="2" s="1"/>
  <c r="G169" i="2" s="1"/>
  <c r="C252" i="2"/>
  <c r="F252" i="2" s="1"/>
  <c r="C258" i="2"/>
  <c r="F258" i="2" s="1"/>
  <c r="C155" i="2"/>
  <c r="F155" i="2" s="1"/>
  <c r="C250" i="2"/>
  <c r="F250" i="2" s="1"/>
  <c r="C345" i="2"/>
  <c r="F345" i="2" s="1"/>
  <c r="C33" i="2"/>
  <c r="F33" i="2" s="1"/>
  <c r="C128" i="2"/>
  <c r="F128" i="2" s="1"/>
  <c r="G128" i="2" s="1"/>
  <c r="C223" i="2"/>
  <c r="F223" i="2" s="1"/>
  <c r="D235" i="2"/>
  <c r="D135" i="2"/>
  <c r="D47" i="2"/>
  <c r="C78" i="2"/>
  <c r="F78" i="2" s="1"/>
  <c r="G78" i="2" s="1"/>
  <c r="C197" i="2"/>
  <c r="F197" i="2" s="1"/>
  <c r="G197" i="2" s="1"/>
  <c r="C17" i="2"/>
  <c r="F17" i="2" s="1"/>
  <c r="C244" i="2"/>
  <c r="F244" i="2" s="1"/>
  <c r="G244" i="2" s="1"/>
  <c r="C28" i="2"/>
  <c r="F28" i="2" s="1"/>
  <c r="G28" i="2" s="1"/>
  <c r="C363" i="2"/>
  <c r="F363" i="2" s="1"/>
  <c r="C195" i="2"/>
  <c r="F195" i="2" s="1"/>
  <c r="C27" i="2"/>
  <c r="F27" i="2" s="1"/>
  <c r="C266" i="2"/>
  <c r="F266" i="2" s="1"/>
  <c r="G266" i="2" s="1"/>
  <c r="C74" i="2"/>
  <c r="F74" i="2" s="1"/>
  <c r="C313" i="2"/>
  <c r="F313" i="2" s="1"/>
  <c r="C384" i="2"/>
  <c r="F384" i="2" s="1"/>
  <c r="C228" i="2"/>
  <c r="F228" i="2" s="1"/>
  <c r="G228" i="2" s="1"/>
  <c r="C72" i="2"/>
  <c r="F72" i="2" s="1"/>
  <c r="G72" i="2" s="1"/>
  <c r="C287" i="2"/>
  <c r="F287" i="2" s="1"/>
  <c r="C382" i="2"/>
  <c r="F382" i="2" s="1"/>
  <c r="C70" i="2"/>
  <c r="F70" i="2" s="1"/>
  <c r="G70" i="2" s="1"/>
  <c r="C165" i="2"/>
  <c r="F165" i="2" s="1"/>
  <c r="C260" i="2"/>
  <c r="F260" i="2" s="1"/>
  <c r="C343" i="2"/>
  <c r="F343" i="2" s="1"/>
  <c r="C31" i="2"/>
  <c r="F31" i="2" s="1"/>
  <c r="D354" i="2"/>
  <c r="D266" i="2"/>
  <c r="D166" i="2"/>
  <c r="D210" i="2"/>
  <c r="D122" i="2"/>
  <c r="D22" i="2"/>
  <c r="D66" i="2"/>
  <c r="D385" i="2"/>
  <c r="D285" i="2"/>
  <c r="C390" i="2"/>
  <c r="F390" i="2" s="1"/>
  <c r="C54" i="2"/>
  <c r="F54" i="2" s="1"/>
  <c r="G54" i="2" s="1"/>
  <c r="C185" i="2"/>
  <c r="F185" i="2" s="1"/>
  <c r="C5" i="2"/>
  <c r="F5" i="2" s="1"/>
  <c r="G5" i="2" s="1"/>
  <c r="C232" i="2"/>
  <c r="F232" i="2" s="1"/>
  <c r="C16" i="2"/>
  <c r="F16" i="2" s="1"/>
  <c r="G16" i="2" s="1"/>
  <c r="C351" i="2"/>
  <c r="F351" i="2" s="1"/>
  <c r="C183" i="2"/>
  <c r="F183" i="2" s="1"/>
  <c r="G183" i="2" s="1"/>
  <c r="C15" i="2"/>
  <c r="F15" i="2" s="1"/>
  <c r="C230" i="2"/>
  <c r="F230" i="2" s="1"/>
  <c r="C62" i="2"/>
  <c r="F62" i="2" s="1"/>
  <c r="C301" i="2"/>
  <c r="F301" i="2" s="1"/>
  <c r="C133" i="2"/>
  <c r="F133" i="2" s="1"/>
  <c r="G133" i="2" s="1"/>
  <c r="C372" i="2"/>
  <c r="F372" i="2" s="1"/>
  <c r="C216" i="2"/>
  <c r="F216" i="2" s="1"/>
  <c r="G216" i="2" s="1"/>
  <c r="C48" i="2"/>
  <c r="F48" i="2" s="1"/>
  <c r="G48" i="2" s="1"/>
  <c r="C138" i="2"/>
  <c r="F138" i="2" s="1"/>
  <c r="G138" i="2" s="1"/>
  <c r="C275" i="2"/>
  <c r="F275" i="2" s="1"/>
  <c r="C119" i="2"/>
  <c r="F119" i="2" s="1"/>
  <c r="C370" i="2"/>
  <c r="F370" i="2" s="1"/>
  <c r="C214" i="2"/>
  <c r="F214" i="2" s="1"/>
  <c r="C58" i="2"/>
  <c r="F58" i="2" s="1"/>
  <c r="C309" i="2"/>
  <c r="F309" i="2" s="1"/>
  <c r="C153" i="2"/>
  <c r="F153" i="2" s="1"/>
  <c r="C404" i="2"/>
  <c r="F404" i="2" s="1"/>
  <c r="C248" i="2"/>
  <c r="F248" i="2" s="1"/>
  <c r="C80" i="2"/>
  <c r="F80" i="2" s="1"/>
  <c r="G80" i="2" s="1"/>
  <c r="C331" i="2"/>
  <c r="F331" i="2" s="1"/>
  <c r="C175" i="2"/>
  <c r="F175" i="2" s="1"/>
  <c r="G175" i="2" s="1"/>
  <c r="C19" i="2"/>
  <c r="F19" i="2" s="1"/>
  <c r="G19" i="2" s="1"/>
  <c r="D329" i="2"/>
  <c r="D241" i="2"/>
  <c r="D141" i="2"/>
  <c r="C354" i="2"/>
  <c r="F354" i="2" s="1"/>
  <c r="C6" i="2"/>
  <c r="F6" i="2" s="1"/>
  <c r="C173" i="2"/>
  <c r="F173" i="2" s="1"/>
  <c r="C400" i="2"/>
  <c r="F400" i="2" s="1"/>
  <c r="C184" i="2"/>
  <c r="F184" i="2" s="1"/>
  <c r="G184" i="2" s="1"/>
  <c r="C4" i="2"/>
  <c r="F4" i="2" s="1"/>
  <c r="G4" i="2" s="1"/>
  <c r="C339" i="2"/>
  <c r="F339" i="2" s="1"/>
  <c r="C171" i="2"/>
  <c r="F171" i="2" s="1"/>
  <c r="C3" i="2"/>
  <c r="F3" i="2" s="1"/>
  <c r="C218" i="2"/>
  <c r="F218" i="2" s="1"/>
  <c r="C50" i="2"/>
  <c r="F50" i="2" s="1"/>
  <c r="C289" i="2"/>
  <c r="F289" i="2" s="1"/>
  <c r="C121" i="2"/>
  <c r="F121" i="2" s="1"/>
  <c r="C360" i="2"/>
  <c r="F360" i="2" s="1"/>
  <c r="C192" i="2"/>
  <c r="F192" i="2" s="1"/>
  <c r="C36" i="2"/>
  <c r="F36" i="2" s="1"/>
  <c r="C66" i="2"/>
  <c r="F66" i="2" s="1"/>
  <c r="G66" i="2" s="1"/>
  <c r="C263" i="2"/>
  <c r="F263" i="2" s="1"/>
  <c r="C107" i="2"/>
  <c r="F107" i="2" s="1"/>
  <c r="G107" i="2" s="1"/>
  <c r="C358" i="2"/>
  <c r="F358" i="2" s="1"/>
  <c r="C202" i="2"/>
  <c r="F202" i="2" s="1"/>
  <c r="G202" i="2" s="1"/>
  <c r="C46" i="2"/>
  <c r="F46" i="2" s="1"/>
  <c r="C297" i="2"/>
  <c r="F297" i="2" s="1"/>
  <c r="C141" i="2"/>
  <c r="F141" i="2" s="1"/>
  <c r="G141" i="2" s="1"/>
  <c r="C392" i="2"/>
  <c r="F392" i="2" s="1"/>
  <c r="C224" i="2"/>
  <c r="F224" i="2" s="1"/>
  <c r="C68" i="2"/>
  <c r="F68" i="2" s="1"/>
  <c r="C319" i="2"/>
  <c r="F319" i="2" s="1"/>
  <c r="G319" i="2" s="1"/>
  <c r="C163" i="2"/>
  <c r="F163" i="2" s="1"/>
  <c r="G163" i="2" s="1"/>
  <c r="C7" i="2"/>
  <c r="F7" i="2" s="1"/>
  <c r="C330" i="2"/>
  <c r="F330" i="2" s="1"/>
  <c r="C389" i="2"/>
  <c r="F389" i="2" s="1"/>
  <c r="C161" i="2"/>
  <c r="F161" i="2" s="1"/>
  <c r="C388" i="2"/>
  <c r="F388" i="2" s="1"/>
  <c r="C172" i="2"/>
  <c r="F172" i="2" s="1"/>
  <c r="G172" i="2" s="1"/>
  <c r="C378" i="2"/>
  <c r="F378" i="2" s="1"/>
  <c r="C327" i="2"/>
  <c r="F327" i="2" s="1"/>
  <c r="G327" i="2" s="1"/>
  <c r="C159" i="2"/>
  <c r="F159" i="2" s="1"/>
  <c r="C374" i="2"/>
  <c r="F374" i="2" s="1"/>
  <c r="C206" i="2"/>
  <c r="F206" i="2" s="1"/>
  <c r="G206" i="2" s="1"/>
  <c r="C38" i="2"/>
  <c r="F38" i="2" s="1"/>
  <c r="G38" i="2" s="1"/>
  <c r="C277" i="2"/>
  <c r="F277" i="2" s="1"/>
  <c r="C109" i="2"/>
  <c r="F109" i="2" s="1"/>
  <c r="G109" i="2" s="1"/>
  <c r="C180" i="2"/>
  <c r="F180" i="2" s="1"/>
  <c r="C24" i="2"/>
  <c r="F24" i="2" s="1"/>
  <c r="C407" i="2"/>
  <c r="F407" i="2" s="1"/>
  <c r="C251" i="2"/>
  <c r="F251" i="2" s="1"/>
  <c r="G251" i="2" s="1"/>
  <c r="C95" i="2"/>
  <c r="F95" i="2" s="1"/>
  <c r="C346" i="2"/>
  <c r="F346" i="2" s="1"/>
  <c r="C34" i="2"/>
  <c r="F34" i="2" s="1"/>
  <c r="G34" i="2" s="1"/>
  <c r="C285" i="2"/>
  <c r="F285" i="2" s="1"/>
  <c r="G285" i="2" s="1"/>
  <c r="C368" i="2"/>
  <c r="F368" i="2" s="1"/>
  <c r="C212" i="2"/>
  <c r="F212" i="2" s="1"/>
  <c r="C307" i="2"/>
  <c r="F307" i="2" s="1"/>
  <c r="D185" i="2"/>
  <c r="D97" i="2"/>
  <c r="D404" i="2"/>
  <c r="C336" i="2"/>
  <c r="F336" i="2" s="1"/>
  <c r="C190" i="2"/>
  <c r="F190" i="2" s="1"/>
  <c r="G190" i="2" s="1"/>
  <c r="C129" i="2"/>
  <c r="F129" i="2" s="1"/>
  <c r="G129" i="2" s="1"/>
  <c r="C56" i="2"/>
  <c r="F56" i="2" s="1"/>
  <c r="G56" i="2" s="1"/>
  <c r="C151" i="2"/>
  <c r="F151" i="2" s="1"/>
  <c r="C145" i="2"/>
  <c r="F145" i="2" s="1"/>
  <c r="C174" i="2"/>
  <c r="F174" i="2" s="1"/>
  <c r="C131" i="2"/>
  <c r="F131" i="2" s="1"/>
  <c r="G131" i="2" s="1"/>
  <c r="C226" i="2"/>
  <c r="F226" i="2" s="1"/>
  <c r="C321" i="2"/>
  <c r="F321" i="2" s="1"/>
  <c r="C9" i="2"/>
  <c r="F9" i="2" s="1"/>
  <c r="C104" i="2"/>
  <c r="F104" i="2" s="1"/>
  <c r="G104" i="2" s="1"/>
  <c r="C187" i="2"/>
  <c r="F187" i="2" s="1"/>
  <c r="D41" i="2"/>
  <c r="D360" i="2"/>
  <c r="D260" i="2"/>
  <c r="C294" i="2"/>
  <c r="F294" i="2" s="1"/>
  <c r="C365" i="2"/>
  <c r="F365" i="2" s="1"/>
  <c r="G365" i="2" s="1"/>
  <c r="C149" i="2"/>
  <c r="F149" i="2" s="1"/>
  <c r="G149" i="2" s="1"/>
  <c r="C376" i="2"/>
  <c r="F376" i="2" s="1"/>
  <c r="C160" i="2"/>
  <c r="F160" i="2" s="1"/>
  <c r="G160" i="2" s="1"/>
  <c r="C318" i="2"/>
  <c r="F318" i="2" s="1"/>
  <c r="C315" i="2"/>
  <c r="F315" i="2" s="1"/>
  <c r="C147" i="2"/>
  <c r="F147" i="2" s="1"/>
  <c r="G147" i="2" s="1"/>
  <c r="C362" i="2"/>
  <c r="F362" i="2" s="1"/>
  <c r="C194" i="2"/>
  <c r="F194" i="2" s="1"/>
  <c r="C26" i="2"/>
  <c r="F26" i="2" s="1"/>
  <c r="C265" i="2"/>
  <c r="F265" i="2" s="1"/>
  <c r="C97" i="2"/>
  <c r="F97" i="2" s="1"/>
  <c r="C324" i="2"/>
  <c r="F324" i="2" s="1"/>
  <c r="C168" i="2"/>
  <c r="F168" i="2" s="1"/>
  <c r="G168" i="2" s="1"/>
  <c r="C12" i="2"/>
  <c r="F12" i="2" s="1"/>
  <c r="C395" i="2"/>
  <c r="F395" i="2" s="1"/>
  <c r="C239" i="2"/>
  <c r="F239" i="2" s="1"/>
  <c r="G239" i="2" s="1"/>
  <c r="C83" i="2"/>
  <c r="F83" i="2" s="1"/>
  <c r="C334" i="2"/>
  <c r="F334" i="2" s="1"/>
  <c r="C178" i="2"/>
  <c r="F178" i="2" s="1"/>
  <c r="G178" i="2" s="1"/>
  <c r="C22" i="2"/>
  <c r="F22" i="2" s="1"/>
  <c r="G22" i="2" s="1"/>
  <c r="C273" i="2"/>
  <c r="F273" i="2" s="1"/>
  <c r="C105" i="2"/>
  <c r="F105" i="2" s="1"/>
  <c r="C356" i="2"/>
  <c r="F356" i="2" s="1"/>
  <c r="C200" i="2"/>
  <c r="F200" i="2" s="1"/>
  <c r="C44" i="2"/>
  <c r="F44" i="2" s="1"/>
  <c r="C295" i="2"/>
  <c r="F295" i="2" s="1"/>
  <c r="C139" i="2"/>
  <c r="F139" i="2" s="1"/>
  <c r="C90" i="2"/>
  <c r="F90" i="2" s="1"/>
  <c r="G90" i="2" s="1"/>
  <c r="C375" i="2"/>
  <c r="F375" i="2" s="1"/>
  <c r="C278" i="2"/>
  <c r="F278" i="2" s="1"/>
  <c r="C325" i="2"/>
  <c r="F325" i="2" s="1"/>
  <c r="C396" i="2"/>
  <c r="F396" i="2" s="1"/>
  <c r="C84" i="2"/>
  <c r="F84" i="2" s="1"/>
  <c r="C299" i="2"/>
  <c r="F299" i="2" s="1"/>
  <c r="C394" i="2"/>
  <c r="F394" i="2" s="1"/>
  <c r="C82" i="2"/>
  <c r="F82" i="2" s="1"/>
  <c r="C177" i="2"/>
  <c r="F177" i="2" s="1"/>
  <c r="G177" i="2" s="1"/>
  <c r="C272" i="2"/>
  <c r="F272" i="2" s="1"/>
  <c r="G272" i="2" s="1"/>
  <c r="C367" i="2"/>
  <c r="F367" i="2" s="1"/>
  <c r="D304" i="2"/>
  <c r="D216" i="2"/>
  <c r="D116" i="2"/>
  <c r="C186" i="2"/>
  <c r="F186" i="2" s="1"/>
  <c r="C341" i="2"/>
  <c r="F341" i="2" s="1"/>
  <c r="C137" i="2"/>
  <c r="F137" i="2" s="1"/>
  <c r="G137" i="2" s="1"/>
  <c r="C328" i="2"/>
  <c r="F328" i="2" s="1"/>
  <c r="C148" i="2"/>
  <c r="F148" i="2" s="1"/>
  <c r="G148" i="2" s="1"/>
  <c r="C198" i="2"/>
  <c r="F198" i="2" s="1"/>
  <c r="C303" i="2"/>
  <c r="F303" i="2" s="1"/>
  <c r="C111" i="2"/>
  <c r="F111" i="2" s="1"/>
  <c r="C350" i="2"/>
  <c r="F350" i="2" s="1"/>
  <c r="C182" i="2"/>
  <c r="F182" i="2" s="1"/>
  <c r="G182" i="2" s="1"/>
  <c r="C14" i="2"/>
  <c r="F14" i="2" s="1"/>
  <c r="C253" i="2"/>
  <c r="F253" i="2" s="1"/>
  <c r="C61" i="2"/>
  <c r="F61" i="2" s="1"/>
  <c r="G61" i="2" s="1"/>
  <c r="C312" i="2"/>
  <c r="F312" i="2" s="1"/>
  <c r="C156" i="2"/>
  <c r="F156" i="2" s="1"/>
  <c r="G156" i="2" s="1"/>
  <c r="C402" i="2"/>
  <c r="F402" i="2" s="1"/>
  <c r="C383" i="2"/>
  <c r="F383" i="2" s="1"/>
  <c r="C227" i="2"/>
  <c r="F227" i="2" s="1"/>
  <c r="C71" i="2"/>
  <c r="F71" i="2" s="1"/>
  <c r="C322" i="2"/>
  <c r="F322" i="2" s="1"/>
  <c r="C166" i="2"/>
  <c r="F166" i="2" s="1"/>
  <c r="G166" i="2" s="1"/>
  <c r="C10" i="2"/>
  <c r="F10" i="2" s="1"/>
  <c r="G10" i="2" s="1"/>
  <c r="C249" i="2"/>
  <c r="F249" i="2" s="1"/>
  <c r="C93" i="2"/>
  <c r="F93" i="2" s="1"/>
  <c r="C344" i="2"/>
  <c r="F344" i="2" s="1"/>
  <c r="C188" i="2"/>
  <c r="F188" i="2" s="1"/>
  <c r="C32" i="2"/>
  <c r="F32" i="2" s="1"/>
  <c r="G32" i="2" s="1"/>
  <c r="C283" i="2"/>
  <c r="F283" i="2" s="1"/>
  <c r="C127" i="2"/>
  <c r="F127" i="2" s="1"/>
  <c r="G127" i="2" s="1"/>
  <c r="D160" i="2"/>
  <c r="D72" i="2"/>
  <c r="E72" i="2" s="1"/>
  <c r="C162" i="2"/>
  <c r="F162" i="2" s="1"/>
  <c r="C329" i="2"/>
  <c r="F329" i="2" s="1"/>
  <c r="C125" i="2"/>
  <c r="F125" i="2" s="1"/>
  <c r="G125" i="2" s="1"/>
  <c r="C316" i="2"/>
  <c r="F316" i="2" s="1"/>
  <c r="C136" i="2"/>
  <c r="F136" i="2" s="1"/>
  <c r="C401" i="2"/>
  <c r="F401" i="2" s="1"/>
  <c r="C291" i="2"/>
  <c r="F291" i="2" s="1"/>
  <c r="C99" i="2"/>
  <c r="F99" i="2" s="1"/>
  <c r="G99" i="2" s="1"/>
  <c r="C338" i="2"/>
  <c r="F338" i="2" s="1"/>
  <c r="C170" i="2"/>
  <c r="F170" i="2" s="1"/>
  <c r="C409" i="2"/>
  <c r="F409" i="2" s="1"/>
  <c r="C241" i="2"/>
  <c r="F241" i="2" s="1"/>
  <c r="C49" i="2"/>
  <c r="F49" i="2" s="1"/>
  <c r="C300" i="2"/>
  <c r="F300" i="2" s="1"/>
  <c r="C144" i="2"/>
  <c r="F144" i="2" s="1"/>
  <c r="G144" i="2" s="1"/>
  <c r="C366" i="2"/>
  <c r="F366" i="2" s="1"/>
  <c r="C371" i="2"/>
  <c r="F371" i="2" s="1"/>
  <c r="C215" i="2"/>
  <c r="F215" i="2" s="1"/>
  <c r="C59" i="2"/>
  <c r="F59" i="2" s="1"/>
  <c r="G59" i="2" s="1"/>
  <c r="C310" i="2"/>
  <c r="F310" i="2" s="1"/>
  <c r="G310" i="2" s="1"/>
  <c r="C154" i="2"/>
  <c r="F154" i="2" s="1"/>
  <c r="G154" i="2" s="1"/>
  <c r="C393" i="2"/>
  <c r="F393" i="2" s="1"/>
  <c r="C237" i="2"/>
  <c r="F237" i="2" s="1"/>
  <c r="C81" i="2"/>
  <c r="F81" i="2" s="1"/>
  <c r="G81" i="2" s="1"/>
  <c r="C332" i="2"/>
  <c r="F332" i="2" s="1"/>
  <c r="C176" i="2"/>
  <c r="F176" i="2" s="1"/>
  <c r="G176" i="2" s="1"/>
  <c r="C20" i="2"/>
  <c r="F20" i="2" s="1"/>
  <c r="C271" i="2"/>
  <c r="F271" i="2" s="1"/>
  <c r="C115" i="2"/>
  <c r="F115" i="2" s="1"/>
  <c r="G115" i="2" s="1"/>
  <c r="C209" i="2"/>
  <c r="F209" i="2" s="1"/>
  <c r="G209" i="2" s="1"/>
  <c r="C29" i="2"/>
  <c r="F29" i="2" s="1"/>
  <c r="C256" i="2"/>
  <c r="F256" i="2" s="1"/>
  <c r="C40" i="2"/>
  <c r="F40" i="2" s="1"/>
  <c r="C207" i="2"/>
  <c r="F207" i="2" s="1"/>
  <c r="C39" i="2"/>
  <c r="F39" i="2" s="1"/>
  <c r="G39" i="2" s="1"/>
  <c r="C86" i="2"/>
  <c r="F86" i="2" s="1"/>
  <c r="G86" i="2" s="1"/>
  <c r="C157" i="2"/>
  <c r="F157" i="2" s="1"/>
  <c r="G157" i="2" s="1"/>
  <c r="C240" i="2"/>
  <c r="F240" i="2" s="1"/>
  <c r="C234" i="2"/>
  <c r="F234" i="2" s="1"/>
  <c r="C143" i="2"/>
  <c r="F143" i="2" s="1"/>
  <c r="G143" i="2" s="1"/>
  <c r="C238" i="2"/>
  <c r="F238" i="2" s="1"/>
  <c r="G238" i="2" s="1"/>
  <c r="C333" i="2"/>
  <c r="F333" i="2" s="1"/>
  <c r="C21" i="2"/>
  <c r="F21" i="2" s="1"/>
  <c r="C116" i="2"/>
  <c r="F116" i="2" s="1"/>
  <c r="G116" i="2" s="1"/>
  <c r="C199" i="2"/>
  <c r="F199" i="2" s="1"/>
  <c r="C43" i="2"/>
  <c r="F43" i="2" s="1"/>
  <c r="G43" i="2" s="1"/>
  <c r="D16" i="2"/>
  <c r="E16" i="2" s="1"/>
  <c r="D335" i="2"/>
  <c r="E335" i="2" s="1"/>
  <c r="C150" i="2"/>
  <c r="F150" i="2" s="1"/>
  <c r="C305" i="2"/>
  <c r="F305" i="2" s="1"/>
  <c r="C113" i="2"/>
  <c r="F113" i="2" s="1"/>
  <c r="G113" i="2" s="1"/>
  <c r="C304" i="2"/>
  <c r="F304" i="2" s="1"/>
  <c r="C124" i="2"/>
  <c r="F124" i="2" s="1"/>
  <c r="G124" i="2" s="1"/>
  <c r="C377" i="2"/>
  <c r="F377" i="2" s="1"/>
  <c r="C255" i="2"/>
  <c r="F255" i="2" s="1"/>
  <c r="G255" i="2" s="1"/>
  <c r="C87" i="2"/>
  <c r="F87" i="2" s="1"/>
  <c r="C326" i="2"/>
  <c r="F326" i="2" s="1"/>
  <c r="G326" i="2" s="1"/>
  <c r="C158" i="2"/>
  <c r="F158" i="2" s="1"/>
  <c r="G158" i="2" s="1"/>
  <c r="C397" i="2"/>
  <c r="F397" i="2" s="1"/>
  <c r="C205" i="2"/>
  <c r="F205" i="2" s="1"/>
  <c r="G205" i="2" s="1"/>
  <c r="C37" i="2"/>
  <c r="F37" i="2" s="1"/>
  <c r="G37" i="2" s="1"/>
  <c r="C288" i="2"/>
  <c r="F288" i="2" s="1"/>
  <c r="C132" i="2"/>
  <c r="F132" i="2" s="1"/>
  <c r="C342" i="2"/>
  <c r="F342" i="2" s="1"/>
  <c r="C359" i="2"/>
  <c r="F359" i="2" s="1"/>
  <c r="C203" i="2"/>
  <c r="F203" i="2" s="1"/>
  <c r="C47" i="2"/>
  <c r="F47" i="2" s="1"/>
  <c r="G47" i="2" s="1"/>
  <c r="C298" i="2"/>
  <c r="F298" i="2" s="1"/>
  <c r="G298" i="2" s="1"/>
  <c r="C130" i="2"/>
  <c r="F130" i="2" s="1"/>
  <c r="C381" i="2"/>
  <c r="F381" i="2" s="1"/>
  <c r="C225" i="2"/>
  <c r="F225" i="2" s="1"/>
  <c r="C69" i="2"/>
  <c r="F69" i="2" s="1"/>
  <c r="G69" i="2" s="1"/>
  <c r="C320" i="2"/>
  <c r="F320" i="2" s="1"/>
  <c r="C164" i="2"/>
  <c r="F164" i="2" s="1"/>
  <c r="G164" i="2" s="1"/>
  <c r="C8" i="2"/>
  <c r="F8" i="2" s="1"/>
  <c r="G8" i="2" s="1"/>
  <c r="C259" i="2"/>
  <c r="F259" i="2" s="1"/>
  <c r="C103" i="2"/>
  <c r="F103" i="2" s="1"/>
  <c r="C108" i="2"/>
  <c r="F108" i="2" s="1"/>
  <c r="G108" i="2" s="1"/>
  <c r="C357" i="2"/>
  <c r="F357" i="2" s="1"/>
  <c r="C296" i="2"/>
  <c r="F296" i="2" s="1"/>
  <c r="C235" i="2"/>
  <c r="F235" i="2" s="1"/>
  <c r="C102" i="2"/>
  <c r="F102" i="2" s="1"/>
  <c r="C268" i="2"/>
  <c r="F268" i="2" s="1"/>
  <c r="C387" i="2"/>
  <c r="F387" i="2" s="1"/>
  <c r="C290" i="2"/>
  <c r="F290" i="2" s="1"/>
  <c r="C337" i="2"/>
  <c r="F337" i="2" s="1"/>
  <c r="C408" i="2"/>
  <c r="F408" i="2" s="1"/>
  <c r="C96" i="2"/>
  <c r="F96" i="2" s="1"/>
  <c r="G96" i="2" s="1"/>
  <c r="C323" i="2"/>
  <c r="F323" i="2" s="1"/>
  <c r="C406" i="2"/>
  <c r="F406" i="2" s="1"/>
  <c r="C94" i="2"/>
  <c r="F94" i="2" s="1"/>
  <c r="C189" i="2"/>
  <c r="F189" i="2" s="1"/>
  <c r="C284" i="2"/>
  <c r="F284" i="2" s="1"/>
  <c r="C379" i="2"/>
  <c r="F379" i="2" s="1"/>
  <c r="C55" i="2"/>
  <c r="F55" i="2" s="1"/>
  <c r="G55" i="2" s="1"/>
  <c r="E23" i="2" l="1"/>
  <c r="E503" i="2"/>
  <c r="E528" i="2"/>
  <c r="E536" i="2"/>
  <c r="E420" i="2"/>
  <c r="E508" i="2"/>
  <c r="E432" i="2"/>
  <c r="E539" i="2"/>
  <c r="E515" i="2"/>
  <c r="E505" i="2"/>
  <c r="E210" i="2"/>
  <c r="E421" i="2"/>
  <c r="E504" i="2"/>
  <c r="E117" i="2"/>
  <c r="E499" i="2"/>
  <c r="E417" i="2"/>
  <c r="E457" i="2"/>
  <c r="E527" i="2"/>
  <c r="E540" i="2"/>
  <c r="E361" i="2"/>
  <c r="E254" i="2"/>
  <c r="E286" i="2"/>
  <c r="E445" i="2"/>
  <c r="E489" i="2"/>
  <c r="E443" i="2"/>
  <c r="E279" i="2"/>
  <c r="E311" i="2"/>
  <c r="E222" i="2"/>
  <c r="E479" i="2"/>
  <c r="E42" i="2"/>
  <c r="E98" i="2"/>
  <c r="E398" i="2"/>
  <c r="E429" i="2"/>
  <c r="E481" i="2"/>
  <c r="E525" i="2"/>
  <c r="E204" i="2"/>
  <c r="E229" i="2"/>
  <c r="E261" i="2"/>
  <c r="E456" i="2"/>
  <c r="E123" i="2"/>
  <c r="E480" i="2"/>
  <c r="E427" i="2"/>
  <c r="E236" i="2"/>
  <c r="E317" i="2"/>
  <c r="E260" i="2"/>
  <c r="E217" i="2"/>
  <c r="E110" i="2"/>
  <c r="E467" i="2"/>
  <c r="E512" i="2"/>
  <c r="E122" i="2"/>
  <c r="E404" i="2"/>
  <c r="E386" i="2"/>
  <c r="E211" i="2"/>
  <c r="E355" i="2"/>
  <c r="E487" i="2"/>
  <c r="E501" i="2"/>
  <c r="E492" i="2"/>
  <c r="E385" i="2"/>
  <c r="E73" i="2"/>
  <c r="E373" i="2"/>
  <c r="E453" i="2"/>
  <c r="E41" i="2"/>
  <c r="E405" i="2"/>
  <c r="E242" i="2"/>
  <c r="E67" i="2"/>
  <c r="E431" i="2"/>
  <c r="E216" i="2"/>
  <c r="E266" i="2"/>
  <c r="E135" i="2"/>
  <c r="E442" i="2"/>
  <c r="E444" i="2"/>
  <c r="E185" i="2"/>
  <c r="E167" i="2"/>
  <c r="E348" i="2"/>
  <c r="E85" i="2"/>
  <c r="E160" i="2"/>
  <c r="E310" i="2"/>
  <c r="E336" i="2"/>
  <c r="E17" i="2"/>
  <c r="E129" i="2"/>
  <c r="E34" i="2"/>
  <c r="E134" i="2"/>
  <c r="E46" i="2"/>
  <c r="E146" i="2"/>
  <c r="E234" i="2"/>
  <c r="E8" i="2"/>
  <c r="E108" i="2"/>
  <c r="E196" i="2"/>
  <c r="E308" i="2"/>
  <c r="G308" i="2" s="1"/>
  <c r="E408" i="2"/>
  <c r="E89" i="2"/>
  <c r="E201" i="2"/>
  <c r="E389" i="2"/>
  <c r="E94" i="2"/>
  <c r="E194" i="2"/>
  <c r="E394" i="2"/>
  <c r="E175" i="2"/>
  <c r="E287" i="2"/>
  <c r="E375" i="2"/>
  <c r="E80" i="2"/>
  <c r="E180" i="2"/>
  <c r="E477" i="2"/>
  <c r="E538" i="2"/>
  <c r="E478" i="2"/>
  <c r="E415" i="2"/>
  <c r="E474" i="2"/>
  <c r="E449" i="2"/>
  <c r="E502" i="2"/>
  <c r="E459" i="2"/>
  <c r="E446" i="2"/>
  <c r="E91" i="2"/>
  <c r="E380" i="2"/>
  <c r="E441" i="2"/>
  <c r="E329" i="2"/>
  <c r="E330" i="2"/>
  <c r="E35" i="2"/>
  <c r="E223" i="2"/>
  <c r="E347" i="2"/>
  <c r="E28" i="2"/>
  <c r="E359" i="2"/>
  <c r="E40" i="2"/>
  <c r="E321" i="2"/>
  <c r="G321" i="2" s="1"/>
  <c r="E14" i="2"/>
  <c r="E102" i="2"/>
  <c r="E214" i="2"/>
  <c r="E314" i="2"/>
  <c r="E402" i="2"/>
  <c r="E107" i="2"/>
  <c r="E195" i="2"/>
  <c r="E295" i="2"/>
  <c r="E407" i="2"/>
  <c r="E88" i="2"/>
  <c r="E200" i="2"/>
  <c r="E300" i="2"/>
  <c r="E388" i="2"/>
  <c r="E93" i="2"/>
  <c r="E193" i="2"/>
  <c r="E281" i="2"/>
  <c r="E393" i="2"/>
  <c r="E86" i="2"/>
  <c r="E174" i="2"/>
  <c r="E533" i="2"/>
  <c r="E412" i="2"/>
  <c r="E530" i="2"/>
  <c r="E116" i="2"/>
  <c r="E166" i="2"/>
  <c r="E47" i="2"/>
  <c r="E179" i="2"/>
  <c r="E267" i="2"/>
  <c r="E367" i="2"/>
  <c r="E84" i="2"/>
  <c r="E172" i="2"/>
  <c r="E96" i="2"/>
  <c r="E184" i="2"/>
  <c r="E58" i="2"/>
  <c r="E158" i="2"/>
  <c r="E246" i="2"/>
  <c r="E358" i="2"/>
  <c r="E39" i="2"/>
  <c r="E139" i="2"/>
  <c r="E251" i="2"/>
  <c r="E339" i="2"/>
  <c r="E44" i="2"/>
  <c r="E144" i="2"/>
  <c r="E232" i="2"/>
  <c r="E344" i="2"/>
  <c r="E37" i="2"/>
  <c r="E125" i="2"/>
  <c r="E237" i="2"/>
  <c r="G237" i="2" s="1"/>
  <c r="E337" i="2"/>
  <c r="E18" i="2"/>
  <c r="E130" i="2"/>
  <c r="E230" i="2"/>
  <c r="E318" i="2"/>
  <c r="E493" i="2"/>
  <c r="E476" i="2"/>
  <c r="E475" i="2"/>
  <c r="E521" i="2"/>
  <c r="E531" i="2"/>
  <c r="E518" i="2"/>
  <c r="E285" i="2"/>
  <c r="E97" i="2"/>
  <c r="E111" i="2"/>
  <c r="E323" i="2"/>
  <c r="E4" i="2"/>
  <c r="E128" i="2"/>
  <c r="E228" i="2"/>
  <c r="E316" i="2"/>
  <c r="E140" i="2"/>
  <c r="E240" i="2"/>
  <c r="E328" i="2"/>
  <c r="E202" i="2"/>
  <c r="E302" i="2"/>
  <c r="E390" i="2"/>
  <c r="E95" i="2"/>
  <c r="E183" i="2"/>
  <c r="E283" i="2"/>
  <c r="E395" i="2"/>
  <c r="E76" i="2"/>
  <c r="E188" i="2"/>
  <c r="E288" i="2"/>
  <c r="E376" i="2"/>
  <c r="E81" i="2"/>
  <c r="E181" i="2"/>
  <c r="E269" i="2"/>
  <c r="E381" i="2"/>
  <c r="E74" i="2"/>
  <c r="E162" i="2"/>
  <c r="E274" i="2"/>
  <c r="E374" i="2"/>
  <c r="E55" i="2"/>
  <c r="E537" i="2"/>
  <c r="E514" i="2"/>
  <c r="E451" i="2"/>
  <c r="E509" i="2"/>
  <c r="E519" i="2"/>
  <c r="E506" i="2"/>
  <c r="G506" i="2" s="1"/>
  <c r="E304" i="2"/>
  <c r="E354" i="2"/>
  <c r="E235" i="2"/>
  <c r="E191" i="2"/>
  <c r="E255" i="2"/>
  <c r="E60" i="2"/>
  <c r="E148" i="2"/>
  <c r="E272" i="2"/>
  <c r="E372" i="2"/>
  <c r="E53" i="2"/>
  <c r="E284" i="2"/>
  <c r="E384" i="2"/>
  <c r="E65" i="2"/>
  <c r="E346" i="2"/>
  <c r="E27" i="2"/>
  <c r="E127" i="2"/>
  <c r="E239" i="2"/>
  <c r="E327" i="2"/>
  <c r="E32" i="2"/>
  <c r="E132" i="2"/>
  <c r="E220" i="2"/>
  <c r="E332" i="2"/>
  <c r="E25" i="2"/>
  <c r="E113" i="2"/>
  <c r="E225" i="2"/>
  <c r="E325" i="2"/>
  <c r="G325" i="2" s="1"/>
  <c r="E6" i="2"/>
  <c r="E118" i="2"/>
  <c r="E218" i="2"/>
  <c r="E306" i="2"/>
  <c r="E11" i="2"/>
  <c r="G489" i="2" s="1"/>
  <c r="E99" i="2"/>
  <c r="E199" i="2"/>
  <c r="E469" i="2"/>
  <c r="E468" i="2"/>
  <c r="E452" i="2"/>
  <c r="E454" i="2"/>
  <c r="E523" i="2"/>
  <c r="E522" i="2"/>
  <c r="E497" i="2"/>
  <c r="E532" i="2"/>
  <c r="E507" i="2"/>
  <c r="E494" i="2"/>
  <c r="E399" i="2"/>
  <c r="E104" i="2"/>
  <c r="E292" i="2"/>
  <c r="E9" i="2"/>
  <c r="E109" i="2"/>
  <c r="E197" i="2"/>
  <c r="E21" i="2"/>
  <c r="E121" i="2"/>
  <c r="E209" i="2"/>
  <c r="E83" i="2"/>
  <c r="E171" i="2"/>
  <c r="E271" i="2"/>
  <c r="G271" i="2" s="1"/>
  <c r="E383" i="2"/>
  <c r="E64" i="2"/>
  <c r="E176" i="2"/>
  <c r="E276" i="2"/>
  <c r="E364" i="2"/>
  <c r="G364" i="2" s="1"/>
  <c r="E69" i="2"/>
  <c r="E169" i="2"/>
  <c r="E257" i="2"/>
  <c r="E369" i="2"/>
  <c r="E62" i="2"/>
  <c r="E150" i="2"/>
  <c r="E262" i="2"/>
  <c r="E362" i="2"/>
  <c r="E43" i="2"/>
  <c r="E155" i="2"/>
  <c r="E243" i="2"/>
  <c r="E343" i="2"/>
  <c r="E513" i="2"/>
  <c r="E440" i="2"/>
  <c r="E510" i="2"/>
  <c r="E485" i="2"/>
  <c r="E520" i="2"/>
  <c r="E495" i="2"/>
  <c r="E482" i="2"/>
  <c r="E379" i="2"/>
  <c r="G379" i="2" s="1"/>
  <c r="E48" i="2"/>
  <c r="E136" i="2"/>
  <c r="E248" i="2"/>
  <c r="E29" i="2"/>
  <c r="E153" i="2"/>
  <c r="E253" i="2"/>
  <c r="E341" i="2"/>
  <c r="G341" i="2" s="1"/>
  <c r="E165" i="2"/>
  <c r="E265" i="2"/>
  <c r="E353" i="2"/>
  <c r="E227" i="2"/>
  <c r="E315" i="2"/>
  <c r="E20" i="2"/>
  <c r="E120" i="2"/>
  <c r="E208" i="2"/>
  <c r="E320" i="2"/>
  <c r="E13" i="2"/>
  <c r="E101" i="2"/>
  <c r="E213" i="2"/>
  <c r="E313" i="2"/>
  <c r="G313" i="2" s="1"/>
  <c r="E401" i="2"/>
  <c r="E106" i="2"/>
  <c r="E206" i="2"/>
  <c r="E294" i="2"/>
  <c r="E406" i="2"/>
  <c r="E87" i="2"/>
  <c r="E187" i="2"/>
  <c r="E299" i="2"/>
  <c r="E387" i="2"/>
  <c r="E428" i="2"/>
  <c r="E463" i="2"/>
  <c r="E498" i="2"/>
  <c r="E473" i="2"/>
  <c r="E496" i="2"/>
  <c r="E483" i="2"/>
  <c r="E470" i="2"/>
  <c r="E92" i="2"/>
  <c r="E192" i="2"/>
  <c r="E280" i="2"/>
  <c r="E392" i="2"/>
  <c r="E173" i="2"/>
  <c r="E297" i="2"/>
  <c r="E397" i="2"/>
  <c r="E78" i="2"/>
  <c r="E309" i="2"/>
  <c r="E409" i="2"/>
  <c r="E90" i="2"/>
  <c r="E371" i="2"/>
  <c r="E52" i="2"/>
  <c r="E164" i="2"/>
  <c r="E264" i="2"/>
  <c r="E352" i="2"/>
  <c r="G352" i="2" s="1"/>
  <c r="E57" i="2"/>
  <c r="E157" i="2"/>
  <c r="E245" i="2"/>
  <c r="E357" i="2"/>
  <c r="E50" i="2"/>
  <c r="E138" i="2"/>
  <c r="E250" i="2"/>
  <c r="E350" i="2"/>
  <c r="E31" i="2"/>
  <c r="E143" i="2"/>
  <c r="E231" i="2"/>
  <c r="E331" i="2"/>
  <c r="E36" i="2"/>
  <c r="E124" i="2"/>
  <c r="E433" i="2"/>
  <c r="E416" i="2"/>
  <c r="E526" i="2"/>
  <c r="E439" i="2"/>
  <c r="E486" i="2"/>
  <c r="E461" i="2"/>
  <c r="E484" i="2"/>
  <c r="E471" i="2"/>
  <c r="E458" i="2"/>
  <c r="E282" i="2"/>
  <c r="E75" i="2"/>
  <c r="E268" i="2"/>
  <c r="E472" i="2"/>
  <c r="E301" i="2"/>
  <c r="E161" i="2"/>
  <c r="E273" i="2"/>
  <c r="E54" i="2"/>
  <c r="E178" i="2"/>
  <c r="E278" i="2"/>
  <c r="E366" i="2"/>
  <c r="E190" i="2"/>
  <c r="E290" i="2"/>
  <c r="G290" i="2" s="1"/>
  <c r="E378" i="2"/>
  <c r="E152" i="2"/>
  <c r="E252" i="2"/>
  <c r="E340" i="2"/>
  <c r="E45" i="2"/>
  <c r="E145" i="2"/>
  <c r="E233" i="2"/>
  <c r="E345" i="2"/>
  <c r="E38" i="2"/>
  <c r="E126" i="2"/>
  <c r="E238" i="2"/>
  <c r="E338" i="2"/>
  <c r="E19" i="2"/>
  <c r="E131" i="2"/>
  <c r="E219" i="2"/>
  <c r="E319" i="2"/>
  <c r="E24" i="2"/>
  <c r="E112" i="2"/>
  <c r="E224" i="2"/>
  <c r="E324" i="2"/>
  <c r="E5" i="2"/>
  <c r="E465" i="2"/>
  <c r="E466" i="2"/>
  <c r="E418" i="2"/>
  <c r="E462" i="2"/>
  <c r="E437" i="2"/>
  <c r="E430" i="2"/>
  <c r="E460" i="2"/>
  <c r="E447" i="2"/>
  <c r="E434" i="2"/>
  <c r="E66" i="2"/>
  <c r="E305" i="2"/>
  <c r="E10" i="2"/>
  <c r="E198" i="2"/>
  <c r="E322" i="2"/>
  <c r="E3" i="2"/>
  <c r="E103" i="2"/>
  <c r="E334" i="2"/>
  <c r="E15" i="2"/>
  <c r="E115" i="2"/>
  <c r="E296" i="2"/>
  <c r="E396" i="2"/>
  <c r="E77" i="2"/>
  <c r="G394" i="2" s="1"/>
  <c r="E189" i="2"/>
  <c r="E289" i="2"/>
  <c r="E377" i="2"/>
  <c r="E82" i="2"/>
  <c r="E182" i="2"/>
  <c r="E270" i="2"/>
  <c r="E382" i="2"/>
  <c r="G382" i="2" s="1"/>
  <c r="E63" i="2"/>
  <c r="E163" i="2"/>
  <c r="E275" i="2"/>
  <c r="E363" i="2"/>
  <c r="G363" i="2" s="1"/>
  <c r="E68" i="2"/>
  <c r="E168" i="2"/>
  <c r="E256" i="2"/>
  <c r="E368" i="2"/>
  <c r="E61" i="2"/>
  <c r="E149" i="2"/>
  <c r="E541" i="2"/>
  <c r="E524" i="2"/>
  <c r="E534" i="2"/>
  <c r="E450" i="2"/>
  <c r="E425" i="2"/>
  <c r="E448" i="2"/>
  <c r="G448" i="2" s="1"/>
  <c r="E435" i="2"/>
  <c r="E422" i="2"/>
  <c r="E360" i="2"/>
  <c r="E141" i="2"/>
  <c r="E22" i="2"/>
  <c r="E154" i="2"/>
  <c r="E342" i="2"/>
  <c r="E59" i="2"/>
  <c r="E147" i="2"/>
  <c r="E247" i="2"/>
  <c r="E71" i="2"/>
  <c r="E159" i="2"/>
  <c r="E259" i="2"/>
  <c r="E33" i="2"/>
  <c r="E133" i="2"/>
  <c r="E221" i="2"/>
  <c r="E333" i="2"/>
  <c r="E26" i="2"/>
  <c r="E114" i="2"/>
  <c r="E226" i="2"/>
  <c r="E326" i="2"/>
  <c r="E7" i="2"/>
  <c r="E119" i="2"/>
  <c r="E207" i="2"/>
  <c r="E307" i="2"/>
  <c r="E12" i="2"/>
  <c r="G408" i="2" s="1"/>
  <c r="E100" i="2"/>
  <c r="E212" i="2"/>
  <c r="E312" i="2"/>
  <c r="G312" i="2" s="1"/>
  <c r="E400" i="2"/>
  <c r="E105" i="2"/>
  <c r="E205" i="2"/>
  <c r="E293" i="2"/>
  <c r="E535" i="2"/>
  <c r="E414" i="2"/>
  <c r="E438" i="2"/>
  <c r="E413" i="2"/>
  <c r="E436" i="2"/>
  <c r="E423" i="2"/>
  <c r="E410" i="2"/>
  <c r="G291" i="2"/>
  <c r="E241" i="2"/>
  <c r="E186" i="2"/>
  <c r="E298" i="2"/>
  <c r="E79" i="2"/>
  <c r="E203" i="2"/>
  <c r="E291" i="2"/>
  <c r="E391" i="2"/>
  <c r="E215" i="2"/>
  <c r="E303" i="2"/>
  <c r="G303" i="2" s="1"/>
  <c r="E403" i="2"/>
  <c r="G403" i="2" s="1"/>
  <c r="E177" i="2"/>
  <c r="E277" i="2"/>
  <c r="E365" i="2"/>
  <c r="E70" i="2"/>
  <c r="E170" i="2"/>
  <c r="E258" i="2"/>
  <c r="E370" i="2"/>
  <c r="E51" i="2"/>
  <c r="E151" i="2"/>
  <c r="E263" i="2"/>
  <c r="E351" i="2"/>
  <c r="G351" i="2" s="1"/>
  <c r="E56" i="2"/>
  <c r="E156" i="2"/>
  <c r="E244" i="2"/>
  <c r="E356" i="2"/>
  <c r="E49" i="2"/>
  <c r="E137" i="2"/>
  <c r="E249" i="2"/>
  <c r="E349" i="2"/>
  <c r="E30" i="2"/>
  <c r="E517" i="2"/>
  <c r="G517" i="2" s="1"/>
  <c r="E455" i="2"/>
  <c r="G455" i="2" s="1"/>
  <c r="E500" i="2"/>
  <c r="E511" i="2"/>
  <c r="G511" i="2" s="1"/>
  <c r="E426" i="2"/>
  <c r="E424" i="2"/>
  <c r="E411" i="2"/>
  <c r="C2" i="2"/>
  <c r="F2" i="2" s="1"/>
  <c r="D2" i="2"/>
  <c r="G463" i="2" l="1"/>
  <c r="G510" i="2"/>
  <c r="G520" i="2"/>
  <c r="G261" i="2"/>
  <c r="G541" i="2"/>
  <c r="G457" i="2"/>
  <c r="G519" i="2"/>
  <c r="G509" i="2"/>
  <c r="G500" i="2"/>
  <c r="G315" i="2"/>
  <c r="G470" i="2"/>
  <c r="G413" i="2"/>
  <c r="G493" i="2"/>
  <c r="G395" i="2"/>
  <c r="G450" i="2"/>
  <c r="G487" i="2"/>
  <c r="G454" i="2"/>
  <c r="G304" i="2"/>
  <c r="G381" i="2"/>
  <c r="G490" i="2"/>
  <c r="G299" i="2"/>
  <c r="G320" i="2"/>
  <c r="G475" i="2"/>
  <c r="G343" i="2"/>
  <c r="G384" i="2"/>
  <c r="G407" i="2"/>
  <c r="G322" i="2"/>
  <c r="G404" i="2"/>
  <c r="G292" i="2"/>
  <c r="G531" i="2"/>
  <c r="G387" i="2"/>
  <c r="G366" i="2"/>
  <c r="G430" i="2"/>
  <c r="G252" i="2"/>
  <c r="G139" i="2"/>
  <c r="G179" i="2"/>
  <c r="G333" i="2"/>
  <c r="G112" i="2"/>
  <c r="G353" i="2"/>
  <c r="G377" i="2"/>
  <c r="G530" i="2"/>
  <c r="G505" i="2"/>
  <c r="G471" i="2"/>
  <c r="G436" i="2"/>
  <c r="G305" i="2"/>
  <c r="G451" i="2"/>
  <c r="G376" i="2"/>
  <c r="G307" i="2"/>
  <c r="G371" i="2"/>
  <c r="G362" i="2"/>
  <c r="G399" i="2"/>
  <c r="G224" i="2"/>
  <c r="G262" i="2"/>
  <c r="G414" i="2"/>
  <c r="G247" i="2"/>
  <c r="G293" i="2"/>
  <c r="G367" i="2"/>
  <c r="G478" i="2"/>
  <c r="G300" i="2"/>
  <c r="G458" i="2"/>
  <c r="G391" i="2"/>
  <c r="G350" i="2"/>
  <c r="G396" i="2"/>
  <c r="G258" i="2"/>
  <c r="G497" i="2"/>
  <c r="G311" i="2"/>
  <c r="G342" i="2"/>
  <c r="G214" i="2"/>
  <c r="G426" i="2"/>
  <c r="G400" i="2"/>
  <c r="G195" i="2"/>
  <c r="G354" i="2"/>
  <c r="G74" i="2"/>
  <c r="G267" i="2"/>
  <c r="G444" i="2"/>
  <c r="G334" i="2"/>
  <c r="G219" i="2"/>
  <c r="G397" i="2"/>
  <c r="G213" i="2"/>
  <c r="G218" i="2"/>
  <c r="G194" i="2"/>
  <c r="G103" i="2"/>
  <c r="G437" i="2"/>
  <c r="G428" i="2"/>
  <c r="G253" i="2"/>
  <c r="G339" i="2"/>
  <c r="G212" i="2"/>
  <c r="G3" i="2"/>
  <c r="G378" i="2"/>
  <c r="G153" i="2"/>
  <c r="G67" i="2"/>
  <c r="G46" i="2"/>
  <c r="G281" i="2"/>
  <c r="G521" i="2"/>
  <c r="G240" i="2"/>
  <c r="G232" i="2"/>
  <c r="G491" i="2"/>
  <c r="G323" i="2"/>
  <c r="G198" i="2"/>
  <c r="G187" i="2"/>
  <c r="G248" i="2"/>
  <c r="G18" i="2"/>
  <c r="G538" i="2"/>
  <c r="G446" i="2"/>
  <c r="G498" i="2"/>
  <c r="G464" i="2"/>
  <c r="G316" i="2"/>
  <c r="G368" i="2"/>
  <c r="G26" i="2"/>
  <c r="G465" i="2"/>
  <c r="G120" i="2"/>
  <c r="G225" i="2"/>
  <c r="G452" i="2"/>
  <c r="G302" i="2"/>
  <c r="G494" i="2"/>
  <c r="G466" i="2"/>
  <c r="G289" i="2"/>
  <c r="G159" i="2"/>
  <c r="G189" i="2"/>
  <c r="G52" i="2"/>
  <c r="G73" i="2"/>
  <c r="G236" i="2"/>
  <c r="G203" i="2"/>
  <c r="G119" i="2"/>
  <c r="G71" i="2"/>
  <c r="G324" i="2"/>
  <c r="G53" i="2"/>
  <c r="G476" i="2"/>
  <c r="G405" i="2"/>
  <c r="G249" i="2"/>
  <c r="G79" i="2"/>
  <c r="G372" i="2"/>
  <c r="G431" i="2"/>
  <c r="G180" i="2"/>
  <c r="G438" i="2"/>
  <c r="G95" i="2"/>
  <c r="G439" i="2"/>
  <c r="G496" i="2"/>
  <c r="G171" i="2"/>
  <c r="G344" i="2"/>
  <c r="G488" i="2"/>
  <c r="G151" i="2"/>
  <c r="G207" i="2"/>
  <c r="G226" i="2"/>
  <c r="G447" i="2"/>
  <c r="G24" i="2"/>
  <c r="G526" i="2"/>
  <c r="G473" i="2"/>
  <c r="G263" i="2"/>
  <c r="G30" i="2"/>
  <c r="G9" i="2"/>
  <c r="G186" i="2"/>
  <c r="G241" i="2"/>
  <c r="G105" i="2"/>
  <c r="G63" i="2"/>
  <c r="G15" i="2"/>
  <c r="G416" i="2"/>
  <c r="G76" i="2"/>
  <c r="G222" i="2"/>
  <c r="G188" i="2"/>
  <c r="G254" i="2"/>
  <c r="G392" i="2"/>
  <c r="G383" i="2"/>
  <c r="G75" i="2"/>
  <c r="G123" i="2"/>
  <c r="G492" i="2"/>
  <c r="G12" i="2"/>
  <c r="G135" i="2"/>
  <c r="G11" i="2"/>
  <c r="G527" i="2"/>
  <c r="G401" i="2"/>
  <c r="G507" i="2"/>
  <c r="G318" i="2"/>
  <c r="G21" i="2"/>
  <c r="G422" i="2"/>
  <c r="G87" i="2"/>
  <c r="G532" i="2"/>
  <c r="G456" i="2"/>
  <c r="G477" i="2"/>
  <c r="G62" i="2"/>
  <c r="G495" i="2"/>
  <c r="G432" i="2"/>
  <c r="G375" i="2"/>
  <c r="G84" i="2"/>
  <c r="G250" i="2"/>
  <c r="G223" i="2"/>
  <c r="G540" i="2"/>
  <c r="G174" i="2"/>
  <c r="G162" i="2"/>
  <c r="G499" i="2"/>
  <c r="G20" i="2"/>
  <c r="G25" i="2"/>
  <c r="G429" i="2"/>
  <c r="G93" i="2"/>
  <c r="G406" i="2"/>
  <c r="G411" i="2"/>
  <c r="G136" i="2"/>
  <c r="G181" i="2"/>
  <c r="G306" i="2"/>
  <c r="G17" i="2"/>
  <c r="G44" i="2"/>
  <c r="G369" i="2"/>
  <c r="G49" i="2"/>
  <c r="G101" i="2"/>
  <c r="G132" i="2"/>
  <c r="G417" i="2"/>
  <c r="G453" i="2"/>
  <c r="G264" i="2"/>
  <c r="G36" i="2"/>
  <c r="G512" i="2"/>
  <c r="G309" i="2"/>
  <c r="G6" i="2"/>
  <c r="G349" i="2"/>
  <c r="G192" i="2"/>
  <c r="G165" i="2"/>
  <c r="G462" i="2"/>
  <c r="G40" i="2"/>
  <c r="G374" i="2"/>
  <c r="G280" i="2"/>
  <c r="G150" i="2"/>
  <c r="E2" i="2"/>
  <c r="G155" i="2" s="1"/>
  <c r="G370" i="2"/>
  <c r="G117" i="2"/>
  <c r="G200" i="2"/>
  <c r="G199" i="2"/>
  <c r="G227" i="2"/>
  <c r="G279" i="2"/>
  <c r="G27" i="2"/>
  <c r="G134" i="2"/>
  <c r="G82" i="2"/>
  <c r="G233" i="2"/>
  <c r="G348" i="2"/>
  <c r="G130" i="2"/>
  <c r="G373" i="2"/>
  <c r="G480" i="2"/>
  <c r="G442" i="2"/>
  <c r="G537" i="2"/>
  <c r="G386" i="2"/>
  <c r="G265" i="2"/>
  <c r="G393" i="2"/>
  <c r="G111" i="2"/>
  <c r="G83" i="2"/>
  <c r="G94" i="2"/>
  <c r="G402" i="2"/>
  <c r="G284" i="2"/>
  <c r="G340" i="2"/>
  <c r="G235" i="2"/>
  <c r="G97" i="2"/>
  <c r="G472" i="2"/>
  <c r="G469" i="2"/>
  <c r="G335" i="2"/>
  <c r="G385" i="2"/>
  <c r="G536" i="2"/>
  <c r="G23" i="2"/>
  <c r="G361" i="2"/>
  <c r="G415" i="2"/>
  <c r="G525" i="2"/>
  <c r="G170" i="2"/>
  <c r="G390" i="2"/>
  <c r="G398" i="2"/>
  <c r="G474" i="2"/>
  <c r="G301" i="2"/>
  <c r="G242" i="2"/>
  <c r="G118" i="2"/>
  <c r="G418" i="2"/>
  <c r="G481" i="2"/>
  <c r="G297" i="2"/>
  <c r="G58" i="2"/>
  <c r="G102" i="2"/>
  <c r="G161" i="2"/>
  <c r="G427" i="2"/>
  <c r="G317" i="2"/>
  <c r="G479" i="2"/>
  <c r="G98" i="2"/>
  <c r="G528" i="2"/>
  <c r="G389" i="2"/>
  <c r="G539" i="2"/>
  <c r="G77" i="2"/>
  <c r="G278" i="2"/>
  <c r="G29" i="2"/>
  <c r="G529" i="2"/>
  <c r="G121" i="2"/>
  <c r="G173" i="2"/>
  <c r="G35" i="2"/>
  <c r="G355" i="2"/>
  <c r="G421" i="2"/>
  <c r="G513" i="2" l="1"/>
  <c r="G522" i="2"/>
  <c r="G533" i="2"/>
  <c r="G501" i="2"/>
  <c r="G534" i="2"/>
  <c r="G459" i="2"/>
  <c r="G440" i="2"/>
  <c r="G514" i="2"/>
  <c r="G286" i="2"/>
  <c r="G409" i="2"/>
  <c r="G467" i="2"/>
  <c r="G268" i="2"/>
  <c r="G328" i="2"/>
  <c r="G294" i="2"/>
  <c r="G356" i="2"/>
  <c r="G345" i="2"/>
  <c r="G276" i="2"/>
  <c r="G282" i="2"/>
  <c r="G443" i="2"/>
  <c r="G419" i="2"/>
  <c r="G336" i="2"/>
  <c r="G388" i="2"/>
  <c r="G433" i="2"/>
  <c r="G502" i="2"/>
  <c r="G273" i="2"/>
  <c r="G358" i="2"/>
  <c r="G50" i="2"/>
  <c r="G483" i="2"/>
  <c r="G191" i="2"/>
  <c r="G523" i="2"/>
  <c r="G423" i="2"/>
  <c r="G295" i="2"/>
  <c r="G460" i="2"/>
  <c r="G274" i="2"/>
  <c r="G515" i="2"/>
  <c r="G535" i="2"/>
  <c r="G259" i="2"/>
  <c r="G434" i="2"/>
  <c r="G484" i="2"/>
  <c r="G256" i="2"/>
  <c r="G503" i="2"/>
  <c r="G337" i="2"/>
  <c r="G283" i="2"/>
  <c r="G357" i="2"/>
  <c r="G524" i="2"/>
  <c r="G331" i="2"/>
  <c r="G346" i="2"/>
  <c r="G410" i="2"/>
  <c r="G277" i="2"/>
  <c r="G145" i="2"/>
  <c r="G441" i="2"/>
  <c r="G234" i="2"/>
  <c r="G269" i="2"/>
  <c r="G424" i="2"/>
  <c r="G359" i="2"/>
  <c r="G329" i="2"/>
  <c r="G287" i="2"/>
  <c r="G420" i="2"/>
  <c r="G230" i="2"/>
  <c r="G468" i="2"/>
  <c r="G88" i="2"/>
  <c r="G338" i="2"/>
  <c r="G275" i="2"/>
  <c r="G504" i="2"/>
  <c r="G57" i="2"/>
  <c r="G425" i="2"/>
  <c r="G33" i="2"/>
  <c r="G270" i="2"/>
  <c r="G516" i="2"/>
  <c r="G2" i="2"/>
  <c r="G332" i="2"/>
  <c r="G296" i="2"/>
  <c r="G110" i="2"/>
  <c r="G257" i="2"/>
  <c r="G435" i="2"/>
  <c r="G14" i="2"/>
  <c r="G260" i="2"/>
  <c r="G485" i="2"/>
  <c r="G220" i="2"/>
  <c r="G445" i="2"/>
  <c r="G114" i="2"/>
  <c r="G7" i="2"/>
  <c r="G330" i="2"/>
  <c r="G360" i="2"/>
  <c r="G68" i="2"/>
  <c r="G185" i="2"/>
  <c r="G215" i="2"/>
  <c r="G231" i="2"/>
  <c r="G347" i="2"/>
  <c r="G461" i="2"/>
  <c r="G45" i="2"/>
  <c r="G31" i="2"/>
  <c r="G288" i="2"/>
  <c r="G10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<sst xmlns="http://schemas.openxmlformats.org/spreadsheetml/2006/main" count="33" uniqueCount="28">
  <si>
    <t>hero_name</t>
  </si>
  <si>
    <t>times_picked</t>
  </si>
  <si>
    <t>times_banned</t>
  </si>
  <si>
    <t>pick_rate</t>
  </si>
  <si>
    <t>ban_rate</t>
  </si>
  <si>
    <t>times_won</t>
  </si>
  <si>
    <t>win_rate</t>
  </si>
  <si>
    <t>score</t>
  </si>
  <si>
    <t>tier</t>
  </si>
  <si>
    <t>role_name</t>
  </si>
  <si>
    <t>qualify</t>
  </si>
  <si>
    <t>lane_rank</t>
  </si>
  <si>
    <t>times_played</t>
  </si>
  <si>
    <t>sequence</t>
  </si>
  <si>
    <t>Row Labels</t>
  </si>
  <si>
    <t>Grand Total</t>
  </si>
  <si>
    <t>Sum of times_picked</t>
  </si>
  <si>
    <t>Luna</t>
  </si>
  <si>
    <t>Lifestealer</t>
  </si>
  <si>
    <t>Tiny</t>
  </si>
  <si>
    <t>Muerta</t>
  </si>
  <si>
    <t>Monkey King</t>
  </si>
  <si>
    <t>Alchemist</t>
  </si>
  <si>
    <t>Ursa</t>
  </si>
  <si>
    <t>Shadow Fiend</t>
  </si>
  <si>
    <t>Templar Assassin</t>
  </si>
  <si>
    <t>Weaver</t>
  </si>
  <si>
    <t>Sum of times_won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</si>
</sst>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0" fillId="3" borderId="1" xfId="0"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0" fillId="3" borderId="2" xfId="0" applyFill="1" applyBorder="1"/>
    <xf numFmtId="0" fontId="0" fillId="3" borderId="3" xfId="0" applyFill="1" applyBorder="1"/>
    <xf numFmtId="0" fontId="0" fillId="0" borderId="2" xfId="0" applyBorder="1"/>
    <xf numFmtId="164" fontId="0" fillId="3" borderId="3" xfId="2" applyNumberFormat="1" applyFont="1" applyFill="1" applyBorder="1"/>
    <xf numFmtId="164" fontId="0" fillId="3" borderId="4" xfId="2" applyNumberFormat="1" applyFont="1" applyFill="1" applyBorder="1"/>
    <xf numFmtId="0" fontId="2" fillId="2" borderId="0" xfId="0" applyFont="1" applyFill="1"/>
    <xf numFmtId="164" fontId="0" fillId="0" borderId="0" xfId="2" applyNumberFormat="1" applyFont="1"/>
    <xf numFmtId="2" fontId="0" fillId="0" borderId="0" xfId="0" applyNumberFormat="1"/>
    <xf numFmtId="43" fontId="0" fillId="0" borderId="0" xfId="1" applyFont="1"/>
    <xf numFmtId="0" fontId="0" fillId="0" borderId="0" xfId="0" pivotButton="1"/>
    <xf numFmtId="0" fontId="0" fillId="0" borderId="0" xfId="0" applyAlignment="1">
      <alignment horizontal="left"/>
    </xf>
    <xf numFmtId="0" fontId="0" fillId="0" borderId="0" xfId="0" applyNumberFormat="1"/>
  </cellXfs>
  <cellStyles count="3">
    <cellStyle name="Comma" xfId="1" builtinId="3"/>
    <cellStyle name="Normal" xfId="0" builtinId="0"/>
    <cellStyle name="Percent" xfId="2" builtinId="5"/>
  </cellStyles>
  <dxfs count="2">
    <dxf>
      <font>
        <b val="0"/>
        <i val="0"/>
        <sz val="9"/>
        <name val="Bahnschrift"/>
        <family val="2"/>
        <scheme val="none"/>
      </font>
    </dxf>
    <dxf>
      <font>
        <color theme="2" tint="-9.9948118533890809E-2"/>
      </font>
      <fill>
        <patternFill>
          <bgColor rgb="FF1E1E1E"/>
        </patternFill>
      </fill>
    </dxf>
  </dxfs>
  <tableStyles count="1" defaultTableStyle="TableStyleMedium2" defaultPivotStyle="PivotStyleLight16">
    <tableStyle name="Slicer Style 5" pivot="0" table="0" count="6" xr9:uid="{9A9F8009-F4F0-4E58-AA46-0AE2BFB86022}">
      <tableStyleElement type="wholeTable" dxfId="1"/>
      <tableStyleElement type="headerRow" dxfId="0"/>
    </tableStyle>
  </tableStyles>
  <colors>
    <mruColors>
      <color rgb="FF00C853"/>
      <color rgb="FF00B4D8"/>
      <color rgb="FF2A2A2A"/>
      <color rgb="FF1E1E1E"/>
      <color rgb="FF121212"/>
    </mruColors>
  </colors>
  <extLst>
    <ext xmlns:x14="http://schemas.microsoft.com/office/spreadsheetml/2009/9/main" uri="{46F421CA-312F-682f-3DD2-61675219B42D}">
      <x14:dxfs count="29">
        <dxf>
          <font>
            <b val="0"/>
            <i val="0"/>
            <sz val="9"/>
            <color rgb="FF00B4D8"/>
            <name val="Bahnschrift"/>
            <family val="2"/>
            <scheme val="none"/>
          </font>
          <fill>
            <patternFill>
              <bgColor rgb="FF2A2A2A"/>
            </patternFill>
          </fill>
        </dxf>
        <dxf>
          <font>
            <sz val="9"/>
            <color theme="2" tint="-9.9948118533890809E-2"/>
            <name val="Bahnschrift"/>
            <family val="2"/>
            <scheme val="none"/>
          </font>
          <fill>
            <patternFill>
              <bgColor rgb="FF2A2A2A"/>
            </patternFill>
          </fill>
        </dxf>
        <dxf>
          <font>
            <b val="0"/>
            <i val="0"/>
            <sz val="9"/>
            <color rgb="FF00B4D8"/>
            <name val="Bahnschrift"/>
            <family val="2"/>
            <scheme val="none"/>
          </font>
          <fill>
            <patternFill>
              <bgColor rgb="FF2A2A2A"/>
            </patternFill>
          </fill>
        </dxf>
        <dxf>
          <font>
            <sz val="9"/>
            <color theme="2" tint="-9.9917600024414813E-2"/>
            <name val="Bahnschrift"/>
            <family val="2"/>
            <scheme val="none"/>
          </font>
          <fill>
            <patternFill>
              <bgColor rgb="FF2A2A2A"/>
            </patternFill>
          </fill>
        </dxf>
        <dxf>
          <font>
            <sz val="9"/>
            <color theme="2" tint="-9.9948118533890809E-2"/>
            <name val="Bahnschrift"/>
            <family val="2"/>
            <scheme val="none"/>
          </font>
          <fill>
            <patternFill>
              <bgColor rgb="FF2A2A2A"/>
            </patternFill>
          </fill>
        </dxf>
        <dxf>
          <font>
            <b val="0"/>
            <i val="0"/>
            <sz val="9"/>
            <color theme="2" tint="-9.9948118533890809E-2"/>
            <name val="Bahnschrift"/>
            <family val="2"/>
            <scheme val="none"/>
          </font>
          <fill>
            <patternFill>
              <bgColor rgb="FF2A2A2A"/>
            </patternFill>
          </fill>
        </dxf>
        <dxf>
          <font>
            <b val="0"/>
            <i val="0"/>
            <sz val="9"/>
            <color rgb="FF00B4D8"/>
            <name val="Bahnschrift"/>
            <family val="2"/>
            <scheme val="none"/>
          </font>
          <fill>
            <patternFill>
              <bgColor rgb="FF2A2A2A"/>
            </patternFill>
          </fill>
        </dxf>
        <dxf>
          <font>
            <sz val="9"/>
            <color theme="2" tint="-9.9917600024414813E-2"/>
            <name val="Bahnschrift"/>
            <family val="2"/>
            <scheme val="none"/>
          </font>
          <fill>
            <patternFill>
              <bgColor rgb="FF2A2A2A"/>
            </patternFill>
          </fill>
        </dxf>
        <dxf>
          <font>
            <b val="0"/>
            <i val="0"/>
            <sz val="9"/>
            <color theme="2" tint="-9.9948118533890809E-2"/>
            <name val="Bahnschrift"/>
            <family val="2"/>
            <scheme val="none"/>
          </font>
          <fill>
            <patternFill>
              <bgColor rgb="FF2A2A2A"/>
            </patternFill>
          </fill>
        </dxf>
        <dxf>
          <font>
            <b val="0"/>
            <i val="0"/>
            <sz val="9"/>
            <color rgb="FF00B4D8"/>
            <name val="Bahnschrift"/>
            <family val="2"/>
            <scheme val="none"/>
          </font>
          <fill>
            <patternFill>
              <bgColor rgb="FF2A2A2A"/>
            </patternFill>
          </fill>
        </dxf>
        <dxf>
          <font>
            <sz val="9"/>
            <color theme="2" tint="-9.9917600024414813E-2"/>
            <name val="Bahnschrift"/>
            <family val="2"/>
            <scheme val="none"/>
          </font>
          <fill>
            <patternFill>
              <bgColor rgb="FF2A2A2A"/>
            </patternFill>
          </fill>
        </dxf>
        <dxf>
          <font>
            <b val="0"/>
            <i val="0"/>
            <sz val="9"/>
            <color theme="2" tint="-9.9948118533890809E-2"/>
            <name val="Bahnschrift"/>
            <family val="2"/>
            <scheme val="none"/>
          </font>
          <fill>
            <patternFill>
              <bgColor rgb="FF2A2A2A"/>
            </patternFill>
          </fill>
        </dxf>
        <dxf>
          <font>
            <b val="0"/>
            <i val="0"/>
            <sz val="9"/>
            <color rgb="FF00B4D8"/>
            <name val="Bahnschrift"/>
            <family val="2"/>
            <scheme val="none"/>
          </font>
          <fill>
            <patternFill>
              <bgColor rgb="FF2A2A2A"/>
            </patternFill>
          </fill>
        </dxf>
        <dxf>
          <font>
            <sz val="9"/>
            <color theme="2" tint="-9.9917600024414813E-2"/>
            <name val="Bahnschrift"/>
            <family val="2"/>
            <scheme val="none"/>
          </font>
          <fill>
            <patternFill>
              <bgColor rgb="FF2A2A2A"/>
            </patternFill>
          </fill>
        </dxf>
        <dxf>
          <font>
            <b val="0"/>
            <i val="0"/>
            <sz val="9"/>
            <color theme="2" tint="-9.9948118533890809E-2"/>
            <name val="Bahnschrift"/>
            <family val="2"/>
            <scheme val="none"/>
          </font>
          <fill>
            <patternFill>
              <bgColor rgb="FF2A2A2A"/>
            </patternFill>
          </fill>
        </dxf>
        <dxf>
          <font>
            <b val="0"/>
            <i val="0"/>
            <sz val="9"/>
            <color rgb="FF00B4D8"/>
            <name val="Bahnschrift"/>
            <family val="2"/>
            <scheme val="none"/>
          </font>
          <fill>
            <patternFill>
              <bgColor rgb="FF2A2A2A"/>
            </patternFill>
          </fill>
        </dxf>
        <dxf>
          <font>
            <sz val="9"/>
            <color theme="2" tint="-9.9917600024414813E-2"/>
            <name val="Bahnschrift"/>
            <family val="2"/>
            <scheme val="none"/>
          </font>
          <fill>
            <patternFill>
              <bgColor rgb="FF2A2A2A"/>
            </patternFill>
          </fill>
        </dxf>
        <dxf>
          <font>
            <b val="0"/>
            <i val="0"/>
            <sz val="9"/>
            <color rgb="FF00B4D8"/>
            <name val="Bahnschrift"/>
            <family val="2"/>
            <scheme val="none"/>
          </font>
          <fill>
            <patternFill>
              <bgColor rgb="FF2A2A2A"/>
            </patternFill>
          </fill>
        </dxf>
        <dxf>
          <font>
            <sz val="9"/>
            <color theme="2" tint="-9.9917600024414813E-2"/>
            <name val="Bahnschrift"/>
            <family val="2"/>
            <scheme val="none"/>
          </font>
          <fill>
            <patternFill>
              <bgColor rgb="FF2A2A2A"/>
            </patternFill>
          </fill>
        </dxf>
        <dxf>
          <font>
            <b val="0"/>
            <i val="0"/>
            <sz val="9"/>
            <color rgb="FF00B4D8"/>
            <name val="Bahnschrift"/>
            <family val="2"/>
            <scheme val="none"/>
          </font>
        </dxf>
        <dxf>
          <font>
            <sz val="9"/>
            <color theme="2" tint="-9.9917600024414813E-2"/>
            <name val="Bahnschrift"/>
            <family val="2"/>
            <scheme val="none"/>
          </font>
          <fill>
            <patternFill>
              <bgColor rgb="FF2A2A2A"/>
            </patternFill>
          </fill>
        </dxf>
        <dxf>
          <font>
            <sz val="9"/>
            <color theme="2" tint="-9.9917600024414813E-2"/>
            <name val="Bahnschrift"/>
            <family val="2"/>
            <scheme val="none"/>
          </font>
          <fill>
            <patternFill>
              <bgColor rgb="FF2A2A2A"/>
            </patternFill>
          </fill>
        </dxf>
        <dxf>
          <font>
            <sz val="9"/>
            <color theme="2" tint="-9.9917600024414813E-2"/>
            <name val="Bahnschrift"/>
            <family val="2"/>
            <scheme val="none"/>
          </font>
          <fill>
            <patternFill>
              <bgColor theme="7" tint="0.39994506668294322"/>
            </patternFill>
          </fill>
        </dxf>
        <dxf>
          <font>
            <sz val="9"/>
            <color theme="2" tint="-9.9917600024414813E-2"/>
            <name val="Bahnschrift"/>
            <family val="2"/>
            <scheme val="none"/>
          </font>
        </dxf>
        <dxf>
          <font>
            <sz val="8"/>
            <color theme="2" tint="-9.9948118533890809E-2"/>
            <name val="Bahnschrift"/>
            <family val="2"/>
            <scheme val="none"/>
          </font>
        </dxf>
        <dxf>
          <font>
            <color theme="2" tint="-0.499984740745262"/>
          </font>
        </dxf>
        <dxf>
          <font>
            <color theme="2" tint="-0.499984740745262"/>
          </font>
        </dxf>
        <dxf>
          <font>
            <color theme="2" tint="-0.499984740745262"/>
          </font>
        </dxf>
        <dxf>
          <font>
            <color theme="2" tint="-0.499984740745262"/>
          </font>
        </dxf>
      </x14:dxfs>
    </ext>
    <ext xmlns:x14="http://schemas.microsoft.com/office/spreadsheetml/2009/9/main" uri="{EB79DEF2-80B8-43e5-95BD-54CBDDF9020C}">
      <x14:slicerStyles defaultSlicerStyle="SlicerStyleLight1">
        <x14:slicerStyle name="Slicer Style 5">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[hero_summary.xlsx]most_played_pivot!PivotTable1</c:name>
    <c:fmtId val="0"/>
  </c:pivotSource>
  <c:chart>
    <c:autoTitleDeleted val="1"/>
    <c:pivotFmts>
      <c:pivotFmt>
        <c:idx val="0"/>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rgbClr val="00C8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76902887139108"/>
          <c:y val="0.30850603420335171"/>
          <c:w val="0.71567541557305347"/>
          <c:h val="0.65029519615132858"/>
        </c:manualLayout>
      </c:layout>
      <c:barChart>
        <c:barDir val="bar"/>
        <c:grouping val="clustered"/>
        <c:varyColors val="0"/>
        <c:ser>
          <c:idx val="0"/>
          <c:order val="0"/>
          <c:tx>
            <c:strRef>
              <c:f>most_played_pivot!$B$3</c:f>
              <c:strCache>
                <c:ptCount val="1"/>
                <c:pt idx="0">
                  <c:v>Sum of times_picked</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most_played_pivot!$A$4:$A$14</c:f>
              <c:strCache>
                <c:ptCount val="10"/>
                <c:pt idx="0">
                  <c:v>Luna</c:v>
                </c:pt>
                <c:pt idx="1">
                  <c:v>Lifestealer</c:v>
                </c:pt>
                <c:pt idx="2">
                  <c:v>Tiny</c:v>
                </c:pt>
                <c:pt idx="3">
                  <c:v>Muerta</c:v>
                </c:pt>
                <c:pt idx="4">
                  <c:v>Monkey King</c:v>
                </c:pt>
                <c:pt idx="5">
                  <c:v>Alchemist</c:v>
                </c:pt>
                <c:pt idx="6">
                  <c:v>Ursa</c:v>
                </c:pt>
                <c:pt idx="7">
                  <c:v>Shadow Fiend</c:v>
                </c:pt>
                <c:pt idx="8">
                  <c:v>Templar Assassin</c:v>
                </c:pt>
                <c:pt idx="9">
                  <c:v>Weaver</c:v>
                </c:pt>
              </c:strCache>
            </c:strRef>
          </c:cat>
          <c:val>
            <c:numRef>
              <c:f>most_played_pivot!$B$4:$B$14</c:f>
              <c:numCache>
                <c:formatCode>General</c:formatCode>
                <c:ptCount val="10"/>
                <c:pt idx="0">
                  <c:v>436</c:v>
                </c:pt>
                <c:pt idx="1">
                  <c:v>293</c:v>
                </c:pt>
                <c:pt idx="2">
                  <c:v>290</c:v>
                </c:pt>
                <c:pt idx="3">
                  <c:v>277</c:v>
                </c:pt>
                <c:pt idx="4">
                  <c:v>262</c:v>
                </c:pt>
                <c:pt idx="5">
                  <c:v>247</c:v>
                </c:pt>
                <c:pt idx="6">
                  <c:v>212</c:v>
                </c:pt>
                <c:pt idx="7">
                  <c:v>187</c:v>
                </c:pt>
                <c:pt idx="8">
                  <c:v>185</c:v>
                </c:pt>
                <c:pt idx="9">
                  <c:v>156</c:v>
                </c:pt>
              </c:numCache>
            </c:numRef>
          </c:val>
          <c:extLst>
            <c:ext xmlns:c16="http://schemas.microsoft.com/office/drawing/2014/chart" uri="{C3380CC4-5D6E-409C-BE32-E72D297353CC}">
              <c16:uniqueId val="{00000000-8F04-4480-B3B6-A3AC4B91E30B}"/>
            </c:ext>
          </c:extLst>
        </c:ser>
        <c:ser>
          <c:idx val="1"/>
          <c:order val="1"/>
          <c:tx>
            <c:strRef>
              <c:f>most_played_pivot!$C$3</c:f>
              <c:strCache>
                <c:ptCount val="1"/>
                <c:pt idx="0">
                  <c:v>Sum of times_won</c:v>
                </c:pt>
              </c:strCache>
            </c:strRef>
          </c:tx>
          <c:spPr>
            <a:solidFill>
              <a:srgbClr val="00C8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most_played_pivot!$A$4:$A$14</c:f>
              <c:strCache>
                <c:ptCount val="10"/>
                <c:pt idx="0">
                  <c:v>Luna</c:v>
                </c:pt>
                <c:pt idx="1">
                  <c:v>Lifestealer</c:v>
                </c:pt>
                <c:pt idx="2">
                  <c:v>Tiny</c:v>
                </c:pt>
                <c:pt idx="3">
                  <c:v>Muerta</c:v>
                </c:pt>
                <c:pt idx="4">
                  <c:v>Monkey King</c:v>
                </c:pt>
                <c:pt idx="5">
                  <c:v>Alchemist</c:v>
                </c:pt>
                <c:pt idx="6">
                  <c:v>Ursa</c:v>
                </c:pt>
                <c:pt idx="7">
                  <c:v>Shadow Fiend</c:v>
                </c:pt>
                <c:pt idx="8">
                  <c:v>Templar Assassin</c:v>
                </c:pt>
                <c:pt idx="9">
                  <c:v>Weaver</c:v>
                </c:pt>
              </c:strCache>
            </c:strRef>
          </c:cat>
          <c:val>
            <c:numRef>
              <c:f>most_played_pivot!$C$4:$C$14</c:f>
              <c:numCache>
                <c:formatCode>General</c:formatCode>
                <c:ptCount val="10"/>
                <c:pt idx="0">
                  <c:v>218</c:v>
                </c:pt>
                <c:pt idx="1">
                  <c:v>143</c:v>
                </c:pt>
                <c:pt idx="2">
                  <c:v>154</c:v>
                </c:pt>
                <c:pt idx="3">
                  <c:v>141</c:v>
                </c:pt>
                <c:pt idx="4">
                  <c:v>152</c:v>
                </c:pt>
                <c:pt idx="5">
                  <c:v>126</c:v>
                </c:pt>
                <c:pt idx="6">
                  <c:v>102</c:v>
                </c:pt>
                <c:pt idx="7">
                  <c:v>83</c:v>
                </c:pt>
                <c:pt idx="8">
                  <c:v>86</c:v>
                </c:pt>
                <c:pt idx="9">
                  <c:v>68</c:v>
                </c:pt>
              </c:numCache>
            </c:numRef>
          </c:val>
          <c:extLst>
            <c:ext xmlns:c16="http://schemas.microsoft.com/office/drawing/2014/chart" uri="{C3380CC4-5D6E-409C-BE32-E72D297353CC}">
              <c16:uniqueId val="{00000005-66CC-4540-A616-FAD7E17CD80F}"/>
            </c:ext>
          </c:extLst>
        </c:ser>
        <c:dLbls>
          <c:dLblPos val="outEnd"/>
          <c:showLegendKey val="0"/>
          <c:showVal val="1"/>
          <c:showCatName val="0"/>
          <c:showSerName val="0"/>
          <c:showPercent val="0"/>
          <c:showBubbleSize val="0"/>
        </c:dLbls>
        <c:gapWidth val="60"/>
        <c:axId val="221436624"/>
        <c:axId val="221427504"/>
      </c:barChart>
      <c:catAx>
        <c:axId val="221436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Bahnschrift Light" panose="020B0502040204020203" pitchFamily="34" charset="0"/>
                <a:ea typeface="+mn-ea"/>
                <a:cs typeface="+mn-cs"/>
              </a:defRPr>
            </a:pPr>
            <a:endParaRPr lang="en-US"/>
          </a:p>
        </c:txPr>
        <c:crossAx val="221427504"/>
        <c:crosses val="autoZero"/>
        <c:auto val="1"/>
        <c:lblAlgn val="ctr"/>
        <c:lblOffset val="100"/>
        <c:noMultiLvlLbl val="0"/>
      </c:catAx>
      <c:valAx>
        <c:axId val="221427504"/>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22143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167640</xdr:colOff>
      <xdr:row>15</xdr:row>
      <xdr:rowOff>137160</xdr:rowOff>
    </xdr:from>
    <xdr:to>
      <xdr:col>41</xdr:col>
      <xdr:colOff>7620</xdr:colOff>
      <xdr:row>32</xdr:row>
      <xdr:rowOff>175260</xdr:rowOff>
    </xdr:to>
    <xdr:graphicFrame macro="">
      <xdr:nvGraphicFramePr>
        <xdr:cNvPr id="2" name="Chart 1">
          <a:extLst>
            <a:ext uri="{FF2B5EF4-FFF2-40B4-BE49-F238E27FC236}">
              <a16:creationId xmlns:a16="http://schemas.microsoft.com/office/drawing/2014/main" id="{180A0712-EA11-9EE5-B6E3-35401C361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31</xdr:col>
      <xdr:colOff>91440</xdr:colOff>
      <xdr:row>16</xdr:row>
      <xdr:rowOff>121921</xdr:rowOff>
    </xdr:from>
    <xdr:to>
      <xdr:col>40</xdr:col>
      <xdr:colOff>75780</xdr:colOff>
      <xdr:row>20</xdr:row>
      <xdr:rowOff>7620</xdr:rowOff>
    </xdr:to>
    <mc:AlternateContent xmlns:mc="http://schemas.openxmlformats.org/markup-compatibility/2006">
      <mc:Choice xmlns:a14="http://schemas.microsoft.com/office/drawing/2010/main" Requires="a14">
        <xdr:graphicFrame macro="">
          <xdr:nvGraphicFramePr>
            <xdr:cNvPr id="5" name="role_name">
              <a:extLst>
                <a:ext uri="{FF2B5EF4-FFF2-40B4-BE49-F238E27FC236}">
                  <a16:creationId xmlns:a16="http://schemas.microsoft.com/office/drawing/2014/main" id="{63971F39-7C45-6855-ABB7-326E6D0171B0}"/>
                </a:ext>
              </a:extLst>
            </xdr:cNvPr>
            <xdr:cNvGraphicFramePr/>
          </xdr:nvGraphicFramePr>
          <xdr:xfrm>
            <a:off x="0" y="0"/>
            <a:ext cx="0" cy="0"/>
          </xdr:xfrm>
          <a:graphic>
            <a:graphicData uri="http://schemas.microsoft.com/office/drawing/2010/slicer">
              <sle:slicer xmlns:sle="http://schemas.microsoft.com/office/drawing/2010/slicer" name="role_name"/>
            </a:graphicData>
          </a:graphic>
        </xdr:graphicFrame>
      </mc:Choice>
      <mc:Fallback>
        <xdr:sp macro="" textlink="">
          <xdr:nvSpPr>
            <xdr:cNvPr id="0" name=""/>
            <xdr:cNvSpPr>
              <a:spLocks noTextEdit="1"/>
            </xdr:cNvSpPr>
          </xdr:nvSpPr>
          <xdr:spPr>
            <a:xfrm>
              <a:off x="8763000" y="3048001"/>
              <a:ext cx="1836000" cy="61721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dre\Downloads\202604\hero_reference.xlsx" TargetMode="External"/><Relationship Id="rId1" Type="http://schemas.openxmlformats.org/officeDocument/2006/relationships/externalLinkPath" Target="hero_referenc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ndre\Downloads\202604\picks_bans.xlsx" TargetMode="External"/><Relationship Id="rId1" Type="http://schemas.openxmlformats.org/officeDocument/2006/relationships/externalLinkPath" Target="picks_ban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ndre\Downloads\202604\players.xlsx" TargetMode="External"/><Relationship Id="rId1" Type="http://schemas.openxmlformats.org/officeDocument/2006/relationships/externalLinkPath" Target="play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ero_reference"/>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cks_ban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yers"/>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Foh Twitch" refreshedDate="46194.845888773147" createdVersion="8" refreshedVersion="8" minRefreshableVersion="3" recordCount="538" xr:uid="{F7A945C7-2D06-42E8-9C46-8177B9F73C95}">
  <cacheSource type="worksheet">
    <worksheetSource ref="A1:G539" sheet="lane_hero_summary"/>
  </cacheSource>
  <cacheFields count="7">
    <cacheField name="hero_name" numFmtId="0">
      <sharedItems count="127">
        <s v="Abaddon"/>
        <s v="Alchemist"/>
        <s v="Ancient Apparition"/>
        <s v="Anti-Mage"/>
        <s v="Arc Warden"/>
        <s v="Axe"/>
        <s v="Bane"/>
        <s v="Batrider"/>
        <s v="Beastmaster"/>
        <s v="Bloodseeker"/>
        <s v="Bounty Hunter"/>
        <s v="Brewmaster"/>
        <s v="Bristleback"/>
        <s v="Broodmother"/>
        <s v="Centaur Warrunner"/>
        <s v="Chaos Knight"/>
        <s v="Chen"/>
        <s v="Clinkz"/>
        <s v="Clockwerk"/>
        <s v="Crystal Maiden"/>
        <s v="Dark Seer"/>
        <s v="Dark Willow"/>
        <s v="Dawnbreaker"/>
        <s v="Dazzle"/>
        <s v="Death Prophet"/>
        <s v="Disruptor"/>
        <s v="Doom"/>
        <s v="Dragon Knight"/>
        <s v="Drow Ranger"/>
        <s v="Earth Spirit"/>
        <s v="Earthshaker"/>
        <s v="Elder Titan"/>
        <s v="Ember Spirit"/>
        <s v="Enchantress"/>
        <s v="Enigma"/>
        <s v="Faceless Void"/>
        <s v="Grimstroke"/>
        <s v="Gyrocopter"/>
        <s v="Hoodwink"/>
        <s v="Huskar"/>
        <s v="Invoker"/>
        <s v="Io"/>
        <s v="Jakiro"/>
        <s v="Juggernaut"/>
        <s v="Keeper of the Light"/>
        <s v="Kez"/>
        <s v="Kunkka"/>
        <s v="Largo"/>
        <s v="Legion Commander"/>
        <s v="Leshrac"/>
        <s v="Lich"/>
        <s v="Lifestealer"/>
        <s v="Lina"/>
        <s v="Lion"/>
        <s v="Lone Druid"/>
        <s v="Luna"/>
        <s v="Lycan"/>
        <s v="Magnus"/>
        <s v="Marci"/>
        <s v="Mars"/>
        <s v="Medusa"/>
        <s v="Meepo"/>
        <s v="Mirana"/>
        <s v="Monkey King"/>
        <s v="Morphling"/>
        <s v="Muerta"/>
        <s v="Naga Siren"/>
        <s v="Nature's Prophet"/>
        <s v="Necrophos"/>
        <s v="Night Stalker"/>
        <s v="Nyx Assassin"/>
        <s v="Ogre Magi"/>
        <s v="Omniknight"/>
        <s v="Oracle"/>
        <s v="Outworld Destroyer"/>
        <s v="Pangolier"/>
        <s v="Phantom Assassin"/>
        <s v="Phantom Lancer"/>
        <s v="Phoenix"/>
        <s v="Primal Beast"/>
        <s v="Puck"/>
        <s v="Pudge"/>
        <s v="Pugna"/>
        <s v="Queen of Pain"/>
        <s v="Razor"/>
        <s v="Riki"/>
        <s v="Ringmaster"/>
        <s v="Rubick"/>
        <s v="Sand King"/>
        <s v="Shadow Demon"/>
        <s v="Shadow Fiend"/>
        <s v="Shadow Shaman"/>
        <s v="Silencer"/>
        <s v="Skywrath Mage"/>
        <s v="Slardar"/>
        <s v="Slark"/>
        <s v="Snapfire"/>
        <s v="Sniper"/>
        <s v="Spectre"/>
        <s v="Spirit Breaker"/>
        <s v="Storm Spirit"/>
        <s v="Sven"/>
        <s v="Techies"/>
        <s v="Templar Assassin"/>
        <s v="Terrorblade"/>
        <s v="Tidehunter"/>
        <s v="Timbersaw"/>
        <s v="Tinker"/>
        <s v="Tiny"/>
        <s v="Treant Protector"/>
        <s v="Troll Warlord"/>
        <s v="Tusk"/>
        <s v="Underlord"/>
        <s v="Undying"/>
        <s v="Ursa"/>
        <s v="Vengeful Spirit"/>
        <s v="Venomancer"/>
        <s v="Viper"/>
        <s v="Visage"/>
        <s v="Void Spirit"/>
        <s v="Warlock"/>
        <s v="Weaver"/>
        <s v="Windranger"/>
        <s v="Winter Wyvern"/>
        <s v="Witch Doctor"/>
        <s v="Wraith King"/>
        <s v="Zeus"/>
      </sharedItems>
    </cacheField>
    <cacheField name="role_name" numFmtId="0">
      <sharedItems count="6">
        <s v="Carry"/>
        <s v="Off Lane"/>
        <s v="Hard Support"/>
        <s v="Soft Support"/>
        <s v="Mid"/>
        <s v="Roam"/>
      </sharedItems>
    </cacheField>
    <cacheField name="times_picked" numFmtId="0">
      <sharedItems containsSemiMixedTypes="0" containsString="0" containsNumber="1" containsInteger="1" minValue="1" maxValue="547"/>
    </cacheField>
    <cacheField name="times_won" numFmtId="0">
      <sharedItems containsSemiMixedTypes="0" containsString="0" containsNumber="1" containsInteger="1" minValue="0" maxValue="254"/>
    </cacheField>
    <cacheField name="win_rate" numFmtId="164">
      <sharedItems containsSemiMixedTypes="0" containsString="0" containsNumber="1" minValue="0" maxValue="1"/>
    </cacheField>
    <cacheField name="qualify" numFmtId="0">
      <sharedItems/>
    </cacheField>
    <cacheField name="lane_rank" numFmtId="0">
      <sharedItems containsMixedTypes="1" containsNumber="1" containsInteger="1" minValue="1" maxValue="41"/>
    </cacheField>
  </cacheFields>
  <extLst>
    <ext xmlns:x14="http://schemas.microsoft.com/office/spreadsheetml/2009/9/main" uri="{725AE2AE-9491-48be-B2B4-4EB974FC3084}">
      <x14:pivotCacheDefinition pivotCacheId="1585499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x v="0"/>
    <x v="0"/>
    <n v="24"/>
    <n v="7"/>
    <n v="0.29166666666666669"/>
    <s v="Yes"/>
    <n v="37"/>
  </r>
  <r>
    <x v="0"/>
    <x v="1"/>
    <n v="21"/>
    <n v="7"/>
    <n v="0.33333333333333331"/>
    <s v="Yes"/>
    <n v="38"/>
  </r>
  <r>
    <x v="0"/>
    <x v="2"/>
    <n v="9"/>
    <n v="3"/>
    <n v="0.33333333333333331"/>
    <s v="No"/>
    <s v="N/A"/>
  </r>
  <r>
    <x v="0"/>
    <x v="3"/>
    <n v="3"/>
    <n v="2"/>
    <n v="0.66666666666666663"/>
    <s v="No"/>
    <s v="N/A"/>
  </r>
  <r>
    <x v="1"/>
    <x v="4"/>
    <n v="24"/>
    <n v="15"/>
    <n v="0.625"/>
    <s v="Yes"/>
    <n v="2"/>
  </r>
  <r>
    <x v="1"/>
    <x v="0"/>
    <n v="247"/>
    <n v="126"/>
    <n v="0.51012145748987858"/>
    <s v="Yes"/>
    <n v="14"/>
  </r>
  <r>
    <x v="1"/>
    <x v="3"/>
    <n v="4"/>
    <n v="2"/>
    <n v="0.5"/>
    <s v="No"/>
    <s v="N/A"/>
  </r>
  <r>
    <x v="1"/>
    <x v="1"/>
    <n v="28"/>
    <n v="16"/>
    <n v="0.5714285714285714"/>
    <s v="Yes"/>
    <n v="6"/>
  </r>
  <r>
    <x v="1"/>
    <x v="5"/>
    <n v="1"/>
    <n v="1"/>
    <n v="1"/>
    <s v="No"/>
    <s v="N/A"/>
  </r>
  <r>
    <x v="2"/>
    <x v="2"/>
    <n v="33"/>
    <n v="16"/>
    <n v="0.48484848484848486"/>
    <s v="Yes"/>
    <n v="21"/>
  </r>
  <r>
    <x v="2"/>
    <x v="3"/>
    <n v="25"/>
    <n v="9"/>
    <n v="0.36"/>
    <s v="Yes"/>
    <n v="38"/>
  </r>
  <r>
    <x v="2"/>
    <x v="5"/>
    <n v="7"/>
    <n v="4"/>
    <n v="0.5714285714285714"/>
    <s v="No"/>
    <s v="N/A"/>
  </r>
  <r>
    <x v="3"/>
    <x v="0"/>
    <n v="59"/>
    <n v="32"/>
    <n v="0.5423728813559322"/>
    <s v="Yes"/>
    <n v="9"/>
  </r>
  <r>
    <x v="3"/>
    <x v="1"/>
    <n v="11"/>
    <n v="3"/>
    <n v="0.27272727272727271"/>
    <s v="Yes"/>
    <n v="39"/>
  </r>
  <r>
    <x v="3"/>
    <x v="4"/>
    <n v="1"/>
    <n v="1"/>
    <n v="1"/>
    <s v="No"/>
    <s v="N/A"/>
  </r>
  <r>
    <x v="4"/>
    <x v="4"/>
    <n v="13"/>
    <n v="8"/>
    <n v="0.61538461538461542"/>
    <s v="Yes"/>
    <n v="3"/>
  </r>
  <r>
    <x v="5"/>
    <x v="1"/>
    <n v="204"/>
    <n v="98"/>
    <n v="0.48039215686274511"/>
    <s v="Yes"/>
    <n v="23"/>
  </r>
  <r>
    <x v="5"/>
    <x v="3"/>
    <n v="7"/>
    <n v="3"/>
    <n v="0.42857142857142855"/>
    <s v="No"/>
    <s v="N/A"/>
  </r>
  <r>
    <x v="6"/>
    <x v="2"/>
    <n v="42"/>
    <n v="21"/>
    <n v="0.5"/>
    <s v="Yes"/>
    <n v="19"/>
  </r>
  <r>
    <x v="6"/>
    <x v="3"/>
    <n v="22"/>
    <n v="15"/>
    <n v="0.68181818181818177"/>
    <s v="Yes"/>
    <n v="5"/>
  </r>
  <r>
    <x v="6"/>
    <x v="5"/>
    <n v="5"/>
    <n v="3"/>
    <n v="0.6"/>
    <s v="No"/>
    <s v="N/A"/>
  </r>
  <r>
    <x v="7"/>
    <x v="1"/>
    <n v="157"/>
    <n v="100"/>
    <n v="0.63694267515923564"/>
    <s v="Yes"/>
    <n v="3"/>
  </r>
  <r>
    <x v="7"/>
    <x v="3"/>
    <n v="63"/>
    <n v="33"/>
    <n v="0.52380952380952384"/>
    <s v="Yes"/>
    <n v="17"/>
  </r>
  <r>
    <x v="7"/>
    <x v="5"/>
    <n v="17"/>
    <n v="6"/>
    <n v="0.35294117647058826"/>
    <s v="Yes"/>
    <n v="25"/>
  </r>
  <r>
    <x v="7"/>
    <x v="4"/>
    <n v="28"/>
    <n v="15"/>
    <n v="0.5357142857142857"/>
    <s v="Yes"/>
    <n v="15"/>
  </r>
  <r>
    <x v="7"/>
    <x v="2"/>
    <n v="14"/>
    <n v="9"/>
    <n v="0.6428571428571429"/>
    <s v="Yes"/>
    <n v="5"/>
  </r>
  <r>
    <x v="7"/>
    <x v="0"/>
    <n v="4"/>
    <n v="2"/>
    <n v="0.5"/>
    <s v="No"/>
    <s v="N/A"/>
  </r>
  <r>
    <x v="8"/>
    <x v="1"/>
    <n v="162"/>
    <n v="80"/>
    <n v="0.49382716049382713"/>
    <s v="Yes"/>
    <n v="22"/>
  </r>
  <r>
    <x v="8"/>
    <x v="4"/>
    <n v="151"/>
    <n v="72"/>
    <n v="0.47682119205298013"/>
    <s v="Yes"/>
    <n v="28"/>
  </r>
  <r>
    <x v="8"/>
    <x v="0"/>
    <n v="106"/>
    <n v="55"/>
    <n v="0.51886792452830188"/>
    <s v="Yes"/>
    <n v="12"/>
  </r>
  <r>
    <x v="8"/>
    <x v="3"/>
    <n v="3"/>
    <n v="1"/>
    <n v="0.33333333333333331"/>
    <s v="No"/>
    <s v="N/A"/>
  </r>
  <r>
    <x v="9"/>
    <x v="0"/>
    <n v="20"/>
    <n v="8"/>
    <n v="0.4"/>
    <s v="Yes"/>
    <n v="30"/>
  </r>
  <r>
    <x v="9"/>
    <x v="1"/>
    <n v="1"/>
    <n v="1"/>
    <n v="1"/>
    <s v="No"/>
    <s v="N/A"/>
  </r>
  <r>
    <x v="10"/>
    <x v="5"/>
    <n v="14"/>
    <n v="8"/>
    <n v="0.5714285714285714"/>
    <s v="Yes"/>
    <n v="5"/>
  </r>
  <r>
    <x v="10"/>
    <x v="3"/>
    <n v="16"/>
    <n v="12"/>
    <n v="0.75"/>
    <s v="Yes"/>
    <n v="1"/>
  </r>
  <r>
    <x v="10"/>
    <x v="4"/>
    <n v="2"/>
    <n v="0"/>
    <n v="0"/>
    <s v="No"/>
    <s v="N/A"/>
  </r>
  <r>
    <x v="10"/>
    <x v="2"/>
    <n v="6"/>
    <n v="2"/>
    <n v="0.33333333333333331"/>
    <s v="No"/>
    <s v="N/A"/>
  </r>
  <r>
    <x v="10"/>
    <x v="1"/>
    <n v="3"/>
    <n v="3"/>
    <n v="1"/>
    <s v="No"/>
    <s v="N/A"/>
  </r>
  <r>
    <x v="11"/>
    <x v="1"/>
    <n v="111"/>
    <n v="47"/>
    <n v="0.42342342342342343"/>
    <s v="Yes"/>
    <n v="31"/>
  </r>
  <r>
    <x v="11"/>
    <x v="4"/>
    <n v="1"/>
    <n v="0"/>
    <n v="0"/>
    <s v="No"/>
    <s v="N/A"/>
  </r>
  <r>
    <x v="11"/>
    <x v="0"/>
    <n v="2"/>
    <n v="1"/>
    <n v="0.5"/>
    <s v="No"/>
    <s v="N/A"/>
  </r>
  <r>
    <x v="11"/>
    <x v="3"/>
    <n v="3"/>
    <n v="2"/>
    <n v="0.66666666666666663"/>
    <s v="No"/>
    <s v="N/A"/>
  </r>
  <r>
    <x v="12"/>
    <x v="1"/>
    <n v="309"/>
    <n v="147"/>
    <n v="0.47572815533980584"/>
    <s v="Yes"/>
    <n v="24"/>
  </r>
  <r>
    <x v="12"/>
    <x v="0"/>
    <n v="54"/>
    <n v="21"/>
    <n v="0.3888888888888889"/>
    <s v="Yes"/>
    <n v="33"/>
  </r>
  <r>
    <x v="12"/>
    <x v="4"/>
    <n v="11"/>
    <n v="8"/>
    <n v="0.72727272727272729"/>
    <s v="Yes"/>
    <n v="1"/>
  </r>
  <r>
    <x v="12"/>
    <x v="2"/>
    <n v="1"/>
    <n v="1"/>
    <n v="1"/>
    <s v="No"/>
    <s v="N/A"/>
  </r>
  <r>
    <x v="12"/>
    <x v="3"/>
    <n v="1"/>
    <n v="0"/>
    <n v="0"/>
    <s v="No"/>
    <s v="N/A"/>
  </r>
  <r>
    <x v="13"/>
    <x v="1"/>
    <n v="10"/>
    <n v="5"/>
    <n v="0.5"/>
    <s v="Yes"/>
    <n v="21"/>
  </r>
  <r>
    <x v="13"/>
    <x v="0"/>
    <n v="10"/>
    <n v="4"/>
    <n v="0.4"/>
    <s v="Yes"/>
    <n v="30"/>
  </r>
  <r>
    <x v="13"/>
    <x v="4"/>
    <n v="8"/>
    <n v="4"/>
    <n v="0.5"/>
    <s v="No"/>
    <s v="N/A"/>
  </r>
  <r>
    <x v="14"/>
    <x v="3"/>
    <n v="14"/>
    <n v="3"/>
    <n v="0.21428571428571427"/>
    <s v="Yes"/>
    <n v="41"/>
  </r>
  <r>
    <x v="14"/>
    <x v="1"/>
    <n v="135"/>
    <n v="63"/>
    <n v="0.46666666666666667"/>
    <s v="Yes"/>
    <n v="27"/>
  </r>
  <r>
    <x v="14"/>
    <x v="2"/>
    <n v="1"/>
    <n v="1"/>
    <n v="1"/>
    <s v="No"/>
    <s v="N/A"/>
  </r>
  <r>
    <x v="14"/>
    <x v="4"/>
    <n v="5"/>
    <n v="1"/>
    <n v="0.2"/>
    <s v="No"/>
    <s v="N/A"/>
  </r>
  <r>
    <x v="14"/>
    <x v="0"/>
    <n v="2"/>
    <n v="1"/>
    <n v="0.5"/>
    <s v="No"/>
    <s v="N/A"/>
  </r>
  <r>
    <x v="15"/>
    <x v="0"/>
    <n v="51"/>
    <n v="22"/>
    <n v="0.43137254901960786"/>
    <s v="Yes"/>
    <n v="26"/>
  </r>
  <r>
    <x v="15"/>
    <x v="1"/>
    <n v="51"/>
    <n v="27"/>
    <n v="0.52941176470588236"/>
    <s v="Yes"/>
    <n v="14"/>
  </r>
  <r>
    <x v="15"/>
    <x v="4"/>
    <n v="1"/>
    <n v="0"/>
    <n v="0"/>
    <s v="No"/>
    <s v="N/A"/>
  </r>
  <r>
    <x v="15"/>
    <x v="3"/>
    <n v="5"/>
    <n v="1"/>
    <n v="0.2"/>
    <s v="No"/>
    <s v="N/A"/>
  </r>
  <r>
    <x v="15"/>
    <x v="2"/>
    <n v="1"/>
    <n v="0"/>
    <n v="0"/>
    <s v="No"/>
    <s v="N/A"/>
  </r>
  <r>
    <x v="16"/>
    <x v="2"/>
    <n v="15"/>
    <n v="9"/>
    <n v="0.6"/>
    <s v="Yes"/>
    <n v="7"/>
  </r>
  <r>
    <x v="16"/>
    <x v="3"/>
    <n v="46"/>
    <n v="27"/>
    <n v="0.58695652173913049"/>
    <s v="Yes"/>
    <n v="8"/>
  </r>
  <r>
    <x v="16"/>
    <x v="5"/>
    <n v="4"/>
    <n v="2"/>
    <n v="0.5"/>
    <s v="No"/>
    <s v="N/A"/>
  </r>
  <r>
    <x v="16"/>
    <x v="1"/>
    <n v="1"/>
    <n v="0"/>
    <n v="0"/>
    <s v="No"/>
    <s v="N/A"/>
  </r>
  <r>
    <x v="16"/>
    <x v="0"/>
    <n v="1"/>
    <n v="0"/>
    <n v="0"/>
    <s v="No"/>
    <s v="N/A"/>
  </r>
  <r>
    <x v="17"/>
    <x v="4"/>
    <n v="13"/>
    <n v="8"/>
    <n v="0.61538461538461542"/>
    <s v="Yes"/>
    <n v="3"/>
  </r>
  <r>
    <x v="17"/>
    <x v="0"/>
    <n v="101"/>
    <n v="52"/>
    <n v="0.51485148514851486"/>
    <s v="Yes"/>
    <n v="13"/>
  </r>
  <r>
    <x v="17"/>
    <x v="3"/>
    <n v="2"/>
    <n v="0"/>
    <n v="0"/>
    <s v="No"/>
    <s v="N/A"/>
  </r>
  <r>
    <x v="17"/>
    <x v="1"/>
    <n v="1"/>
    <n v="0"/>
    <n v="0"/>
    <s v="No"/>
    <s v="N/A"/>
  </r>
  <r>
    <x v="18"/>
    <x v="3"/>
    <n v="28"/>
    <n v="14"/>
    <n v="0.5"/>
    <s v="Yes"/>
    <n v="22"/>
  </r>
  <r>
    <x v="18"/>
    <x v="1"/>
    <n v="9"/>
    <n v="6"/>
    <n v="0.66666666666666663"/>
    <s v="No"/>
    <s v="N/A"/>
  </r>
  <r>
    <x v="18"/>
    <x v="5"/>
    <n v="19"/>
    <n v="9"/>
    <n v="0.47368421052631576"/>
    <s v="Yes"/>
    <n v="17"/>
  </r>
  <r>
    <x v="18"/>
    <x v="2"/>
    <n v="67"/>
    <n v="40"/>
    <n v="0.59701492537313428"/>
    <s v="Yes"/>
    <n v="9"/>
  </r>
  <r>
    <x v="19"/>
    <x v="2"/>
    <n v="110"/>
    <n v="61"/>
    <n v="0.55454545454545456"/>
    <s v="Yes"/>
    <n v="10"/>
  </r>
  <r>
    <x v="19"/>
    <x v="3"/>
    <n v="71"/>
    <n v="35"/>
    <n v="0.49295774647887325"/>
    <s v="Yes"/>
    <n v="26"/>
  </r>
  <r>
    <x v="19"/>
    <x v="5"/>
    <n v="11"/>
    <n v="7"/>
    <n v="0.63636363636363635"/>
    <s v="Yes"/>
    <n v="3"/>
  </r>
  <r>
    <x v="19"/>
    <x v="0"/>
    <n v="2"/>
    <n v="1"/>
    <n v="0.5"/>
    <s v="No"/>
    <s v="N/A"/>
  </r>
  <r>
    <x v="20"/>
    <x v="1"/>
    <n v="42"/>
    <n v="15"/>
    <n v="0.35714285714285715"/>
    <s v="Yes"/>
    <n v="37"/>
  </r>
  <r>
    <x v="20"/>
    <x v="3"/>
    <n v="3"/>
    <n v="2"/>
    <n v="0.66666666666666663"/>
    <s v="No"/>
    <s v="N/A"/>
  </r>
  <r>
    <x v="20"/>
    <x v="0"/>
    <n v="1"/>
    <n v="1"/>
    <n v="1"/>
    <s v="No"/>
    <s v="N/A"/>
  </r>
  <r>
    <x v="21"/>
    <x v="3"/>
    <n v="60"/>
    <n v="17"/>
    <n v="0.28333333333333333"/>
    <s v="Yes"/>
    <n v="40"/>
  </r>
  <r>
    <x v="21"/>
    <x v="2"/>
    <n v="69"/>
    <n v="30"/>
    <n v="0.43478260869565216"/>
    <s v="Yes"/>
    <n v="29"/>
  </r>
  <r>
    <x v="21"/>
    <x v="5"/>
    <n v="18"/>
    <n v="10"/>
    <n v="0.55555555555555558"/>
    <s v="Yes"/>
    <n v="7"/>
  </r>
  <r>
    <x v="21"/>
    <x v="0"/>
    <n v="1"/>
    <n v="1"/>
    <n v="1"/>
    <s v="No"/>
    <s v="N/A"/>
  </r>
  <r>
    <x v="21"/>
    <x v="4"/>
    <n v="1"/>
    <n v="1"/>
    <n v="1"/>
    <s v="No"/>
    <s v="N/A"/>
  </r>
  <r>
    <x v="22"/>
    <x v="1"/>
    <n v="231"/>
    <n v="120"/>
    <n v="0.51948051948051943"/>
    <s v="Yes"/>
    <n v="18"/>
  </r>
  <r>
    <x v="22"/>
    <x v="0"/>
    <n v="12"/>
    <n v="6"/>
    <n v="0.5"/>
    <s v="Yes"/>
    <n v="18"/>
  </r>
  <r>
    <x v="22"/>
    <x v="3"/>
    <n v="5"/>
    <n v="2"/>
    <n v="0.4"/>
    <s v="No"/>
    <s v="N/A"/>
  </r>
  <r>
    <x v="22"/>
    <x v="4"/>
    <n v="7"/>
    <n v="2"/>
    <n v="0.2857142857142857"/>
    <s v="No"/>
    <s v="N/A"/>
  </r>
  <r>
    <x v="22"/>
    <x v="5"/>
    <n v="1"/>
    <n v="0"/>
    <n v="0"/>
    <s v="No"/>
    <s v="N/A"/>
  </r>
  <r>
    <x v="22"/>
    <x v="2"/>
    <n v="1"/>
    <n v="0"/>
    <n v="0"/>
    <s v="No"/>
    <s v="N/A"/>
  </r>
  <r>
    <x v="23"/>
    <x v="2"/>
    <n v="39"/>
    <n v="17"/>
    <n v="0.4358974358974359"/>
    <s v="Yes"/>
    <n v="28"/>
  </r>
  <r>
    <x v="23"/>
    <x v="5"/>
    <n v="13"/>
    <n v="6"/>
    <n v="0.46153846153846156"/>
    <s v="Yes"/>
    <n v="20"/>
  </r>
  <r>
    <x v="23"/>
    <x v="3"/>
    <n v="22"/>
    <n v="13"/>
    <n v="0.59090909090909094"/>
    <s v="Yes"/>
    <n v="7"/>
  </r>
  <r>
    <x v="23"/>
    <x v="4"/>
    <n v="3"/>
    <n v="1"/>
    <n v="0.33333333333333331"/>
    <s v="No"/>
    <s v="N/A"/>
  </r>
  <r>
    <x v="24"/>
    <x v="1"/>
    <n v="46"/>
    <n v="24"/>
    <n v="0.52173913043478259"/>
    <s v="Yes"/>
    <n v="16"/>
  </r>
  <r>
    <x v="24"/>
    <x v="4"/>
    <n v="56"/>
    <n v="28"/>
    <n v="0.5"/>
    <s v="Yes"/>
    <n v="21"/>
  </r>
  <r>
    <x v="24"/>
    <x v="3"/>
    <n v="4"/>
    <n v="3"/>
    <n v="0.75"/>
    <s v="No"/>
    <s v="N/A"/>
  </r>
  <r>
    <x v="24"/>
    <x v="5"/>
    <n v="1"/>
    <n v="1"/>
    <n v="1"/>
    <s v="No"/>
    <s v="N/A"/>
  </r>
  <r>
    <x v="25"/>
    <x v="2"/>
    <n v="298"/>
    <n v="136"/>
    <n v="0.4563758389261745"/>
    <s v="Yes"/>
    <n v="25"/>
  </r>
  <r>
    <x v="25"/>
    <x v="3"/>
    <n v="108"/>
    <n v="50"/>
    <n v="0.46296296296296297"/>
    <s v="Yes"/>
    <n v="32"/>
  </r>
  <r>
    <x v="25"/>
    <x v="5"/>
    <n v="43"/>
    <n v="20"/>
    <n v="0.46511627906976744"/>
    <s v="Yes"/>
    <n v="19"/>
  </r>
  <r>
    <x v="25"/>
    <x v="1"/>
    <n v="1"/>
    <n v="0"/>
    <n v="0"/>
    <s v="No"/>
    <s v="N/A"/>
  </r>
  <r>
    <x v="26"/>
    <x v="1"/>
    <n v="252"/>
    <n v="138"/>
    <n v="0.54761904761904767"/>
    <s v="Yes"/>
    <n v="11"/>
  </r>
  <r>
    <x v="26"/>
    <x v="0"/>
    <n v="63"/>
    <n v="27"/>
    <n v="0.42857142857142855"/>
    <s v="Yes"/>
    <n v="27"/>
  </r>
  <r>
    <x v="26"/>
    <x v="3"/>
    <n v="2"/>
    <n v="1"/>
    <n v="0.5"/>
    <s v="No"/>
    <s v="N/A"/>
  </r>
  <r>
    <x v="26"/>
    <x v="4"/>
    <n v="6"/>
    <n v="3"/>
    <n v="0.5"/>
    <s v="No"/>
    <s v="N/A"/>
  </r>
  <r>
    <x v="26"/>
    <x v="2"/>
    <n v="1"/>
    <n v="1"/>
    <n v="1"/>
    <s v="No"/>
    <s v="N/A"/>
  </r>
  <r>
    <x v="27"/>
    <x v="0"/>
    <n v="52"/>
    <n v="27"/>
    <n v="0.51923076923076927"/>
    <s v="Yes"/>
    <n v="11"/>
  </r>
  <r>
    <x v="27"/>
    <x v="1"/>
    <n v="34"/>
    <n v="16"/>
    <n v="0.47058823529411764"/>
    <s v="Yes"/>
    <n v="26"/>
  </r>
  <r>
    <x v="27"/>
    <x v="4"/>
    <n v="40"/>
    <n v="24"/>
    <n v="0.6"/>
    <s v="Yes"/>
    <n v="7"/>
  </r>
  <r>
    <x v="27"/>
    <x v="3"/>
    <n v="3"/>
    <n v="0"/>
    <n v="0"/>
    <s v="No"/>
    <s v="N/A"/>
  </r>
  <r>
    <x v="28"/>
    <x v="0"/>
    <n v="55"/>
    <n v="22"/>
    <n v="0.4"/>
    <s v="Yes"/>
    <n v="30"/>
  </r>
  <r>
    <x v="28"/>
    <x v="4"/>
    <n v="4"/>
    <n v="2"/>
    <n v="0.5"/>
    <s v="No"/>
    <s v="N/A"/>
  </r>
  <r>
    <x v="28"/>
    <x v="2"/>
    <n v="1"/>
    <n v="1"/>
    <n v="1"/>
    <s v="No"/>
    <s v="N/A"/>
  </r>
  <r>
    <x v="29"/>
    <x v="4"/>
    <n v="36"/>
    <n v="12"/>
    <n v="0.33333333333333331"/>
    <s v="Yes"/>
    <n v="38"/>
  </r>
  <r>
    <x v="29"/>
    <x v="2"/>
    <n v="13"/>
    <n v="7"/>
    <n v="0.53846153846153844"/>
    <s v="Yes"/>
    <n v="13"/>
  </r>
  <r>
    <x v="29"/>
    <x v="3"/>
    <n v="26"/>
    <n v="19"/>
    <n v="0.73076923076923073"/>
    <s v="Yes"/>
    <n v="2"/>
  </r>
  <r>
    <x v="29"/>
    <x v="5"/>
    <n v="11"/>
    <n v="5"/>
    <n v="0.45454545454545453"/>
    <s v="Yes"/>
    <n v="21"/>
  </r>
  <r>
    <x v="30"/>
    <x v="4"/>
    <n v="21"/>
    <n v="8"/>
    <n v="0.38095238095238093"/>
    <s v="Yes"/>
    <n v="36"/>
  </r>
  <r>
    <x v="30"/>
    <x v="3"/>
    <n v="6"/>
    <n v="2"/>
    <n v="0.33333333333333331"/>
    <s v="No"/>
    <s v="N/A"/>
  </r>
  <r>
    <x v="30"/>
    <x v="1"/>
    <n v="13"/>
    <n v="6"/>
    <n v="0.46153846153846156"/>
    <s v="Yes"/>
    <n v="28"/>
  </r>
  <r>
    <x v="30"/>
    <x v="2"/>
    <n v="5"/>
    <n v="1"/>
    <n v="0.2"/>
    <s v="No"/>
    <s v="N/A"/>
  </r>
  <r>
    <x v="30"/>
    <x v="5"/>
    <n v="2"/>
    <n v="2"/>
    <n v="1"/>
    <s v="No"/>
    <s v="N/A"/>
  </r>
  <r>
    <x v="31"/>
    <x v="2"/>
    <n v="8"/>
    <n v="3"/>
    <n v="0.375"/>
    <s v="No"/>
    <s v="N/A"/>
  </r>
  <r>
    <x v="31"/>
    <x v="1"/>
    <n v="4"/>
    <n v="1"/>
    <n v="0.25"/>
    <s v="No"/>
    <s v="N/A"/>
  </r>
  <r>
    <x v="31"/>
    <x v="3"/>
    <n v="3"/>
    <n v="0"/>
    <n v="0"/>
    <s v="No"/>
    <s v="N/A"/>
  </r>
  <r>
    <x v="31"/>
    <x v="0"/>
    <n v="1"/>
    <n v="0"/>
    <n v="0"/>
    <s v="No"/>
    <s v="N/A"/>
  </r>
  <r>
    <x v="32"/>
    <x v="4"/>
    <n v="387"/>
    <n v="191"/>
    <n v="0.49354005167958659"/>
    <s v="Yes"/>
    <n v="24"/>
  </r>
  <r>
    <x v="32"/>
    <x v="0"/>
    <n v="4"/>
    <n v="3"/>
    <n v="0.75"/>
    <s v="No"/>
    <s v="N/A"/>
  </r>
  <r>
    <x v="32"/>
    <x v="1"/>
    <n v="11"/>
    <n v="4"/>
    <n v="0.36363636363636365"/>
    <s v="Yes"/>
    <n v="36"/>
  </r>
  <r>
    <x v="32"/>
    <x v="3"/>
    <n v="3"/>
    <n v="2"/>
    <n v="0.66666666666666663"/>
    <s v="No"/>
    <s v="N/A"/>
  </r>
  <r>
    <x v="33"/>
    <x v="2"/>
    <n v="69"/>
    <n v="31"/>
    <n v="0.44927536231884058"/>
    <s v="Yes"/>
    <n v="27"/>
  </r>
  <r>
    <x v="33"/>
    <x v="5"/>
    <n v="62"/>
    <n v="33"/>
    <n v="0.532258064516129"/>
    <s v="Yes"/>
    <n v="10"/>
  </r>
  <r>
    <x v="33"/>
    <x v="3"/>
    <n v="87"/>
    <n v="49"/>
    <n v="0.56321839080459768"/>
    <s v="Yes"/>
    <n v="14"/>
  </r>
  <r>
    <x v="33"/>
    <x v="1"/>
    <n v="1"/>
    <n v="0"/>
    <n v="0"/>
    <s v="No"/>
    <s v="N/A"/>
  </r>
  <r>
    <x v="33"/>
    <x v="0"/>
    <n v="1"/>
    <n v="0"/>
    <n v="0"/>
    <s v="No"/>
    <s v="N/A"/>
  </r>
  <r>
    <x v="34"/>
    <x v="1"/>
    <n v="24"/>
    <n v="14"/>
    <n v="0.58333333333333337"/>
    <s v="Yes"/>
    <n v="5"/>
  </r>
  <r>
    <x v="34"/>
    <x v="2"/>
    <n v="2"/>
    <n v="2"/>
    <n v="1"/>
    <s v="No"/>
    <s v="N/A"/>
  </r>
  <r>
    <x v="34"/>
    <x v="3"/>
    <n v="3"/>
    <n v="2"/>
    <n v="0.66666666666666663"/>
    <s v="No"/>
    <s v="N/A"/>
  </r>
  <r>
    <x v="34"/>
    <x v="5"/>
    <n v="1"/>
    <n v="1"/>
    <n v="1"/>
    <s v="No"/>
    <s v="N/A"/>
  </r>
  <r>
    <x v="34"/>
    <x v="0"/>
    <n v="1"/>
    <n v="1"/>
    <n v="1"/>
    <s v="No"/>
    <s v="N/A"/>
  </r>
  <r>
    <x v="34"/>
    <x v="4"/>
    <n v="1"/>
    <n v="1"/>
    <n v="1"/>
    <s v="No"/>
    <s v="N/A"/>
  </r>
  <r>
    <x v="35"/>
    <x v="0"/>
    <n v="137"/>
    <n v="69"/>
    <n v="0.5036496350364964"/>
    <s v="Yes"/>
    <n v="16"/>
  </r>
  <r>
    <x v="35"/>
    <x v="2"/>
    <n v="1"/>
    <n v="1"/>
    <n v="1"/>
    <s v="No"/>
    <s v="N/A"/>
  </r>
  <r>
    <x v="35"/>
    <x v="4"/>
    <n v="1"/>
    <n v="0"/>
    <n v="0"/>
    <s v="No"/>
    <s v="N/A"/>
  </r>
  <r>
    <x v="35"/>
    <x v="1"/>
    <n v="6"/>
    <n v="1"/>
    <n v="0.16666666666666666"/>
    <s v="No"/>
    <s v="N/A"/>
  </r>
  <r>
    <x v="35"/>
    <x v="3"/>
    <n v="1"/>
    <n v="0"/>
    <n v="0"/>
    <s v="No"/>
    <s v="N/A"/>
  </r>
  <r>
    <x v="36"/>
    <x v="3"/>
    <n v="91"/>
    <n v="52"/>
    <n v="0.5714285714285714"/>
    <s v="Yes"/>
    <n v="9"/>
  </r>
  <r>
    <x v="36"/>
    <x v="2"/>
    <n v="106"/>
    <n v="52"/>
    <n v="0.49056603773584906"/>
    <s v="Yes"/>
    <n v="20"/>
  </r>
  <r>
    <x v="36"/>
    <x v="1"/>
    <n v="2"/>
    <n v="0"/>
    <n v="0"/>
    <s v="No"/>
    <s v="N/A"/>
  </r>
  <r>
    <x v="36"/>
    <x v="5"/>
    <n v="34"/>
    <n v="13"/>
    <n v="0.38235294117647056"/>
    <s v="Yes"/>
    <n v="24"/>
  </r>
  <r>
    <x v="36"/>
    <x v="4"/>
    <n v="2"/>
    <n v="1"/>
    <n v="0.5"/>
    <s v="No"/>
    <s v="N/A"/>
  </r>
  <r>
    <x v="37"/>
    <x v="0"/>
    <n v="129"/>
    <n v="62"/>
    <n v="0.48062015503875971"/>
    <s v="Yes"/>
    <n v="21"/>
  </r>
  <r>
    <x v="37"/>
    <x v="3"/>
    <n v="4"/>
    <n v="1"/>
    <n v="0.25"/>
    <s v="No"/>
    <s v="N/A"/>
  </r>
  <r>
    <x v="37"/>
    <x v="5"/>
    <n v="1"/>
    <n v="0"/>
    <n v="0"/>
    <s v="No"/>
    <s v="N/A"/>
  </r>
  <r>
    <x v="37"/>
    <x v="2"/>
    <n v="1"/>
    <n v="0"/>
    <n v="0"/>
    <s v="No"/>
    <s v="N/A"/>
  </r>
  <r>
    <x v="38"/>
    <x v="3"/>
    <n v="236"/>
    <n v="119"/>
    <n v="0.50423728813559321"/>
    <s v="Yes"/>
    <n v="21"/>
  </r>
  <r>
    <x v="38"/>
    <x v="4"/>
    <n v="1"/>
    <n v="1"/>
    <n v="1"/>
    <s v="No"/>
    <s v="N/A"/>
  </r>
  <r>
    <x v="38"/>
    <x v="5"/>
    <n v="139"/>
    <n v="76"/>
    <n v="0.5467625899280576"/>
    <s v="Yes"/>
    <n v="8"/>
  </r>
  <r>
    <x v="38"/>
    <x v="2"/>
    <n v="159"/>
    <n v="86"/>
    <n v="0.54088050314465408"/>
    <s v="Yes"/>
    <n v="12"/>
  </r>
  <r>
    <x v="38"/>
    <x v="1"/>
    <n v="5"/>
    <n v="2"/>
    <n v="0.4"/>
    <s v="No"/>
    <s v="N/A"/>
  </r>
  <r>
    <x v="38"/>
    <x v="0"/>
    <n v="3"/>
    <n v="1"/>
    <n v="0.33333333333333331"/>
    <s v="No"/>
    <s v="N/A"/>
  </r>
  <r>
    <x v="39"/>
    <x v="4"/>
    <n v="99"/>
    <n v="60"/>
    <n v="0.60606060606060608"/>
    <s v="Yes"/>
    <n v="5"/>
  </r>
  <r>
    <x v="39"/>
    <x v="0"/>
    <n v="6"/>
    <n v="3"/>
    <n v="0.5"/>
    <s v="No"/>
    <s v="N/A"/>
  </r>
  <r>
    <x v="39"/>
    <x v="1"/>
    <n v="3"/>
    <n v="3"/>
    <n v="1"/>
    <s v="No"/>
    <s v="N/A"/>
  </r>
  <r>
    <x v="39"/>
    <x v="3"/>
    <n v="2"/>
    <n v="1"/>
    <n v="0.5"/>
    <s v="No"/>
    <s v="N/A"/>
  </r>
  <r>
    <x v="39"/>
    <x v="5"/>
    <n v="1"/>
    <n v="1"/>
    <n v="1"/>
    <s v="No"/>
    <s v="N/A"/>
  </r>
  <r>
    <x v="40"/>
    <x v="3"/>
    <n v="15"/>
    <n v="7"/>
    <n v="0.46666666666666667"/>
    <s v="Yes"/>
    <n v="31"/>
  </r>
  <r>
    <x v="40"/>
    <x v="4"/>
    <n v="200"/>
    <n v="92"/>
    <n v="0.46"/>
    <s v="Yes"/>
    <n v="31"/>
  </r>
  <r>
    <x v="40"/>
    <x v="2"/>
    <n v="5"/>
    <n v="3"/>
    <n v="0.6"/>
    <s v="No"/>
    <s v="N/A"/>
  </r>
  <r>
    <x v="41"/>
    <x v="2"/>
    <n v="68"/>
    <n v="37"/>
    <n v="0.54411764705882348"/>
    <s v="Yes"/>
    <n v="11"/>
  </r>
  <r>
    <x v="41"/>
    <x v="3"/>
    <n v="60"/>
    <n v="34"/>
    <n v="0.56666666666666665"/>
    <s v="Yes"/>
    <n v="13"/>
  </r>
  <r>
    <x v="41"/>
    <x v="4"/>
    <n v="1"/>
    <n v="0"/>
    <n v="0"/>
    <s v="No"/>
    <s v="N/A"/>
  </r>
  <r>
    <x v="41"/>
    <x v="5"/>
    <n v="8"/>
    <n v="5"/>
    <n v="0.625"/>
    <s v="No"/>
    <s v="N/A"/>
  </r>
  <r>
    <x v="41"/>
    <x v="1"/>
    <n v="1"/>
    <n v="0"/>
    <n v="0"/>
    <s v="No"/>
    <s v="N/A"/>
  </r>
  <r>
    <x v="41"/>
    <x v="0"/>
    <n v="1"/>
    <n v="1"/>
    <n v="1"/>
    <s v="No"/>
    <s v="N/A"/>
  </r>
  <r>
    <x v="42"/>
    <x v="2"/>
    <n v="208"/>
    <n v="107"/>
    <n v="0.51442307692307687"/>
    <s v="Yes"/>
    <n v="17"/>
  </r>
  <r>
    <x v="42"/>
    <x v="3"/>
    <n v="159"/>
    <n v="78"/>
    <n v="0.49056603773584906"/>
    <s v="Yes"/>
    <n v="27"/>
  </r>
  <r>
    <x v="42"/>
    <x v="5"/>
    <n v="57"/>
    <n v="29"/>
    <n v="0.50877192982456143"/>
    <s v="Yes"/>
    <n v="11"/>
  </r>
  <r>
    <x v="42"/>
    <x v="0"/>
    <n v="1"/>
    <n v="0"/>
    <n v="0"/>
    <s v="No"/>
    <s v="N/A"/>
  </r>
  <r>
    <x v="42"/>
    <x v="1"/>
    <n v="3"/>
    <n v="1"/>
    <n v="0.33333333333333331"/>
    <s v="No"/>
    <s v="N/A"/>
  </r>
  <r>
    <x v="42"/>
    <x v="4"/>
    <n v="1"/>
    <n v="0"/>
    <n v="0"/>
    <s v="No"/>
    <s v="N/A"/>
  </r>
  <r>
    <x v="43"/>
    <x v="0"/>
    <n v="92"/>
    <n v="53"/>
    <n v="0.57608695652173914"/>
    <s v="Yes"/>
    <n v="8"/>
  </r>
  <r>
    <x v="44"/>
    <x v="3"/>
    <n v="54"/>
    <n v="27"/>
    <n v="0.5"/>
    <s v="Yes"/>
    <n v="22"/>
  </r>
  <r>
    <x v="44"/>
    <x v="4"/>
    <n v="76"/>
    <n v="40"/>
    <n v="0.52631578947368418"/>
    <s v="Yes"/>
    <n v="18"/>
  </r>
  <r>
    <x v="44"/>
    <x v="5"/>
    <n v="18"/>
    <n v="9"/>
    <n v="0.5"/>
    <s v="Yes"/>
    <n v="12"/>
  </r>
  <r>
    <x v="44"/>
    <x v="2"/>
    <n v="15"/>
    <n v="11"/>
    <n v="0.73333333333333328"/>
    <s v="Yes"/>
    <n v="2"/>
  </r>
  <r>
    <x v="44"/>
    <x v="1"/>
    <n v="5"/>
    <n v="3"/>
    <n v="0.6"/>
    <s v="No"/>
    <s v="N/A"/>
  </r>
  <r>
    <x v="45"/>
    <x v="0"/>
    <n v="115"/>
    <n v="67"/>
    <n v="0.58260869565217388"/>
    <s v="Yes"/>
    <n v="6"/>
  </r>
  <r>
    <x v="45"/>
    <x v="4"/>
    <n v="46"/>
    <n v="27"/>
    <n v="0.58695652173913049"/>
    <s v="Yes"/>
    <n v="8"/>
  </r>
  <r>
    <x v="45"/>
    <x v="1"/>
    <n v="2"/>
    <n v="2"/>
    <n v="1"/>
    <s v="No"/>
    <s v="N/A"/>
  </r>
  <r>
    <x v="46"/>
    <x v="1"/>
    <n v="58"/>
    <n v="33"/>
    <n v="0.56896551724137934"/>
    <s v="Yes"/>
    <n v="7"/>
  </r>
  <r>
    <x v="46"/>
    <x v="4"/>
    <n v="79"/>
    <n v="43"/>
    <n v="0.54430379746835444"/>
    <s v="Yes"/>
    <n v="13"/>
  </r>
  <r>
    <x v="46"/>
    <x v="3"/>
    <n v="1"/>
    <n v="1"/>
    <n v="1"/>
    <s v="No"/>
    <s v="N/A"/>
  </r>
  <r>
    <x v="46"/>
    <x v="0"/>
    <n v="8"/>
    <n v="5"/>
    <n v="0.625"/>
    <s v="No"/>
    <s v="N/A"/>
  </r>
  <r>
    <x v="47"/>
    <x v="1"/>
    <n v="60"/>
    <n v="33"/>
    <n v="0.55000000000000004"/>
    <s v="Yes"/>
    <n v="10"/>
  </r>
  <r>
    <x v="47"/>
    <x v="3"/>
    <n v="16"/>
    <n v="11"/>
    <n v="0.6875"/>
    <s v="Yes"/>
    <n v="4"/>
  </r>
  <r>
    <x v="47"/>
    <x v="2"/>
    <n v="19"/>
    <n v="10"/>
    <n v="0.52631578947368418"/>
    <s v="Yes"/>
    <n v="14"/>
  </r>
  <r>
    <x v="47"/>
    <x v="5"/>
    <n v="9"/>
    <n v="1"/>
    <n v="0.1111111111111111"/>
    <s v="No"/>
    <s v="N/A"/>
  </r>
  <r>
    <x v="47"/>
    <x v="0"/>
    <n v="2"/>
    <n v="2"/>
    <n v="1"/>
    <s v="No"/>
    <s v="N/A"/>
  </r>
  <r>
    <x v="48"/>
    <x v="1"/>
    <n v="97"/>
    <n v="51"/>
    <n v="0.52577319587628868"/>
    <s v="Yes"/>
    <n v="15"/>
  </r>
  <r>
    <x v="48"/>
    <x v="4"/>
    <n v="2"/>
    <n v="0"/>
    <n v="0"/>
    <s v="No"/>
    <s v="N/A"/>
  </r>
  <r>
    <x v="48"/>
    <x v="3"/>
    <n v="6"/>
    <n v="2"/>
    <n v="0.33333333333333331"/>
    <s v="No"/>
    <s v="N/A"/>
  </r>
  <r>
    <x v="48"/>
    <x v="2"/>
    <n v="1"/>
    <n v="1"/>
    <n v="1"/>
    <s v="No"/>
    <s v="N/A"/>
  </r>
  <r>
    <x v="49"/>
    <x v="4"/>
    <n v="71"/>
    <n v="37"/>
    <n v="0.52112676056338025"/>
    <s v="Yes"/>
    <n v="19"/>
  </r>
  <r>
    <x v="49"/>
    <x v="0"/>
    <n v="5"/>
    <n v="3"/>
    <n v="0.6"/>
    <s v="No"/>
    <s v="N/A"/>
  </r>
  <r>
    <x v="49"/>
    <x v="3"/>
    <n v="8"/>
    <n v="5"/>
    <n v="0.625"/>
    <s v="No"/>
    <s v="N/A"/>
  </r>
  <r>
    <x v="49"/>
    <x v="5"/>
    <n v="4"/>
    <n v="2"/>
    <n v="0.5"/>
    <s v="No"/>
    <s v="N/A"/>
  </r>
  <r>
    <x v="49"/>
    <x v="1"/>
    <n v="3"/>
    <n v="1"/>
    <n v="0.33333333333333331"/>
    <s v="No"/>
    <s v="N/A"/>
  </r>
  <r>
    <x v="50"/>
    <x v="3"/>
    <n v="135"/>
    <n v="61"/>
    <n v="0.45185185185185184"/>
    <s v="Yes"/>
    <n v="33"/>
  </r>
  <r>
    <x v="50"/>
    <x v="2"/>
    <n v="152"/>
    <n v="80"/>
    <n v="0.52631578947368418"/>
    <s v="Yes"/>
    <n v="14"/>
  </r>
  <r>
    <x v="50"/>
    <x v="5"/>
    <n v="12"/>
    <n v="4"/>
    <n v="0.33333333333333331"/>
    <s v="Yes"/>
    <n v="26"/>
  </r>
  <r>
    <x v="51"/>
    <x v="0"/>
    <n v="293"/>
    <n v="143"/>
    <n v="0.48805460750853241"/>
    <s v="Yes"/>
    <n v="20"/>
  </r>
  <r>
    <x v="51"/>
    <x v="3"/>
    <n v="3"/>
    <n v="0"/>
    <n v="0"/>
    <s v="No"/>
    <s v="N/A"/>
  </r>
  <r>
    <x v="51"/>
    <x v="1"/>
    <n v="1"/>
    <n v="0"/>
    <n v="0"/>
    <s v="No"/>
    <s v="N/A"/>
  </r>
  <r>
    <x v="52"/>
    <x v="4"/>
    <n v="140"/>
    <n v="70"/>
    <n v="0.5"/>
    <s v="Yes"/>
    <n v="21"/>
  </r>
  <r>
    <x v="52"/>
    <x v="3"/>
    <n v="10"/>
    <n v="7"/>
    <n v="0.7"/>
    <s v="Yes"/>
    <n v="3"/>
  </r>
  <r>
    <x v="52"/>
    <x v="0"/>
    <n v="10"/>
    <n v="3"/>
    <n v="0.3"/>
    <s v="Yes"/>
    <n v="36"/>
  </r>
  <r>
    <x v="52"/>
    <x v="2"/>
    <n v="4"/>
    <n v="3"/>
    <n v="0.75"/>
    <s v="No"/>
    <s v="N/A"/>
  </r>
  <r>
    <x v="53"/>
    <x v="2"/>
    <n v="255"/>
    <n v="122"/>
    <n v="0.47843137254901963"/>
    <s v="Yes"/>
    <n v="22"/>
  </r>
  <r>
    <x v="53"/>
    <x v="1"/>
    <n v="2"/>
    <n v="0"/>
    <n v="0"/>
    <s v="No"/>
    <s v="N/A"/>
  </r>
  <r>
    <x v="53"/>
    <x v="3"/>
    <n v="126"/>
    <n v="60"/>
    <n v="0.47619047619047616"/>
    <s v="Yes"/>
    <n v="30"/>
  </r>
  <r>
    <x v="53"/>
    <x v="4"/>
    <n v="13"/>
    <n v="5"/>
    <n v="0.38461538461538464"/>
    <s v="Yes"/>
    <n v="35"/>
  </r>
  <r>
    <x v="53"/>
    <x v="5"/>
    <n v="41"/>
    <n v="22"/>
    <n v="0.53658536585365857"/>
    <s v="Yes"/>
    <n v="9"/>
  </r>
  <r>
    <x v="53"/>
    <x v="0"/>
    <n v="1"/>
    <n v="0"/>
    <n v="0"/>
    <s v="No"/>
    <s v="N/A"/>
  </r>
  <r>
    <x v="54"/>
    <x v="3"/>
    <n v="6"/>
    <n v="2"/>
    <n v="0.33333333333333331"/>
    <s v="No"/>
    <s v="N/A"/>
  </r>
  <r>
    <x v="54"/>
    <x v="1"/>
    <n v="7"/>
    <n v="5"/>
    <n v="0.7142857142857143"/>
    <s v="No"/>
    <s v="N/A"/>
  </r>
  <r>
    <x v="54"/>
    <x v="0"/>
    <n v="106"/>
    <n v="69"/>
    <n v="0.65094339622641506"/>
    <s v="Yes"/>
    <n v="3"/>
  </r>
  <r>
    <x v="54"/>
    <x v="2"/>
    <n v="2"/>
    <n v="1"/>
    <n v="0.5"/>
    <s v="No"/>
    <s v="N/A"/>
  </r>
  <r>
    <x v="54"/>
    <x v="4"/>
    <n v="16"/>
    <n v="9"/>
    <n v="0.5625"/>
    <s v="Yes"/>
    <n v="10"/>
  </r>
  <r>
    <x v="54"/>
    <x v="5"/>
    <n v="1"/>
    <n v="0"/>
    <n v="0"/>
    <s v="No"/>
    <s v="N/A"/>
  </r>
  <r>
    <x v="55"/>
    <x v="0"/>
    <n v="436"/>
    <n v="218"/>
    <n v="0.5"/>
    <s v="Yes"/>
    <n v="18"/>
  </r>
  <r>
    <x v="55"/>
    <x v="4"/>
    <n v="2"/>
    <n v="2"/>
    <n v="1"/>
    <s v="No"/>
    <s v="N/A"/>
  </r>
  <r>
    <x v="56"/>
    <x v="1"/>
    <n v="25"/>
    <n v="13"/>
    <n v="0.52"/>
    <s v="Yes"/>
    <n v="17"/>
  </r>
  <r>
    <x v="56"/>
    <x v="3"/>
    <n v="1"/>
    <n v="0"/>
    <n v="0"/>
    <s v="No"/>
    <s v="N/A"/>
  </r>
  <r>
    <x v="56"/>
    <x v="0"/>
    <n v="1"/>
    <n v="1"/>
    <n v="1"/>
    <s v="No"/>
    <s v="N/A"/>
  </r>
  <r>
    <x v="56"/>
    <x v="4"/>
    <n v="3"/>
    <n v="2"/>
    <n v="0.66666666666666663"/>
    <s v="No"/>
    <s v="N/A"/>
  </r>
  <r>
    <x v="57"/>
    <x v="1"/>
    <n v="35"/>
    <n v="18"/>
    <n v="0.51428571428571423"/>
    <s v="Yes"/>
    <n v="19"/>
  </r>
  <r>
    <x v="57"/>
    <x v="4"/>
    <n v="20"/>
    <n v="9"/>
    <n v="0.45"/>
    <s v="Yes"/>
    <n v="33"/>
  </r>
  <r>
    <x v="57"/>
    <x v="0"/>
    <n v="2"/>
    <n v="1"/>
    <n v="0.5"/>
    <s v="No"/>
    <s v="N/A"/>
  </r>
  <r>
    <x v="57"/>
    <x v="2"/>
    <n v="7"/>
    <n v="5"/>
    <n v="0.7142857142857143"/>
    <s v="No"/>
    <s v="N/A"/>
  </r>
  <r>
    <x v="57"/>
    <x v="3"/>
    <n v="7"/>
    <n v="3"/>
    <n v="0.42857142857142855"/>
    <s v="No"/>
    <s v="N/A"/>
  </r>
  <r>
    <x v="57"/>
    <x v="5"/>
    <n v="1"/>
    <n v="0"/>
    <n v="0"/>
    <s v="No"/>
    <s v="N/A"/>
  </r>
  <r>
    <x v="58"/>
    <x v="0"/>
    <n v="6"/>
    <n v="3"/>
    <n v="0.5"/>
    <s v="No"/>
    <s v="N/A"/>
  </r>
  <r>
    <x v="58"/>
    <x v="3"/>
    <n v="23"/>
    <n v="9"/>
    <n v="0.39130434782608697"/>
    <s v="Yes"/>
    <n v="37"/>
  </r>
  <r>
    <x v="58"/>
    <x v="5"/>
    <n v="17"/>
    <n v="4"/>
    <n v="0.23529411764705882"/>
    <s v="Yes"/>
    <n v="27"/>
  </r>
  <r>
    <x v="58"/>
    <x v="2"/>
    <n v="42"/>
    <n v="16"/>
    <n v="0.38095238095238093"/>
    <s v="Yes"/>
    <n v="34"/>
  </r>
  <r>
    <x v="58"/>
    <x v="1"/>
    <n v="6"/>
    <n v="2"/>
    <n v="0.33333333333333331"/>
    <s v="No"/>
    <s v="N/A"/>
  </r>
  <r>
    <x v="58"/>
    <x v="4"/>
    <n v="5"/>
    <n v="3"/>
    <n v="0.6"/>
    <s v="No"/>
    <s v="N/A"/>
  </r>
  <r>
    <x v="59"/>
    <x v="1"/>
    <n v="278"/>
    <n v="126"/>
    <n v="0.45323741007194246"/>
    <s v="Yes"/>
    <n v="30"/>
  </r>
  <r>
    <x v="59"/>
    <x v="4"/>
    <n v="10"/>
    <n v="4"/>
    <n v="0.4"/>
    <s v="Yes"/>
    <n v="34"/>
  </r>
  <r>
    <x v="59"/>
    <x v="3"/>
    <n v="8"/>
    <n v="6"/>
    <n v="0.75"/>
    <s v="No"/>
    <s v="N/A"/>
  </r>
  <r>
    <x v="59"/>
    <x v="0"/>
    <n v="3"/>
    <n v="3"/>
    <n v="1"/>
    <s v="No"/>
    <s v="N/A"/>
  </r>
  <r>
    <x v="60"/>
    <x v="0"/>
    <n v="61"/>
    <n v="25"/>
    <n v="0.4098360655737705"/>
    <s v="Yes"/>
    <n v="28"/>
  </r>
  <r>
    <x v="60"/>
    <x v="1"/>
    <n v="1"/>
    <n v="0"/>
    <n v="0"/>
    <s v="No"/>
    <s v="N/A"/>
  </r>
  <r>
    <x v="61"/>
    <x v="4"/>
    <n v="40"/>
    <n v="13"/>
    <n v="0.32500000000000001"/>
    <s v="Yes"/>
    <n v="40"/>
  </r>
  <r>
    <x v="61"/>
    <x v="0"/>
    <n v="23"/>
    <n v="11"/>
    <n v="0.47826086956521741"/>
    <s v="Yes"/>
    <n v="22"/>
  </r>
  <r>
    <x v="61"/>
    <x v="1"/>
    <n v="1"/>
    <n v="0"/>
    <n v="0"/>
    <s v="No"/>
    <s v="N/A"/>
  </r>
  <r>
    <x v="62"/>
    <x v="2"/>
    <n v="13"/>
    <n v="9"/>
    <n v="0.69230769230769229"/>
    <s v="Yes"/>
    <n v="3"/>
  </r>
  <r>
    <x v="62"/>
    <x v="3"/>
    <n v="22"/>
    <n v="11"/>
    <n v="0.5"/>
    <s v="Yes"/>
    <n v="22"/>
  </r>
  <r>
    <x v="62"/>
    <x v="5"/>
    <n v="10"/>
    <n v="6"/>
    <n v="0.6"/>
    <s v="Yes"/>
    <n v="4"/>
  </r>
  <r>
    <x v="62"/>
    <x v="0"/>
    <n v="8"/>
    <n v="3"/>
    <n v="0.375"/>
    <s v="No"/>
    <s v="N/A"/>
  </r>
  <r>
    <x v="62"/>
    <x v="4"/>
    <n v="4"/>
    <n v="2"/>
    <n v="0.5"/>
    <s v="No"/>
    <s v="N/A"/>
  </r>
  <r>
    <x v="62"/>
    <x v="1"/>
    <n v="2"/>
    <n v="1"/>
    <n v="0.5"/>
    <s v="No"/>
    <s v="N/A"/>
  </r>
  <r>
    <x v="63"/>
    <x v="4"/>
    <n v="87"/>
    <n v="46"/>
    <n v="0.52873563218390807"/>
    <s v="Yes"/>
    <n v="17"/>
  </r>
  <r>
    <x v="63"/>
    <x v="0"/>
    <n v="262"/>
    <n v="152"/>
    <n v="0.58015267175572516"/>
    <s v="Yes"/>
    <n v="7"/>
  </r>
  <r>
    <x v="63"/>
    <x v="3"/>
    <n v="14"/>
    <n v="9"/>
    <n v="0.6428571428571429"/>
    <s v="Yes"/>
    <n v="6"/>
  </r>
  <r>
    <x v="63"/>
    <x v="1"/>
    <n v="7"/>
    <n v="3"/>
    <n v="0.42857142857142855"/>
    <s v="No"/>
    <s v="N/A"/>
  </r>
  <r>
    <x v="63"/>
    <x v="5"/>
    <n v="3"/>
    <n v="2"/>
    <n v="0.66666666666666663"/>
    <s v="No"/>
    <s v="N/A"/>
  </r>
  <r>
    <x v="63"/>
    <x v="2"/>
    <n v="1"/>
    <n v="0"/>
    <n v="0"/>
    <s v="No"/>
    <s v="N/A"/>
  </r>
  <r>
    <x v="64"/>
    <x v="0"/>
    <n v="80"/>
    <n v="35"/>
    <n v="0.4375"/>
    <s v="Yes"/>
    <n v="25"/>
  </r>
  <r>
    <x v="64"/>
    <x v="3"/>
    <n v="1"/>
    <n v="0"/>
    <n v="0"/>
    <s v="No"/>
    <s v="N/A"/>
  </r>
  <r>
    <x v="64"/>
    <x v="4"/>
    <n v="2"/>
    <n v="0"/>
    <n v="0"/>
    <s v="No"/>
    <s v="N/A"/>
  </r>
  <r>
    <x v="65"/>
    <x v="0"/>
    <n v="277"/>
    <n v="141"/>
    <n v="0.50902527075812276"/>
    <s v="Yes"/>
    <n v="15"/>
  </r>
  <r>
    <x v="65"/>
    <x v="3"/>
    <n v="24"/>
    <n v="8"/>
    <n v="0.33333333333333331"/>
    <s v="Yes"/>
    <n v="39"/>
  </r>
  <r>
    <x v="65"/>
    <x v="4"/>
    <n v="12"/>
    <n v="6"/>
    <n v="0.5"/>
    <s v="Yes"/>
    <n v="21"/>
  </r>
  <r>
    <x v="65"/>
    <x v="5"/>
    <n v="10"/>
    <n v="5"/>
    <n v="0.5"/>
    <s v="Yes"/>
    <n v="12"/>
  </r>
  <r>
    <x v="65"/>
    <x v="2"/>
    <n v="14"/>
    <n v="6"/>
    <n v="0.42857142857142855"/>
    <s v="Yes"/>
    <n v="30"/>
  </r>
  <r>
    <x v="65"/>
    <x v="1"/>
    <n v="1"/>
    <n v="1"/>
    <n v="1"/>
    <s v="No"/>
    <s v="N/A"/>
  </r>
  <r>
    <x v="66"/>
    <x v="0"/>
    <n v="30"/>
    <n v="19"/>
    <n v="0.6333333333333333"/>
    <s v="Yes"/>
    <n v="4"/>
  </r>
  <r>
    <x v="66"/>
    <x v="1"/>
    <n v="1"/>
    <n v="1"/>
    <n v="1"/>
    <s v="No"/>
    <s v="N/A"/>
  </r>
  <r>
    <x v="66"/>
    <x v="3"/>
    <n v="2"/>
    <n v="0"/>
    <n v="0"/>
    <s v="No"/>
    <s v="N/A"/>
  </r>
  <r>
    <x v="66"/>
    <x v="2"/>
    <n v="1"/>
    <n v="0"/>
    <n v="0"/>
    <s v="No"/>
    <s v="N/A"/>
  </r>
  <r>
    <x v="67"/>
    <x v="0"/>
    <n v="28"/>
    <n v="15"/>
    <n v="0.5357142857142857"/>
    <s v="Yes"/>
    <n v="10"/>
  </r>
  <r>
    <x v="67"/>
    <x v="3"/>
    <n v="14"/>
    <n v="8"/>
    <n v="0.5714285714285714"/>
    <s v="Yes"/>
    <n v="9"/>
  </r>
  <r>
    <x v="67"/>
    <x v="4"/>
    <n v="37"/>
    <n v="14"/>
    <n v="0.3783783783783784"/>
    <s v="Yes"/>
    <n v="37"/>
  </r>
  <r>
    <x v="67"/>
    <x v="1"/>
    <n v="22"/>
    <n v="12"/>
    <n v="0.54545454545454541"/>
    <s v="Yes"/>
    <n v="12"/>
  </r>
  <r>
    <x v="67"/>
    <x v="2"/>
    <n v="2"/>
    <n v="1"/>
    <n v="0.5"/>
    <s v="No"/>
    <s v="N/A"/>
  </r>
  <r>
    <x v="67"/>
    <x v="5"/>
    <n v="3"/>
    <n v="3"/>
    <n v="1"/>
    <s v="No"/>
    <s v="N/A"/>
  </r>
  <r>
    <x v="68"/>
    <x v="4"/>
    <n v="65"/>
    <n v="32"/>
    <n v="0.49230769230769234"/>
    <s v="Yes"/>
    <n v="25"/>
  </r>
  <r>
    <x v="68"/>
    <x v="1"/>
    <n v="27"/>
    <n v="17"/>
    <n v="0.62962962962962965"/>
    <s v="Yes"/>
    <n v="4"/>
  </r>
  <r>
    <x v="68"/>
    <x v="0"/>
    <n v="28"/>
    <n v="17"/>
    <n v="0.6071428571428571"/>
    <s v="Yes"/>
    <n v="5"/>
  </r>
  <r>
    <x v="69"/>
    <x v="1"/>
    <n v="100"/>
    <n v="46"/>
    <n v="0.46"/>
    <s v="Yes"/>
    <n v="29"/>
  </r>
  <r>
    <x v="69"/>
    <x v="4"/>
    <n v="8"/>
    <n v="4"/>
    <n v="0.5"/>
    <s v="No"/>
    <s v="N/A"/>
  </r>
  <r>
    <x v="69"/>
    <x v="3"/>
    <n v="7"/>
    <n v="4"/>
    <n v="0.5714285714285714"/>
    <s v="No"/>
    <s v="N/A"/>
  </r>
  <r>
    <x v="69"/>
    <x v="2"/>
    <n v="1"/>
    <n v="1"/>
    <n v="1"/>
    <s v="No"/>
    <s v="N/A"/>
  </r>
  <r>
    <x v="70"/>
    <x v="5"/>
    <n v="34"/>
    <n v="19"/>
    <n v="0.55882352941176472"/>
    <s v="Yes"/>
    <n v="6"/>
  </r>
  <r>
    <x v="70"/>
    <x v="3"/>
    <n v="59"/>
    <n v="30"/>
    <n v="0.50847457627118642"/>
    <s v="Yes"/>
    <n v="20"/>
  </r>
  <r>
    <x v="70"/>
    <x v="2"/>
    <n v="82"/>
    <n v="49"/>
    <n v="0.59756097560975607"/>
    <s v="Yes"/>
    <n v="8"/>
  </r>
  <r>
    <x v="70"/>
    <x v="1"/>
    <n v="3"/>
    <n v="1"/>
    <n v="0.33333333333333331"/>
    <s v="No"/>
    <s v="N/A"/>
  </r>
  <r>
    <x v="70"/>
    <x v="4"/>
    <n v="1"/>
    <n v="1"/>
    <n v="1"/>
    <s v="No"/>
    <s v="N/A"/>
  </r>
  <r>
    <x v="71"/>
    <x v="2"/>
    <n v="149"/>
    <n v="67"/>
    <n v="0.44966442953020136"/>
    <s v="Yes"/>
    <n v="26"/>
  </r>
  <r>
    <x v="71"/>
    <x v="3"/>
    <n v="71"/>
    <n v="38"/>
    <n v="0.53521126760563376"/>
    <s v="Yes"/>
    <n v="15"/>
  </r>
  <r>
    <x v="71"/>
    <x v="4"/>
    <n v="2"/>
    <n v="1"/>
    <n v="0.5"/>
    <s v="No"/>
    <s v="N/A"/>
  </r>
  <r>
    <x v="71"/>
    <x v="1"/>
    <n v="22"/>
    <n v="15"/>
    <n v="0.68181818181818177"/>
    <s v="Yes"/>
    <n v="2"/>
  </r>
  <r>
    <x v="71"/>
    <x v="0"/>
    <n v="4"/>
    <n v="3"/>
    <n v="0.75"/>
    <s v="No"/>
    <s v="N/A"/>
  </r>
  <r>
    <x v="71"/>
    <x v="5"/>
    <n v="3"/>
    <n v="1"/>
    <n v="0.33333333333333331"/>
    <s v="No"/>
    <s v="N/A"/>
  </r>
  <r>
    <x v="72"/>
    <x v="3"/>
    <n v="4"/>
    <n v="3"/>
    <n v="0.75"/>
    <s v="No"/>
    <s v="N/A"/>
  </r>
  <r>
    <x v="72"/>
    <x v="1"/>
    <n v="15"/>
    <n v="8"/>
    <n v="0.53333333333333333"/>
    <s v="Yes"/>
    <n v="13"/>
  </r>
  <r>
    <x v="72"/>
    <x v="2"/>
    <n v="3"/>
    <n v="2"/>
    <n v="0.66666666666666663"/>
    <s v="No"/>
    <s v="N/A"/>
  </r>
  <r>
    <x v="72"/>
    <x v="0"/>
    <n v="2"/>
    <n v="0"/>
    <n v="0"/>
    <s v="No"/>
    <s v="N/A"/>
  </r>
  <r>
    <x v="72"/>
    <x v="4"/>
    <n v="2"/>
    <n v="1"/>
    <n v="0.5"/>
    <s v="No"/>
    <s v="N/A"/>
  </r>
  <r>
    <x v="73"/>
    <x v="2"/>
    <n v="42"/>
    <n v="26"/>
    <n v="0.61904761904761907"/>
    <s v="Yes"/>
    <n v="6"/>
  </r>
  <r>
    <x v="73"/>
    <x v="3"/>
    <n v="19"/>
    <n v="8"/>
    <n v="0.42105263157894735"/>
    <s v="Yes"/>
    <n v="35"/>
  </r>
  <r>
    <x v="73"/>
    <x v="5"/>
    <n v="8"/>
    <n v="4"/>
    <n v="0.5"/>
    <s v="No"/>
    <s v="N/A"/>
  </r>
  <r>
    <x v="73"/>
    <x v="0"/>
    <n v="1"/>
    <n v="0"/>
    <n v="0"/>
    <s v="No"/>
    <s v="N/A"/>
  </r>
  <r>
    <x v="73"/>
    <x v="4"/>
    <n v="1"/>
    <n v="0"/>
    <n v="0"/>
    <s v="No"/>
    <s v="N/A"/>
  </r>
  <r>
    <x v="74"/>
    <x v="4"/>
    <n v="45"/>
    <n v="25"/>
    <n v="0.55555555555555558"/>
    <s v="Yes"/>
    <n v="11"/>
  </r>
  <r>
    <x v="74"/>
    <x v="0"/>
    <n v="1"/>
    <n v="0"/>
    <n v="0"/>
    <s v="No"/>
    <s v="N/A"/>
  </r>
  <r>
    <x v="75"/>
    <x v="1"/>
    <n v="303"/>
    <n v="155"/>
    <n v="0.51155115511551152"/>
    <s v="Yes"/>
    <n v="20"/>
  </r>
  <r>
    <x v="75"/>
    <x v="4"/>
    <n v="335"/>
    <n v="184"/>
    <n v="0.54925373134328359"/>
    <s v="Yes"/>
    <n v="12"/>
  </r>
  <r>
    <x v="75"/>
    <x v="3"/>
    <n v="2"/>
    <n v="1"/>
    <n v="0.5"/>
    <s v="No"/>
    <s v="N/A"/>
  </r>
  <r>
    <x v="75"/>
    <x v="5"/>
    <n v="1"/>
    <n v="0"/>
    <n v="0"/>
    <s v="No"/>
    <s v="N/A"/>
  </r>
  <r>
    <x v="75"/>
    <x v="0"/>
    <n v="2"/>
    <n v="2"/>
    <n v="1"/>
    <s v="No"/>
    <s v="N/A"/>
  </r>
  <r>
    <x v="76"/>
    <x v="2"/>
    <n v="2"/>
    <n v="1"/>
    <n v="0.5"/>
    <s v="No"/>
    <s v="N/A"/>
  </r>
  <r>
    <x v="76"/>
    <x v="0"/>
    <n v="64"/>
    <n v="26"/>
    <n v="0.40625"/>
    <s v="Yes"/>
    <n v="29"/>
  </r>
  <r>
    <x v="76"/>
    <x v="3"/>
    <n v="1"/>
    <n v="0"/>
    <n v="0"/>
    <s v="No"/>
    <s v="N/A"/>
  </r>
  <r>
    <x v="77"/>
    <x v="0"/>
    <n v="51"/>
    <n v="23"/>
    <n v="0.45098039215686275"/>
    <s v="Yes"/>
    <n v="23"/>
  </r>
  <r>
    <x v="78"/>
    <x v="1"/>
    <n v="97"/>
    <n v="71"/>
    <n v="0.73195876288659789"/>
    <s v="Yes"/>
    <n v="1"/>
  </r>
  <r>
    <x v="78"/>
    <x v="5"/>
    <n v="84"/>
    <n v="41"/>
    <n v="0.48809523809523808"/>
    <s v="Yes"/>
    <n v="15"/>
  </r>
  <r>
    <x v="78"/>
    <x v="3"/>
    <n v="302"/>
    <n v="172"/>
    <n v="0.56953642384105962"/>
    <s v="Yes"/>
    <n v="12"/>
  </r>
  <r>
    <x v="78"/>
    <x v="2"/>
    <n v="85"/>
    <n v="56"/>
    <n v="0.6588235294117647"/>
    <s v="Yes"/>
    <n v="4"/>
  </r>
  <r>
    <x v="78"/>
    <x v="4"/>
    <n v="13"/>
    <n v="7"/>
    <n v="0.53846153846153844"/>
    <s v="Yes"/>
    <n v="14"/>
  </r>
  <r>
    <x v="78"/>
    <x v="0"/>
    <n v="10"/>
    <n v="7"/>
    <n v="0.7"/>
    <s v="Yes"/>
    <n v="2"/>
  </r>
  <r>
    <x v="79"/>
    <x v="1"/>
    <n v="89"/>
    <n v="42"/>
    <n v="0.47191011235955055"/>
    <s v="Yes"/>
    <n v="25"/>
  </r>
  <r>
    <x v="79"/>
    <x v="4"/>
    <n v="27"/>
    <n v="13"/>
    <n v="0.48148148148148145"/>
    <s v="Yes"/>
    <n v="26"/>
  </r>
  <r>
    <x v="79"/>
    <x v="3"/>
    <n v="4"/>
    <n v="3"/>
    <n v="0.75"/>
    <s v="No"/>
    <s v="N/A"/>
  </r>
  <r>
    <x v="80"/>
    <x v="4"/>
    <n v="273"/>
    <n v="155"/>
    <n v="0.56776556776556775"/>
    <s v="Yes"/>
    <n v="9"/>
  </r>
  <r>
    <x v="80"/>
    <x v="3"/>
    <n v="1"/>
    <n v="1"/>
    <n v="1"/>
    <s v="No"/>
    <s v="N/A"/>
  </r>
  <r>
    <x v="81"/>
    <x v="3"/>
    <n v="77"/>
    <n v="41"/>
    <n v="0.53246753246753242"/>
    <s v="Yes"/>
    <n v="16"/>
  </r>
  <r>
    <x v="81"/>
    <x v="4"/>
    <n v="55"/>
    <n v="26"/>
    <n v="0.47272727272727272"/>
    <s v="Yes"/>
    <n v="29"/>
  </r>
  <r>
    <x v="81"/>
    <x v="1"/>
    <n v="56"/>
    <n v="23"/>
    <n v="0.4107142857142857"/>
    <s v="Yes"/>
    <n v="33"/>
  </r>
  <r>
    <x v="81"/>
    <x v="0"/>
    <n v="22"/>
    <n v="18"/>
    <n v="0.81818181818181823"/>
    <s v="Yes"/>
    <n v="1"/>
  </r>
  <r>
    <x v="81"/>
    <x v="5"/>
    <n v="19"/>
    <n v="8"/>
    <n v="0.42105263157894735"/>
    <s v="Yes"/>
    <n v="22"/>
  </r>
  <r>
    <x v="81"/>
    <x v="2"/>
    <n v="71"/>
    <n v="28"/>
    <n v="0.39436619718309857"/>
    <s v="Yes"/>
    <n v="32"/>
  </r>
  <r>
    <x v="82"/>
    <x v="2"/>
    <n v="14"/>
    <n v="11"/>
    <n v="0.7857142857142857"/>
    <s v="Yes"/>
    <n v="1"/>
  </r>
  <r>
    <x v="82"/>
    <x v="5"/>
    <n v="7"/>
    <n v="3"/>
    <n v="0.42857142857142855"/>
    <s v="No"/>
    <s v="N/A"/>
  </r>
  <r>
    <x v="82"/>
    <x v="3"/>
    <n v="28"/>
    <n v="16"/>
    <n v="0.5714285714285714"/>
    <s v="Yes"/>
    <n v="9"/>
  </r>
  <r>
    <x v="82"/>
    <x v="4"/>
    <n v="2"/>
    <n v="1"/>
    <n v="0.5"/>
    <s v="No"/>
    <s v="N/A"/>
  </r>
  <r>
    <x v="82"/>
    <x v="1"/>
    <n v="1"/>
    <n v="0"/>
    <n v="0"/>
    <s v="No"/>
    <s v="N/A"/>
  </r>
  <r>
    <x v="83"/>
    <x v="4"/>
    <n v="438"/>
    <n v="221"/>
    <n v="0.50456621004566216"/>
    <s v="Yes"/>
    <n v="20"/>
  </r>
  <r>
    <x v="83"/>
    <x v="1"/>
    <n v="18"/>
    <n v="7"/>
    <n v="0.3888888888888889"/>
    <s v="Yes"/>
    <n v="35"/>
  </r>
  <r>
    <x v="83"/>
    <x v="3"/>
    <n v="7"/>
    <n v="1"/>
    <n v="0.14285714285714285"/>
    <s v="No"/>
    <s v="N/A"/>
  </r>
  <r>
    <x v="83"/>
    <x v="0"/>
    <n v="18"/>
    <n v="7"/>
    <n v="0.3888888888888889"/>
    <s v="Yes"/>
    <n v="33"/>
  </r>
  <r>
    <x v="83"/>
    <x v="2"/>
    <n v="3"/>
    <n v="2"/>
    <n v="0.66666666666666663"/>
    <s v="No"/>
    <s v="N/A"/>
  </r>
  <r>
    <x v="84"/>
    <x v="0"/>
    <n v="88"/>
    <n v="31"/>
    <n v="0.35227272727272729"/>
    <s v="Yes"/>
    <n v="35"/>
  </r>
  <r>
    <x v="84"/>
    <x v="4"/>
    <n v="28"/>
    <n v="13"/>
    <n v="0.4642857142857143"/>
    <s v="Yes"/>
    <n v="30"/>
  </r>
  <r>
    <x v="84"/>
    <x v="1"/>
    <n v="68"/>
    <n v="28"/>
    <n v="0.41176470588235292"/>
    <s v="Yes"/>
    <n v="32"/>
  </r>
  <r>
    <x v="84"/>
    <x v="3"/>
    <n v="3"/>
    <n v="1"/>
    <n v="0.33333333333333331"/>
    <s v="No"/>
    <s v="N/A"/>
  </r>
  <r>
    <x v="85"/>
    <x v="4"/>
    <n v="24"/>
    <n v="8"/>
    <n v="0.33333333333333331"/>
    <s v="Yes"/>
    <n v="38"/>
  </r>
  <r>
    <x v="85"/>
    <x v="0"/>
    <n v="7"/>
    <n v="3"/>
    <n v="0.42857142857142855"/>
    <s v="No"/>
    <s v="N/A"/>
  </r>
  <r>
    <x v="85"/>
    <x v="3"/>
    <n v="1"/>
    <n v="0"/>
    <n v="0"/>
    <s v="No"/>
    <s v="N/A"/>
  </r>
  <r>
    <x v="85"/>
    <x v="1"/>
    <n v="3"/>
    <n v="2"/>
    <n v="0.66666666666666663"/>
    <s v="No"/>
    <s v="N/A"/>
  </r>
  <r>
    <x v="86"/>
    <x v="3"/>
    <n v="109"/>
    <n v="52"/>
    <n v="0.47706422018348627"/>
    <s v="Yes"/>
    <n v="29"/>
  </r>
  <r>
    <x v="86"/>
    <x v="2"/>
    <n v="113"/>
    <n v="48"/>
    <n v="0.4247787610619469"/>
    <s v="Yes"/>
    <n v="31"/>
  </r>
  <r>
    <x v="86"/>
    <x v="5"/>
    <n v="49"/>
    <n v="23"/>
    <n v="0.46938775510204084"/>
    <s v="Yes"/>
    <n v="18"/>
  </r>
  <r>
    <x v="86"/>
    <x v="0"/>
    <n v="1"/>
    <n v="0"/>
    <n v="0"/>
    <s v="No"/>
    <s v="N/A"/>
  </r>
  <r>
    <x v="87"/>
    <x v="2"/>
    <n v="310"/>
    <n v="156"/>
    <n v="0.50322580645161286"/>
    <s v="Yes"/>
    <n v="18"/>
  </r>
  <r>
    <x v="87"/>
    <x v="3"/>
    <n v="482"/>
    <n v="238"/>
    <n v="0.49377593360995853"/>
    <s v="Yes"/>
    <n v="25"/>
  </r>
  <r>
    <x v="87"/>
    <x v="4"/>
    <n v="126"/>
    <n v="76"/>
    <n v="0.60317460317460314"/>
    <s v="Yes"/>
    <n v="6"/>
  </r>
  <r>
    <x v="87"/>
    <x v="5"/>
    <n v="133"/>
    <n v="66"/>
    <n v="0.49624060150375937"/>
    <s v="Yes"/>
    <n v="14"/>
  </r>
  <r>
    <x v="87"/>
    <x v="1"/>
    <n v="16"/>
    <n v="9"/>
    <n v="0.5625"/>
    <s v="Yes"/>
    <n v="9"/>
  </r>
  <r>
    <x v="87"/>
    <x v="0"/>
    <n v="3"/>
    <n v="2"/>
    <n v="0.66666666666666663"/>
    <s v="No"/>
    <s v="N/A"/>
  </r>
  <r>
    <x v="88"/>
    <x v="1"/>
    <n v="71"/>
    <n v="29"/>
    <n v="0.40845070422535212"/>
    <s v="Yes"/>
    <n v="34"/>
  </r>
  <r>
    <x v="88"/>
    <x v="4"/>
    <n v="175"/>
    <n v="84"/>
    <n v="0.48"/>
    <s v="Yes"/>
    <n v="27"/>
  </r>
  <r>
    <x v="88"/>
    <x v="0"/>
    <n v="1"/>
    <n v="0"/>
    <n v="0"/>
    <s v="No"/>
    <s v="N/A"/>
  </r>
  <r>
    <x v="88"/>
    <x v="2"/>
    <n v="1"/>
    <n v="0"/>
    <n v="0"/>
    <s v="No"/>
    <s v="N/A"/>
  </r>
  <r>
    <x v="88"/>
    <x v="3"/>
    <n v="2"/>
    <n v="1"/>
    <n v="0.5"/>
    <s v="No"/>
    <s v="N/A"/>
  </r>
  <r>
    <x v="89"/>
    <x v="3"/>
    <n v="114"/>
    <n v="45"/>
    <n v="0.39473684210526316"/>
    <s v="Yes"/>
    <n v="36"/>
  </r>
  <r>
    <x v="89"/>
    <x v="1"/>
    <n v="3"/>
    <n v="0"/>
    <n v="0"/>
    <s v="No"/>
    <s v="N/A"/>
  </r>
  <r>
    <x v="89"/>
    <x v="5"/>
    <n v="50"/>
    <n v="24"/>
    <n v="0.48"/>
    <s v="Yes"/>
    <n v="16"/>
  </r>
  <r>
    <x v="89"/>
    <x v="2"/>
    <n v="142"/>
    <n v="67"/>
    <n v="0.47183098591549294"/>
    <s v="Yes"/>
    <n v="23"/>
  </r>
  <r>
    <x v="89"/>
    <x v="0"/>
    <n v="1"/>
    <n v="1"/>
    <n v="1"/>
    <s v="No"/>
    <s v="N/A"/>
  </r>
  <r>
    <x v="89"/>
    <x v="4"/>
    <n v="1"/>
    <n v="0"/>
    <n v="0"/>
    <s v="No"/>
    <s v="N/A"/>
  </r>
  <r>
    <x v="90"/>
    <x v="4"/>
    <n v="262"/>
    <n v="120"/>
    <n v="0.4580152671755725"/>
    <s v="Yes"/>
    <n v="32"/>
  </r>
  <r>
    <x v="90"/>
    <x v="0"/>
    <n v="187"/>
    <n v="83"/>
    <n v="0.44385026737967914"/>
    <s v="Yes"/>
    <n v="24"/>
  </r>
  <r>
    <x v="90"/>
    <x v="1"/>
    <n v="1"/>
    <n v="1"/>
    <n v="1"/>
    <s v="No"/>
    <s v="N/A"/>
  </r>
  <r>
    <x v="91"/>
    <x v="3"/>
    <n v="92"/>
    <n v="45"/>
    <n v="0.4891304347826087"/>
    <s v="Yes"/>
    <n v="28"/>
  </r>
  <r>
    <x v="91"/>
    <x v="2"/>
    <n v="159"/>
    <n v="82"/>
    <n v="0.51572327044025157"/>
    <s v="Yes"/>
    <n v="16"/>
  </r>
  <r>
    <x v="91"/>
    <x v="5"/>
    <n v="20"/>
    <n v="14"/>
    <n v="0.7"/>
    <s v="Yes"/>
    <n v="2"/>
  </r>
  <r>
    <x v="91"/>
    <x v="1"/>
    <n v="2"/>
    <n v="1"/>
    <n v="0.5"/>
    <s v="No"/>
    <s v="N/A"/>
  </r>
  <r>
    <x v="91"/>
    <x v="0"/>
    <n v="1"/>
    <n v="0"/>
    <n v="0"/>
    <s v="No"/>
    <s v="N/A"/>
  </r>
  <r>
    <x v="92"/>
    <x v="3"/>
    <n v="58"/>
    <n v="30"/>
    <n v="0.51724137931034486"/>
    <s v="Yes"/>
    <n v="18"/>
  </r>
  <r>
    <x v="92"/>
    <x v="2"/>
    <n v="97"/>
    <n v="38"/>
    <n v="0.39175257731958762"/>
    <s v="Yes"/>
    <n v="33"/>
  </r>
  <r>
    <x v="92"/>
    <x v="5"/>
    <n v="18"/>
    <n v="13"/>
    <n v="0.72222222222222221"/>
    <s v="Yes"/>
    <n v="1"/>
  </r>
  <r>
    <x v="92"/>
    <x v="0"/>
    <n v="1"/>
    <n v="1"/>
    <n v="1"/>
    <s v="No"/>
    <s v="N/A"/>
  </r>
  <r>
    <x v="93"/>
    <x v="3"/>
    <n v="136"/>
    <n v="70"/>
    <n v="0.51470588235294112"/>
    <s v="Yes"/>
    <n v="19"/>
  </r>
  <r>
    <x v="93"/>
    <x v="2"/>
    <n v="81"/>
    <n v="37"/>
    <n v="0.4567901234567901"/>
    <s v="Yes"/>
    <n v="24"/>
  </r>
  <r>
    <x v="93"/>
    <x v="5"/>
    <n v="18"/>
    <n v="7"/>
    <n v="0.3888888888888889"/>
    <s v="Yes"/>
    <n v="23"/>
  </r>
  <r>
    <x v="93"/>
    <x v="4"/>
    <n v="7"/>
    <n v="3"/>
    <n v="0.42857142857142855"/>
    <s v="No"/>
    <s v="N/A"/>
  </r>
  <r>
    <x v="93"/>
    <x v="1"/>
    <n v="3"/>
    <n v="1"/>
    <n v="0.33333333333333331"/>
    <s v="No"/>
    <s v="N/A"/>
  </r>
  <r>
    <x v="94"/>
    <x v="1"/>
    <n v="310"/>
    <n v="176"/>
    <n v="0.56774193548387097"/>
    <s v="Yes"/>
    <n v="8"/>
  </r>
  <r>
    <x v="94"/>
    <x v="4"/>
    <n v="100"/>
    <n v="53"/>
    <n v="0.53"/>
    <s v="Yes"/>
    <n v="16"/>
  </r>
  <r>
    <x v="94"/>
    <x v="0"/>
    <n v="2"/>
    <n v="1"/>
    <n v="0.5"/>
    <s v="No"/>
    <s v="N/A"/>
  </r>
  <r>
    <x v="94"/>
    <x v="3"/>
    <n v="21"/>
    <n v="9"/>
    <n v="0.42857142857142855"/>
    <s v="Yes"/>
    <n v="34"/>
  </r>
  <r>
    <x v="94"/>
    <x v="2"/>
    <n v="2"/>
    <n v="0"/>
    <n v="0"/>
    <s v="No"/>
    <s v="N/A"/>
  </r>
  <r>
    <x v="95"/>
    <x v="0"/>
    <n v="151"/>
    <n v="76"/>
    <n v="0.50331125827814571"/>
    <s v="Yes"/>
    <n v="17"/>
  </r>
  <r>
    <x v="95"/>
    <x v="4"/>
    <n v="7"/>
    <n v="3"/>
    <n v="0.42857142857142855"/>
    <s v="No"/>
    <s v="N/A"/>
  </r>
  <r>
    <x v="95"/>
    <x v="3"/>
    <n v="3"/>
    <n v="1"/>
    <n v="0.33333333333333331"/>
    <s v="No"/>
    <s v="N/A"/>
  </r>
  <r>
    <x v="95"/>
    <x v="1"/>
    <n v="1"/>
    <n v="1"/>
    <n v="1"/>
    <s v="No"/>
    <s v="N/A"/>
  </r>
  <r>
    <x v="96"/>
    <x v="3"/>
    <n v="91"/>
    <n v="39"/>
    <n v="0.42857142857142855"/>
    <s v="Yes"/>
    <n v="34"/>
  </r>
  <r>
    <x v="96"/>
    <x v="2"/>
    <n v="64"/>
    <n v="31"/>
    <n v="0.484375"/>
    <s v="Yes"/>
    <n v="22"/>
  </r>
  <r>
    <x v="96"/>
    <x v="1"/>
    <n v="16"/>
    <n v="6"/>
    <n v="0.375"/>
    <s v="Yes"/>
    <n v="36"/>
  </r>
  <r>
    <x v="96"/>
    <x v="5"/>
    <n v="11"/>
    <n v="3"/>
    <n v="0.27272727272727271"/>
    <s v="Yes"/>
    <n v="27"/>
  </r>
  <r>
    <x v="96"/>
    <x v="4"/>
    <n v="35"/>
    <n v="23"/>
    <n v="0.65714285714285714"/>
    <s v="Yes"/>
    <n v="2"/>
  </r>
  <r>
    <x v="96"/>
    <x v="0"/>
    <n v="3"/>
    <n v="0"/>
    <n v="0"/>
    <s v="No"/>
    <s v="N/A"/>
  </r>
  <r>
    <x v="97"/>
    <x v="0"/>
    <n v="51"/>
    <n v="31"/>
    <n v="0.60784313725490191"/>
    <s v="Yes"/>
    <n v="5"/>
  </r>
  <r>
    <x v="97"/>
    <x v="4"/>
    <n v="161"/>
    <n v="76"/>
    <n v="0.47204968944099379"/>
    <s v="Yes"/>
    <n v="30"/>
  </r>
  <r>
    <x v="97"/>
    <x v="2"/>
    <n v="1"/>
    <n v="1"/>
    <n v="1"/>
    <s v="No"/>
    <s v="N/A"/>
  </r>
  <r>
    <x v="97"/>
    <x v="1"/>
    <n v="2"/>
    <n v="1"/>
    <n v="0.5"/>
    <s v="No"/>
    <s v="N/A"/>
  </r>
  <r>
    <x v="98"/>
    <x v="0"/>
    <n v="17"/>
    <n v="8"/>
    <n v="0.47058823529411764"/>
    <s v="Yes"/>
    <n v="23"/>
  </r>
  <r>
    <x v="99"/>
    <x v="1"/>
    <n v="89"/>
    <n v="43"/>
    <n v="0.48314606741573035"/>
    <s v="Yes"/>
    <n v="23"/>
  </r>
  <r>
    <x v="99"/>
    <x v="3"/>
    <n v="129"/>
    <n v="62"/>
    <n v="0.48062015503875971"/>
    <s v="Yes"/>
    <n v="29"/>
  </r>
  <r>
    <x v="99"/>
    <x v="2"/>
    <n v="93"/>
    <n v="51"/>
    <n v="0.54838709677419351"/>
    <s v="Yes"/>
    <n v="11"/>
  </r>
  <r>
    <x v="99"/>
    <x v="5"/>
    <n v="61"/>
    <n v="21"/>
    <n v="0.34426229508196721"/>
    <s v="Yes"/>
    <n v="26"/>
  </r>
  <r>
    <x v="99"/>
    <x v="4"/>
    <n v="10"/>
    <n v="8"/>
    <n v="0.8"/>
    <s v="Yes"/>
    <n v="1"/>
  </r>
  <r>
    <x v="99"/>
    <x v="0"/>
    <n v="1"/>
    <n v="1"/>
    <n v="1"/>
    <s v="No"/>
    <s v="N/A"/>
  </r>
  <r>
    <x v="100"/>
    <x v="4"/>
    <n v="287"/>
    <n v="146"/>
    <n v="0.50871080139372826"/>
    <s v="Yes"/>
    <n v="20"/>
  </r>
  <r>
    <x v="100"/>
    <x v="0"/>
    <n v="9"/>
    <n v="3"/>
    <n v="0.33333333333333331"/>
    <s v="No"/>
    <s v="N/A"/>
  </r>
  <r>
    <x v="100"/>
    <x v="3"/>
    <n v="1"/>
    <n v="1"/>
    <n v="1"/>
    <s v="No"/>
    <s v="N/A"/>
  </r>
  <r>
    <x v="101"/>
    <x v="0"/>
    <n v="63"/>
    <n v="31"/>
    <n v="0.49206349206349204"/>
    <s v="Yes"/>
    <n v="20"/>
  </r>
  <r>
    <x v="101"/>
    <x v="3"/>
    <n v="1"/>
    <n v="0"/>
    <n v="0"/>
    <s v="No"/>
    <s v="N/A"/>
  </r>
  <r>
    <x v="102"/>
    <x v="3"/>
    <n v="111"/>
    <n v="59"/>
    <n v="0.53153153153153154"/>
    <s v="Yes"/>
    <n v="17"/>
  </r>
  <r>
    <x v="102"/>
    <x v="1"/>
    <n v="14"/>
    <n v="5"/>
    <n v="0.35714285714285715"/>
    <s v="Yes"/>
    <n v="37"/>
  </r>
  <r>
    <x v="102"/>
    <x v="2"/>
    <n v="42"/>
    <n v="24"/>
    <n v="0.5714285714285714"/>
    <s v="Yes"/>
    <n v="10"/>
  </r>
  <r>
    <x v="102"/>
    <x v="5"/>
    <n v="32"/>
    <n v="15"/>
    <n v="0.46875"/>
    <s v="Yes"/>
    <n v="19"/>
  </r>
  <r>
    <x v="102"/>
    <x v="4"/>
    <n v="2"/>
    <n v="2"/>
    <n v="1"/>
    <s v="No"/>
    <s v="N/A"/>
  </r>
  <r>
    <x v="103"/>
    <x v="0"/>
    <n v="185"/>
    <n v="86"/>
    <n v="0.46486486486486489"/>
    <s v="Yes"/>
    <n v="23"/>
  </r>
  <r>
    <x v="103"/>
    <x v="4"/>
    <n v="51"/>
    <n v="28"/>
    <n v="0.5490196078431373"/>
    <s v="Yes"/>
    <n v="13"/>
  </r>
  <r>
    <x v="103"/>
    <x v="3"/>
    <n v="1"/>
    <n v="0"/>
    <n v="0"/>
    <s v="No"/>
    <s v="N/A"/>
  </r>
  <r>
    <x v="104"/>
    <x v="0"/>
    <n v="148"/>
    <n v="87"/>
    <n v="0.58783783783783783"/>
    <s v="Yes"/>
    <n v="6"/>
  </r>
  <r>
    <x v="104"/>
    <x v="3"/>
    <n v="1"/>
    <n v="1"/>
    <n v="1"/>
    <s v="No"/>
    <s v="N/A"/>
  </r>
  <r>
    <x v="105"/>
    <x v="1"/>
    <n v="547"/>
    <n v="254"/>
    <n v="0.46435100548446068"/>
    <s v="Yes"/>
    <n v="28"/>
  </r>
  <r>
    <x v="105"/>
    <x v="3"/>
    <n v="18"/>
    <n v="10"/>
    <n v="0.55555555555555558"/>
    <s v="Yes"/>
    <n v="15"/>
  </r>
  <r>
    <x v="105"/>
    <x v="4"/>
    <n v="5"/>
    <n v="3"/>
    <n v="0.6"/>
    <s v="No"/>
    <s v="N/A"/>
  </r>
  <r>
    <x v="105"/>
    <x v="2"/>
    <n v="5"/>
    <n v="1"/>
    <n v="0.2"/>
    <s v="No"/>
    <s v="N/A"/>
  </r>
  <r>
    <x v="105"/>
    <x v="0"/>
    <n v="2"/>
    <n v="1"/>
    <n v="0.5"/>
    <s v="No"/>
    <s v="N/A"/>
  </r>
  <r>
    <x v="106"/>
    <x v="1"/>
    <n v="114"/>
    <n v="51"/>
    <n v="0.44736842105263158"/>
    <s v="Yes"/>
    <n v="31"/>
  </r>
  <r>
    <x v="106"/>
    <x v="4"/>
    <n v="10"/>
    <n v="4"/>
    <n v="0.4"/>
    <s v="Yes"/>
    <n v="34"/>
  </r>
  <r>
    <x v="106"/>
    <x v="3"/>
    <n v="2"/>
    <n v="2"/>
    <n v="1"/>
    <s v="No"/>
    <s v="N/A"/>
  </r>
  <r>
    <x v="106"/>
    <x v="2"/>
    <n v="1"/>
    <n v="0"/>
    <n v="0"/>
    <s v="No"/>
    <s v="N/A"/>
  </r>
  <r>
    <x v="107"/>
    <x v="4"/>
    <n v="22"/>
    <n v="8"/>
    <n v="0.36363636363636365"/>
    <s v="Yes"/>
    <n v="38"/>
  </r>
  <r>
    <x v="107"/>
    <x v="1"/>
    <n v="2"/>
    <n v="0"/>
    <n v="0"/>
    <s v="No"/>
    <s v="N/A"/>
  </r>
  <r>
    <x v="107"/>
    <x v="0"/>
    <n v="1"/>
    <n v="0"/>
    <n v="0"/>
    <s v="No"/>
    <s v="N/A"/>
  </r>
  <r>
    <x v="108"/>
    <x v="4"/>
    <n v="80"/>
    <n v="40"/>
    <n v="0.5"/>
    <s v="Yes"/>
    <n v="21"/>
  </r>
  <r>
    <x v="108"/>
    <x v="3"/>
    <n v="20"/>
    <n v="8"/>
    <n v="0.4"/>
    <s v="Yes"/>
    <n v="36"/>
  </r>
  <r>
    <x v="108"/>
    <x v="0"/>
    <n v="290"/>
    <n v="154"/>
    <n v="0.53103448275862064"/>
    <s v="Yes"/>
    <n v="11"/>
  </r>
  <r>
    <x v="108"/>
    <x v="2"/>
    <n v="10"/>
    <n v="5"/>
    <n v="0.5"/>
    <s v="Yes"/>
    <n v="19"/>
  </r>
  <r>
    <x v="108"/>
    <x v="1"/>
    <n v="13"/>
    <n v="6"/>
    <n v="0.46153846153846156"/>
    <s v="Yes"/>
    <n v="28"/>
  </r>
  <r>
    <x v="108"/>
    <x v="5"/>
    <n v="5"/>
    <n v="3"/>
    <n v="0.6"/>
    <s v="No"/>
    <s v="N/A"/>
  </r>
  <r>
    <x v="109"/>
    <x v="2"/>
    <n v="153"/>
    <n v="84"/>
    <n v="0.5490196078431373"/>
    <s v="Yes"/>
    <n v="11"/>
  </r>
  <r>
    <x v="109"/>
    <x v="5"/>
    <n v="16"/>
    <n v="7"/>
    <n v="0.4375"/>
    <s v="Yes"/>
    <n v="22"/>
  </r>
  <r>
    <x v="109"/>
    <x v="3"/>
    <n v="33"/>
    <n v="19"/>
    <n v="0.5757575757575758"/>
    <s v="Yes"/>
    <n v="9"/>
  </r>
  <r>
    <x v="109"/>
    <x v="1"/>
    <n v="1"/>
    <n v="1"/>
    <n v="1"/>
    <s v="No"/>
    <s v="N/A"/>
  </r>
  <r>
    <x v="110"/>
    <x v="0"/>
    <n v="72"/>
    <n v="35"/>
    <n v="0.4861111111111111"/>
    <s v="Yes"/>
    <n v="21"/>
  </r>
  <r>
    <x v="110"/>
    <x v="4"/>
    <n v="1"/>
    <n v="1"/>
    <n v="1"/>
    <s v="No"/>
    <s v="N/A"/>
  </r>
  <r>
    <x v="110"/>
    <x v="1"/>
    <n v="1"/>
    <n v="0"/>
    <n v="0"/>
    <s v="No"/>
    <s v="N/A"/>
  </r>
  <r>
    <x v="111"/>
    <x v="2"/>
    <n v="299"/>
    <n v="157"/>
    <n v="0.52508361204013376"/>
    <s v="Yes"/>
    <n v="16"/>
  </r>
  <r>
    <x v="111"/>
    <x v="3"/>
    <n v="102"/>
    <n v="57"/>
    <n v="0.55882352941176472"/>
    <s v="Yes"/>
    <n v="15"/>
  </r>
  <r>
    <x v="111"/>
    <x v="5"/>
    <n v="134"/>
    <n v="75"/>
    <n v="0.55970149253731338"/>
    <s v="Yes"/>
    <n v="6"/>
  </r>
  <r>
    <x v="111"/>
    <x v="0"/>
    <n v="1"/>
    <n v="0"/>
    <n v="0"/>
    <s v="No"/>
    <s v="N/A"/>
  </r>
  <r>
    <x v="111"/>
    <x v="4"/>
    <n v="5"/>
    <n v="4"/>
    <n v="0.8"/>
    <s v="No"/>
    <s v="N/A"/>
  </r>
  <r>
    <x v="112"/>
    <x v="1"/>
    <n v="227"/>
    <n v="101"/>
    <n v="0.44493392070484583"/>
    <s v="Yes"/>
    <n v="31"/>
  </r>
  <r>
    <x v="112"/>
    <x v="3"/>
    <n v="4"/>
    <n v="3"/>
    <n v="0.75"/>
    <s v="No"/>
    <s v="N/A"/>
  </r>
  <r>
    <x v="113"/>
    <x v="1"/>
    <n v="25"/>
    <n v="10"/>
    <n v="0.4"/>
    <s v="Yes"/>
    <n v="35"/>
  </r>
  <r>
    <x v="113"/>
    <x v="3"/>
    <n v="23"/>
    <n v="10"/>
    <n v="0.43478260869565216"/>
    <s v="Yes"/>
    <n v="34"/>
  </r>
  <r>
    <x v="113"/>
    <x v="2"/>
    <n v="26"/>
    <n v="12"/>
    <n v="0.46153846153846156"/>
    <s v="Yes"/>
    <n v="24"/>
  </r>
  <r>
    <x v="113"/>
    <x v="5"/>
    <n v="2"/>
    <n v="1"/>
    <n v="0.5"/>
    <s v="No"/>
    <s v="N/A"/>
  </r>
  <r>
    <x v="113"/>
    <x v="0"/>
    <n v="9"/>
    <n v="2"/>
    <n v="0.22222222222222221"/>
    <s v="No"/>
    <s v="N/A"/>
  </r>
  <r>
    <x v="113"/>
    <x v="4"/>
    <n v="2"/>
    <n v="0"/>
    <n v="0"/>
    <s v="No"/>
    <s v="N/A"/>
  </r>
  <r>
    <x v="114"/>
    <x v="0"/>
    <n v="212"/>
    <n v="102"/>
    <n v="0.48113207547169812"/>
    <s v="Yes"/>
    <n v="21"/>
  </r>
  <r>
    <x v="114"/>
    <x v="1"/>
    <n v="2"/>
    <n v="1"/>
    <n v="0.5"/>
    <s v="No"/>
    <s v="N/A"/>
  </r>
  <r>
    <x v="114"/>
    <x v="4"/>
    <n v="1"/>
    <n v="0"/>
    <n v="0"/>
    <s v="No"/>
    <s v="N/A"/>
  </r>
  <r>
    <x v="114"/>
    <x v="3"/>
    <n v="2"/>
    <n v="0"/>
    <n v="0"/>
    <s v="No"/>
    <s v="N/A"/>
  </r>
  <r>
    <x v="115"/>
    <x v="2"/>
    <n v="73"/>
    <n v="30"/>
    <n v="0.41095890410958902"/>
    <s v="Yes"/>
    <n v="32"/>
  </r>
  <r>
    <x v="115"/>
    <x v="4"/>
    <n v="1"/>
    <n v="1"/>
    <n v="1"/>
    <s v="No"/>
    <s v="N/A"/>
  </r>
  <r>
    <x v="115"/>
    <x v="1"/>
    <n v="5"/>
    <n v="2"/>
    <n v="0.4"/>
    <s v="No"/>
    <s v="N/A"/>
  </r>
  <r>
    <x v="115"/>
    <x v="3"/>
    <n v="26"/>
    <n v="13"/>
    <n v="0.5"/>
    <s v="Yes"/>
    <n v="22"/>
  </r>
  <r>
    <x v="115"/>
    <x v="0"/>
    <n v="6"/>
    <n v="1"/>
    <n v="0.16666666666666666"/>
    <s v="No"/>
    <s v="N/A"/>
  </r>
  <r>
    <x v="115"/>
    <x v="5"/>
    <n v="1"/>
    <n v="0"/>
    <n v="0"/>
    <s v="No"/>
    <s v="N/A"/>
  </r>
  <r>
    <x v="116"/>
    <x v="3"/>
    <n v="173"/>
    <n v="90"/>
    <n v="0.52023121387283233"/>
    <s v="Yes"/>
    <n v="18"/>
  </r>
  <r>
    <x v="116"/>
    <x v="2"/>
    <n v="43"/>
    <n v="15"/>
    <n v="0.34883720930232559"/>
    <s v="Yes"/>
    <n v="35"/>
  </r>
  <r>
    <x v="116"/>
    <x v="5"/>
    <n v="52"/>
    <n v="31"/>
    <n v="0.59615384615384615"/>
    <s v="Yes"/>
    <n v="5"/>
  </r>
  <r>
    <x v="116"/>
    <x v="0"/>
    <n v="8"/>
    <n v="3"/>
    <n v="0.375"/>
    <s v="No"/>
    <s v="N/A"/>
  </r>
  <r>
    <x v="116"/>
    <x v="1"/>
    <n v="10"/>
    <n v="4"/>
    <n v="0.4"/>
    <s v="Yes"/>
    <n v="35"/>
  </r>
  <r>
    <x v="116"/>
    <x v="4"/>
    <n v="3"/>
    <n v="2"/>
    <n v="0.66666666666666663"/>
    <s v="No"/>
    <s v="N/A"/>
  </r>
  <r>
    <x v="117"/>
    <x v="4"/>
    <n v="128"/>
    <n v="65"/>
    <n v="0.5078125"/>
    <s v="Yes"/>
    <n v="20"/>
  </r>
  <r>
    <x v="117"/>
    <x v="1"/>
    <n v="44"/>
    <n v="22"/>
    <n v="0.5"/>
    <s v="Yes"/>
    <n v="21"/>
  </r>
  <r>
    <x v="117"/>
    <x v="0"/>
    <n v="18"/>
    <n v="10"/>
    <n v="0.55555555555555558"/>
    <s v="Yes"/>
    <n v="9"/>
  </r>
  <r>
    <x v="118"/>
    <x v="1"/>
    <n v="21"/>
    <n v="13"/>
    <n v="0.61904761904761907"/>
    <s v="Yes"/>
    <n v="5"/>
  </r>
  <r>
    <x v="118"/>
    <x v="5"/>
    <n v="1"/>
    <n v="0"/>
    <n v="0"/>
    <s v="No"/>
    <s v="N/A"/>
  </r>
  <r>
    <x v="119"/>
    <x v="4"/>
    <n v="303"/>
    <n v="121"/>
    <n v="0.39933993399339934"/>
    <s v="Yes"/>
    <n v="35"/>
  </r>
  <r>
    <x v="119"/>
    <x v="3"/>
    <n v="3"/>
    <n v="1"/>
    <n v="0.33333333333333331"/>
    <s v="No"/>
    <s v="N/A"/>
  </r>
  <r>
    <x v="119"/>
    <x v="1"/>
    <n v="5"/>
    <n v="1"/>
    <n v="0.2"/>
    <s v="No"/>
    <s v="N/A"/>
  </r>
  <r>
    <x v="119"/>
    <x v="0"/>
    <n v="3"/>
    <n v="2"/>
    <n v="0.66666666666666663"/>
    <s v="No"/>
    <s v="N/A"/>
  </r>
  <r>
    <x v="119"/>
    <x v="2"/>
    <n v="2"/>
    <n v="0"/>
    <n v="0"/>
    <s v="No"/>
    <s v="N/A"/>
  </r>
  <r>
    <x v="120"/>
    <x v="3"/>
    <n v="80"/>
    <n v="38"/>
    <n v="0.47499999999999998"/>
    <s v="Yes"/>
    <n v="31"/>
  </r>
  <r>
    <x v="120"/>
    <x v="2"/>
    <n v="52"/>
    <n v="24"/>
    <n v="0.46153846153846156"/>
    <s v="Yes"/>
    <n v="24"/>
  </r>
  <r>
    <x v="120"/>
    <x v="0"/>
    <n v="3"/>
    <n v="2"/>
    <n v="0.66666666666666663"/>
    <s v="No"/>
    <s v="N/A"/>
  </r>
  <r>
    <x v="120"/>
    <x v="5"/>
    <n v="10"/>
    <n v="4"/>
    <n v="0.4"/>
    <s v="Yes"/>
    <n v="23"/>
  </r>
  <r>
    <x v="121"/>
    <x v="0"/>
    <n v="156"/>
    <n v="68"/>
    <n v="0.4358974358974359"/>
    <s v="Yes"/>
    <n v="26"/>
  </r>
  <r>
    <x v="121"/>
    <x v="3"/>
    <n v="15"/>
    <n v="6"/>
    <n v="0.4"/>
    <s v="Yes"/>
    <n v="36"/>
  </r>
  <r>
    <x v="121"/>
    <x v="4"/>
    <n v="2"/>
    <n v="1"/>
    <n v="0.5"/>
    <s v="No"/>
    <s v="N/A"/>
  </r>
  <r>
    <x v="121"/>
    <x v="2"/>
    <n v="5"/>
    <n v="2"/>
    <n v="0.4"/>
    <s v="No"/>
    <s v="N/A"/>
  </r>
  <r>
    <x v="121"/>
    <x v="1"/>
    <n v="9"/>
    <n v="7"/>
    <n v="0.77777777777777779"/>
    <s v="No"/>
    <s v="N/A"/>
  </r>
  <r>
    <x v="121"/>
    <x v="5"/>
    <n v="3"/>
    <n v="1"/>
    <n v="0.33333333333333331"/>
    <s v="No"/>
    <s v="N/A"/>
  </r>
  <r>
    <x v="122"/>
    <x v="3"/>
    <n v="33"/>
    <n v="19"/>
    <n v="0.5757575757575758"/>
    <s v="Yes"/>
    <n v="9"/>
  </r>
  <r>
    <x v="122"/>
    <x v="2"/>
    <n v="18"/>
    <n v="12"/>
    <n v="0.66666666666666663"/>
    <s v="Yes"/>
    <n v="4"/>
  </r>
  <r>
    <x v="122"/>
    <x v="1"/>
    <n v="25"/>
    <n v="14"/>
    <n v="0.56000000000000005"/>
    <s v="Yes"/>
    <n v="10"/>
  </r>
  <r>
    <x v="122"/>
    <x v="0"/>
    <n v="60"/>
    <n v="35"/>
    <n v="0.58333333333333337"/>
    <s v="Yes"/>
    <n v="6"/>
  </r>
  <r>
    <x v="122"/>
    <x v="4"/>
    <n v="12"/>
    <n v="5"/>
    <n v="0.41666666666666669"/>
    <s v="Yes"/>
    <n v="34"/>
  </r>
  <r>
    <x v="122"/>
    <x v="5"/>
    <n v="13"/>
    <n v="8"/>
    <n v="0.61538461538461542"/>
    <s v="Yes"/>
    <n v="4"/>
  </r>
  <r>
    <x v="123"/>
    <x v="3"/>
    <n v="50"/>
    <n v="19"/>
    <n v="0.38"/>
    <s v="Yes"/>
    <n v="38"/>
  </r>
  <r>
    <x v="123"/>
    <x v="5"/>
    <n v="10"/>
    <n v="3"/>
    <n v="0.3"/>
    <s v="Yes"/>
    <n v="27"/>
  </r>
  <r>
    <x v="123"/>
    <x v="2"/>
    <n v="48"/>
    <n v="24"/>
    <n v="0.5"/>
    <s v="Yes"/>
    <n v="19"/>
  </r>
  <r>
    <x v="123"/>
    <x v="1"/>
    <n v="3"/>
    <n v="1"/>
    <n v="0.33333333333333331"/>
    <s v="No"/>
    <s v="N/A"/>
  </r>
  <r>
    <x v="124"/>
    <x v="2"/>
    <n v="40"/>
    <n v="24"/>
    <n v="0.6"/>
    <s v="Yes"/>
    <n v="7"/>
  </r>
  <r>
    <x v="124"/>
    <x v="0"/>
    <n v="2"/>
    <n v="1"/>
    <n v="0.5"/>
    <s v="No"/>
    <s v="N/A"/>
  </r>
  <r>
    <x v="124"/>
    <x v="3"/>
    <n v="50"/>
    <n v="25"/>
    <n v="0.5"/>
    <s v="Yes"/>
    <n v="22"/>
  </r>
  <r>
    <x v="124"/>
    <x v="5"/>
    <n v="3"/>
    <n v="1"/>
    <n v="0.33333333333333331"/>
    <s v="No"/>
    <s v="N/A"/>
  </r>
  <r>
    <x v="125"/>
    <x v="0"/>
    <n v="63"/>
    <n v="29"/>
    <n v="0.46031746031746029"/>
    <s v="Yes"/>
    <n v="23"/>
  </r>
  <r>
    <x v="125"/>
    <x v="1"/>
    <n v="52"/>
    <n v="29"/>
    <n v="0.55769230769230771"/>
    <s v="Yes"/>
    <n v="10"/>
  </r>
  <r>
    <x v="125"/>
    <x v="3"/>
    <n v="1"/>
    <n v="1"/>
    <n v="1"/>
    <s v="No"/>
    <s v="N/A"/>
  </r>
  <r>
    <x v="126"/>
    <x v="3"/>
    <n v="59"/>
    <n v="31"/>
    <n v="0.52542372881355937"/>
    <s v="Yes"/>
    <n v="17"/>
  </r>
  <r>
    <x v="126"/>
    <x v="2"/>
    <n v="41"/>
    <n v="19"/>
    <n v="0.46341463414634149"/>
    <s v="Yes"/>
    <n v="24"/>
  </r>
  <r>
    <x v="126"/>
    <x v="4"/>
    <n v="40"/>
    <n v="15"/>
    <n v="0.375"/>
    <s v="Yes"/>
    <n v="38"/>
  </r>
  <r>
    <x v="126"/>
    <x v="1"/>
    <n v="15"/>
    <n v="11"/>
    <n v="0.73333333333333328"/>
    <s v="Yes"/>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681538-13F6-49FA-B180-443B36FFC00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4" firstHeaderRow="0" firstDataRow="1" firstDataCol="1"/>
  <pivotFields count="7">
    <pivotField axis="axisRow" showAll="0" measureFilter="1" sortType="descending">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autoSortScope>
        <pivotArea dataOnly="0" outline="0" fieldPosition="0">
          <references count="1">
            <reference field="4294967294" count="1" selected="0">
              <x v="0"/>
            </reference>
          </references>
        </pivotArea>
      </autoSortScope>
    </pivotField>
    <pivotField showAll="0">
      <items count="7">
        <item x="0"/>
        <item h="1" x="2"/>
        <item h="1" x="4"/>
        <item h="1" x="1"/>
        <item h="1" x="5"/>
        <item h="1" x="3"/>
        <item t="default"/>
      </items>
    </pivotField>
    <pivotField dataField="1" showAll="0"/>
    <pivotField dataField="1" showAll="0"/>
    <pivotField showAll="0"/>
    <pivotField showAll="0"/>
    <pivotField showAll="0"/>
  </pivotFields>
  <rowFields count="1">
    <field x="0"/>
  </rowFields>
  <rowItems count="11">
    <i>
      <x v="55"/>
    </i>
    <i>
      <x v="51"/>
    </i>
    <i>
      <x v="108"/>
    </i>
    <i>
      <x v="65"/>
    </i>
    <i>
      <x v="63"/>
    </i>
    <i>
      <x v="1"/>
    </i>
    <i>
      <x v="114"/>
    </i>
    <i>
      <x v="90"/>
    </i>
    <i>
      <x v="103"/>
    </i>
    <i>
      <x v="121"/>
    </i>
    <i t="grand">
      <x/>
    </i>
  </rowItems>
  <colFields count="1">
    <field x="-2"/>
  </colFields>
  <colItems count="2">
    <i>
      <x/>
    </i>
    <i i="1">
      <x v="1"/>
    </i>
  </colItems>
  <dataFields count="2">
    <dataField name="Sum of times_picked" fld="2" baseField="0" baseItem="0"/>
    <dataField name="Sum of times_won" fld="3"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8"/>
          </reference>
        </references>
      </pivotArea>
    </chartFormat>
    <chartFormat chart="0" format="1">
      <pivotArea type="data" outline="0" fieldPosition="0">
        <references count="2">
          <reference field="4294967294" count="1" selected="0">
            <x v="0"/>
          </reference>
          <reference field="0" count="1" selected="0">
            <x v="87"/>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_name" xr10:uid="{E86466DA-C79E-44AF-A2C1-B5320C292AC8}" sourceName="role_name">
  <pivotTables>
    <pivotTable tabId="6" name="PivotTable1"/>
  </pivotTables>
  <data>
    <tabular pivotCacheId="1585499494">
      <items count="6">
        <i x="0" s="1"/>
        <i x="2"/>
        <i x="4"/>
        <i x="1"/>
        <i x="5"/>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_name" xr10:uid="{5A8F7B00-50CD-47D7-8EAC-80E33E4EF440}" cache="Slicer_role_name" caption="Hero Role" style="Slicer Style 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8"/>
  <sheetViews>
    <sheetView tabSelected="1" workbookViewId="0">
      <selection sqref="A1:I128"/>
    </sheetView>
  </sheetViews>
  <sheetFormatPr defaultRowHeight="14.4" x14ac:dyDescent="0.3"/>
  <cols>
    <col min="1" max="1" width="17.33203125" bestFit="1" customWidth="1"/>
    <col min="2" max="2" width="14" customWidth="1"/>
    <col min="3" max="3" width="14.88671875" customWidth="1"/>
    <col min="4" max="4" width="10.6640625" customWidth="1"/>
    <col min="5" max="5" width="10.44140625" customWidth="1"/>
    <col min="6" max="6" width="10.21875" bestFit="1" customWidth="1"/>
    <col min="7" max="7" width="8.33203125" bestFit="1" customWidth="1"/>
    <col min="8" max="8" width="9.5546875" bestFit="1" customWidth="1"/>
    <col min="12" max="12" width="12.44140625" bestFit="1" customWidth="1"/>
    <col min="13" max="13" width="12.21875" bestFit="1" customWidth="1"/>
  </cols>
  <sheetData>
    <row r="1" spans="1:13" x14ac:dyDescent="0.3">
      <c r="A1" s="2" t="s">
        <v>0</v>
      </c>
      <c r="B1" s="3" t="s">
        <v>1</v>
      </c>
      <c r="C1" s="3" t="s">
        <v>2</v>
      </c>
      <c r="D1" s="3" t="s">
        <v>3</v>
      </c>
      <c r="E1" s="4" t="s">
        <v>4</v>
      </c>
      <c r="F1" s="10" t="s">
        <v>5</v>
      </c>
      <c r="G1" s="10" t="s">
        <v>6</v>
      </c>
      <c r="H1" s="10" t="s">
        <v>7</v>
      </c>
      <c r="I1" s="10" t="s">
        <v>8</v>
      </c>
      <c r="J1" s="13"/>
      <c r="K1" s="10" t="s">
        <v>13</v>
      </c>
      <c r="L1" s="10" t="s">
        <v>0</v>
      </c>
      <c r="M1" s="10" t="s">
        <v>12</v>
      </c>
    </row>
    <row r="2" spans="1:13" x14ac:dyDescent="0.3">
      <c r="A2" s="5" t="str" cm="1">
        <f t="array" ref="A2:A128">_xlfn._xlws.SORT(_xlfn.UNIQUE([1]!hero_reference[localized_name]))</f>
        <v>Abaddon</v>
      </c>
      <c r="B2" s="6">
        <f>COUNTIFS([2]!pick_bans[hero_name],A2,[2]!pick_bans[is_pick],TRUE)</f>
        <v>56</v>
      </c>
      <c r="C2" s="6">
        <f>COUNTIFS([2]!pick_bans[hero_name],A2,[2]!pick_bans[is_pick],FALSE)</f>
        <v>310</v>
      </c>
      <c r="D2" s="8">
        <f>B2/4986</f>
        <v>1.1231448054552748E-2</v>
      </c>
      <c r="E2" s="9">
        <f>C2/4986</f>
        <v>6.2174087444845566E-2</v>
      </c>
      <c r="F2">
        <f>COUNTIFS([3]!players[hero_name],A2,[3]!players[win],1)</f>
        <v>19</v>
      </c>
      <c r="G2" s="11">
        <f>F2/B2</f>
        <v>0.3392857142857143</v>
      </c>
      <c r="H2" s="12">
        <f>(G2*0.5)+(D2*0.25)+(E2*0.25)</f>
        <v>0.18799424101770673</v>
      </c>
      <c r="I2" t="str">
        <f>IF(H2&gt;=0.35, "S",
IF(H2&gt;=0.3, "A",
IF(H2&gt;=0.27, "B",
IF(H2&gt;=0.22, "C",
"D"
)
)
)
)</f>
        <v>D</v>
      </c>
      <c r="J2" s="12"/>
      <c r="L2" t="str">
        <f xml:space="preserve">
INDEX(A:A,
MATCH(M2, B:B, 0))</f>
        <v>Rubick</v>
      </c>
      <c r="M2" cm="1">
        <f t="array" ref="M2:M11">LARGE(B:B, _xlfn.SEQUENCE(10))</f>
        <v>1065</v>
      </c>
    </row>
    <row r="3" spans="1:13" x14ac:dyDescent="0.3">
      <c r="A3" s="7" t="str">
        <v>Alchemist</v>
      </c>
      <c r="B3" s="6">
        <f>COUNTIFS([2]!pick_bans[hero_name],A3,[2]!pick_bans[is_pick],TRUE)</f>
        <v>303</v>
      </c>
      <c r="C3" s="6">
        <f>COUNTIFS([2]!pick_bans[hero_name],A3,[2]!pick_bans[is_pick],FALSE)</f>
        <v>1092</v>
      </c>
      <c r="D3" s="8">
        <f t="shared" ref="D3:D66" si="0">B3/4986</f>
        <v>6.0770156438026475E-2</v>
      </c>
      <c r="E3" s="9">
        <f t="shared" ref="E3:E66" si="1">C3/4986</f>
        <v>0.21901323706377859</v>
      </c>
      <c r="F3">
        <f>COUNTIFS([3]!players[hero_name],A3,[3]!players[win],1)</f>
        <v>160</v>
      </c>
      <c r="G3" s="11">
        <f t="shared" ref="G3:G66" si="2">F3/B3</f>
        <v>0.528052805280528</v>
      </c>
      <c r="H3" s="12">
        <f t="shared" ref="H3:H66" si="3">(G3*0.5)+(D3*0.25)+(E3*0.25)</f>
        <v>0.33397225101571526</v>
      </c>
      <c r="I3" t="str">
        <f t="shared" ref="I3:I66" si="4">IF(H3&gt;=0.35, "S",
IF(H3&gt;=0.3, "A",
IF(H3&gt;=0.27, "B",
IF(H3&gt;=0.22, "C",
"D"
)
)
)
)</f>
        <v>A</v>
      </c>
      <c r="J3" s="12"/>
      <c r="L3" t="str">
        <f t="shared" ref="L3:L11" si="5" xml:space="preserve">
INDEX(A:A,
MATCH(M3, B:B, 0))</f>
        <v>Pangolier</v>
      </c>
      <c r="M3">
        <v>638</v>
      </c>
    </row>
    <row r="4" spans="1:13" x14ac:dyDescent="0.3">
      <c r="A4" s="5" t="str">
        <v>Ancient Apparition</v>
      </c>
      <c r="B4" s="6">
        <f>COUNTIFS([2]!pick_bans[hero_name],A4,[2]!pick_bans[is_pick],TRUE)</f>
        <v>65</v>
      </c>
      <c r="C4" s="6">
        <f>COUNTIFS([2]!pick_bans[hero_name],A4,[2]!pick_bans[is_pick],FALSE)</f>
        <v>65</v>
      </c>
      <c r="D4" s="8">
        <f t="shared" si="0"/>
        <v>1.3036502206177296E-2</v>
      </c>
      <c r="E4" s="9">
        <f t="shared" si="1"/>
        <v>1.3036502206177296E-2</v>
      </c>
      <c r="F4">
        <f>COUNTIFS([3]!players[hero_name],A4,[3]!players[win],1)</f>
        <v>29</v>
      </c>
      <c r="G4" s="11">
        <f t="shared" si="2"/>
        <v>0.44615384615384618</v>
      </c>
      <c r="H4" s="12">
        <f t="shared" si="3"/>
        <v>0.22959517418001171</v>
      </c>
      <c r="I4" t="str">
        <f t="shared" si="4"/>
        <v>C</v>
      </c>
      <c r="L4" t="str">
        <f t="shared" si="5"/>
        <v>Phoenix</v>
      </c>
      <c r="M4">
        <v>589</v>
      </c>
    </row>
    <row r="5" spans="1:13" x14ac:dyDescent="0.3">
      <c r="A5" s="7" t="str">
        <v>Anti-Mage</v>
      </c>
      <c r="B5" s="6">
        <f>COUNTIFS([2]!pick_bans[hero_name],A5,[2]!pick_bans[is_pick],TRUE)</f>
        <v>70</v>
      </c>
      <c r="C5" s="6">
        <f>COUNTIFS([2]!pick_bans[hero_name],A5,[2]!pick_bans[is_pick],FALSE)</f>
        <v>91</v>
      </c>
      <c r="D5" s="8">
        <f t="shared" si="0"/>
        <v>1.4039310068190935E-2</v>
      </c>
      <c r="E5" s="9">
        <f t="shared" si="1"/>
        <v>1.8251103088648215E-2</v>
      </c>
      <c r="F5">
        <f>COUNTIFS([3]!players[hero_name],A5,[3]!players[win],1)</f>
        <v>36</v>
      </c>
      <c r="G5" s="11">
        <f t="shared" si="2"/>
        <v>0.51428571428571423</v>
      </c>
      <c r="H5" s="12">
        <f t="shared" si="3"/>
        <v>0.26521546043206695</v>
      </c>
      <c r="I5" t="str">
        <f t="shared" si="4"/>
        <v>C</v>
      </c>
      <c r="L5" t="str">
        <f t="shared" si="5"/>
        <v>Tidehunter</v>
      </c>
      <c r="M5">
        <v>576</v>
      </c>
    </row>
    <row r="6" spans="1:13" x14ac:dyDescent="0.3">
      <c r="A6" s="5" t="str">
        <v>Arc Warden</v>
      </c>
      <c r="B6" s="6">
        <f>COUNTIFS([2]!pick_bans[hero_name],A6,[2]!pick_bans[is_pick],TRUE)</f>
        <v>13</v>
      </c>
      <c r="C6" s="6">
        <f>COUNTIFS([2]!pick_bans[hero_name],A6,[2]!pick_bans[is_pick],FALSE)</f>
        <v>198</v>
      </c>
      <c r="D6" s="8">
        <f t="shared" si="0"/>
        <v>2.6073004412354591E-3</v>
      </c>
      <c r="E6" s="9">
        <f t="shared" si="1"/>
        <v>3.9711191335740074E-2</v>
      </c>
      <c r="F6">
        <f>COUNTIFS([3]!players[hero_name],A6,[3]!players[win],1)</f>
        <v>8</v>
      </c>
      <c r="G6" s="11">
        <f t="shared" si="2"/>
        <v>0.61538461538461542</v>
      </c>
      <c r="H6" s="12">
        <f t="shared" si="3"/>
        <v>0.31827193063655157</v>
      </c>
      <c r="I6" t="str">
        <f t="shared" si="4"/>
        <v>A</v>
      </c>
      <c r="L6" t="str">
        <f t="shared" si="5"/>
        <v>Hoodwink</v>
      </c>
      <c r="M6">
        <v>542</v>
      </c>
    </row>
    <row r="7" spans="1:13" x14ac:dyDescent="0.3">
      <c r="A7" s="7" t="str">
        <v>Axe</v>
      </c>
      <c r="B7" s="6">
        <f>COUNTIFS([2]!pick_bans[hero_name],A7,[2]!pick_bans[is_pick],TRUE)</f>
        <v>211</v>
      </c>
      <c r="C7" s="6">
        <f>COUNTIFS([2]!pick_bans[hero_name],A7,[2]!pick_bans[is_pick],FALSE)</f>
        <v>120</v>
      </c>
      <c r="D7" s="8">
        <f t="shared" si="0"/>
        <v>4.2318491776975532E-2</v>
      </c>
      <c r="E7" s="9">
        <f>C7/4986</f>
        <v>2.4067388688327317E-2</v>
      </c>
      <c r="F7">
        <f>COUNTIFS([3]!players[hero_name],A7,[3]!players[win],1)</f>
        <v>101</v>
      </c>
      <c r="G7" s="11">
        <f t="shared" si="2"/>
        <v>0.47867298578199052</v>
      </c>
      <c r="H7" s="12">
        <f t="shared" si="3"/>
        <v>0.25593296300732099</v>
      </c>
      <c r="I7" t="str">
        <f t="shared" si="4"/>
        <v>C</v>
      </c>
      <c r="L7" t="str">
        <f t="shared" si="5"/>
        <v>Tusk</v>
      </c>
      <c r="M7">
        <v>537</v>
      </c>
    </row>
    <row r="8" spans="1:13" x14ac:dyDescent="0.3">
      <c r="A8" s="5" t="str">
        <v>Bane</v>
      </c>
      <c r="B8" s="6">
        <f>COUNTIFS([2]!pick_bans[hero_name],A8,[2]!pick_bans[is_pick],TRUE)</f>
        <v>69</v>
      </c>
      <c r="C8" s="6">
        <f>COUNTIFS([2]!pick_bans[hero_name],A8,[2]!pick_bans[is_pick],FALSE)</f>
        <v>199</v>
      </c>
      <c r="D8" s="8">
        <f t="shared" si="0"/>
        <v>1.3838748495788207E-2</v>
      </c>
      <c r="E8" s="9">
        <f t="shared" si="1"/>
        <v>3.9911752908142799E-2</v>
      </c>
      <c r="F8">
        <f>COUNTIFS([3]!players[hero_name],A8,[3]!players[win],1)</f>
        <v>39</v>
      </c>
      <c r="G8" s="11">
        <f t="shared" si="2"/>
        <v>0.56521739130434778</v>
      </c>
      <c r="H8" s="12">
        <f t="shared" si="3"/>
        <v>0.29604632100315664</v>
      </c>
      <c r="I8" t="str">
        <f t="shared" si="4"/>
        <v>B</v>
      </c>
      <c r="L8" t="str">
        <f t="shared" si="5"/>
        <v>Queen of Pain</v>
      </c>
      <c r="M8">
        <v>482</v>
      </c>
    </row>
    <row r="9" spans="1:13" x14ac:dyDescent="0.3">
      <c r="A9" s="7" t="str">
        <v>Batrider</v>
      </c>
      <c r="B9" s="6">
        <f>COUNTIFS([2]!pick_bans[hero_name],A9,[2]!pick_bans[is_pick],TRUE)</f>
        <v>281</v>
      </c>
      <c r="C9" s="6">
        <f>COUNTIFS([2]!pick_bans[hero_name],A9,[2]!pick_bans[is_pick],FALSE)</f>
        <v>1455</v>
      </c>
      <c r="D9" s="8">
        <f t="shared" si="0"/>
        <v>5.6357801845166464E-2</v>
      </c>
      <c r="E9" s="9">
        <f t="shared" si="1"/>
        <v>0.29181708784596871</v>
      </c>
      <c r="F9">
        <f>COUNTIFS([3]!players[hero_name],A9,[3]!players[win],1)</f>
        <v>165</v>
      </c>
      <c r="G9" s="11">
        <f>F9/B9</f>
        <v>0.58718861209964412</v>
      </c>
      <c r="H9" s="12">
        <f t="shared" si="3"/>
        <v>0.38063802847260586</v>
      </c>
      <c r="I9" t="str">
        <f t="shared" si="4"/>
        <v>S</v>
      </c>
      <c r="L9" t="str">
        <f t="shared" si="5"/>
        <v>Shadow Fiend</v>
      </c>
      <c r="M9">
        <v>450</v>
      </c>
    </row>
    <row r="10" spans="1:13" x14ac:dyDescent="0.3">
      <c r="A10" s="5" t="str">
        <v>Beastmaster</v>
      </c>
      <c r="B10" s="6">
        <f>COUNTIFS([2]!pick_bans[hero_name],A10,[2]!pick_bans[is_pick],TRUE)</f>
        <v>416</v>
      </c>
      <c r="C10" s="6">
        <f>COUNTIFS([2]!pick_bans[hero_name],A10,[2]!pick_bans[is_pick],FALSE)</f>
        <v>1082</v>
      </c>
      <c r="D10" s="8">
        <f t="shared" si="0"/>
        <v>8.3433614119534691E-2</v>
      </c>
      <c r="E10" s="9">
        <f t="shared" si="1"/>
        <v>0.21700762133975129</v>
      </c>
      <c r="F10">
        <f>COUNTIFS([3]!players[hero_name],A10,[3]!players[win],1)</f>
        <v>208</v>
      </c>
      <c r="G10" s="11">
        <f t="shared" si="2"/>
        <v>0.5</v>
      </c>
      <c r="H10" s="12">
        <f t="shared" si="3"/>
        <v>0.32511030886482151</v>
      </c>
      <c r="I10" t="str">
        <f t="shared" si="4"/>
        <v>A</v>
      </c>
      <c r="L10" t="str">
        <f t="shared" si="5"/>
        <v>Disruptor</v>
      </c>
      <c r="M10">
        <v>447</v>
      </c>
    </row>
    <row r="11" spans="1:13" x14ac:dyDescent="0.3">
      <c r="A11" s="7" t="str">
        <v>Bloodseeker</v>
      </c>
      <c r="B11" s="6">
        <f>COUNTIFS([2]!pick_bans[hero_name],A11,[2]!pick_bans[is_pick],TRUE)</f>
        <v>21</v>
      </c>
      <c r="C11" s="6">
        <f>COUNTIFS([2]!pick_bans[hero_name],A11,[2]!pick_bans[is_pick],FALSE)</f>
        <v>72</v>
      </c>
      <c r="D11" s="8">
        <f t="shared" si="0"/>
        <v>4.2117930204572801E-3</v>
      </c>
      <c r="E11" s="9">
        <f t="shared" si="1"/>
        <v>1.444043321299639E-2</v>
      </c>
      <c r="F11">
        <f>COUNTIFS([3]!players[hero_name],A11,[3]!players[win],1)</f>
        <v>9</v>
      </c>
      <c r="G11" s="11">
        <f t="shared" si="2"/>
        <v>0.42857142857142855</v>
      </c>
      <c r="H11" s="12">
        <f t="shared" si="3"/>
        <v>0.21894877084407768</v>
      </c>
      <c r="I11" t="str">
        <f t="shared" si="4"/>
        <v>D</v>
      </c>
      <c r="L11" t="str">
        <f t="shared" si="5"/>
        <v>Lion</v>
      </c>
      <c r="M11">
        <v>437</v>
      </c>
    </row>
    <row r="12" spans="1:13" x14ac:dyDescent="0.3">
      <c r="A12" s="5" t="str">
        <v>Bounty Hunter</v>
      </c>
      <c r="B12" s="6">
        <f>COUNTIFS([2]!pick_bans[hero_name],A12,[2]!pick_bans[is_pick],TRUE)</f>
        <v>41</v>
      </c>
      <c r="C12" s="6">
        <f>COUNTIFS([2]!pick_bans[hero_name],A12,[2]!pick_bans[is_pick],FALSE)</f>
        <v>36</v>
      </c>
      <c r="D12" s="8">
        <f t="shared" si="0"/>
        <v>8.2230244685118324E-3</v>
      </c>
      <c r="E12" s="9">
        <f t="shared" si="1"/>
        <v>7.2202166064981952E-3</v>
      </c>
      <c r="F12">
        <f>COUNTIFS([3]!players[hero_name],A12,[3]!players[win],1)</f>
        <v>25</v>
      </c>
      <c r="G12" s="11">
        <f t="shared" si="2"/>
        <v>0.6097560975609756</v>
      </c>
      <c r="H12" s="12">
        <f t="shared" si="3"/>
        <v>0.30873885904924031</v>
      </c>
      <c r="I12" t="str">
        <f t="shared" si="4"/>
        <v>A</v>
      </c>
    </row>
    <row r="13" spans="1:13" x14ac:dyDescent="0.3">
      <c r="A13" s="7" t="str">
        <v>Brewmaster</v>
      </c>
      <c r="B13" s="6">
        <f>COUNTIFS([2]!pick_bans[hero_name],A13,[2]!pick_bans[is_pick],TRUE)</f>
        <v>117</v>
      </c>
      <c r="C13" s="6">
        <f>COUNTIFS([2]!pick_bans[hero_name],A13,[2]!pick_bans[is_pick],FALSE)</f>
        <v>402</v>
      </c>
      <c r="D13" s="8">
        <f t="shared" si="0"/>
        <v>2.3465703971119134E-2</v>
      </c>
      <c r="E13" s="9">
        <f t="shared" si="1"/>
        <v>8.0625752105896509E-2</v>
      </c>
      <c r="F13">
        <f>COUNTIFS([3]!players[hero_name],A13,[3]!players[win],1)</f>
        <v>50</v>
      </c>
      <c r="G13" s="11">
        <f t="shared" si="2"/>
        <v>0.42735042735042733</v>
      </c>
      <c r="H13" s="12">
        <f t="shared" si="3"/>
        <v>0.23969807769446758</v>
      </c>
      <c r="I13" t="str">
        <f t="shared" si="4"/>
        <v>C</v>
      </c>
    </row>
    <row r="14" spans="1:13" x14ac:dyDescent="0.3">
      <c r="A14" s="5" t="str">
        <v>Bristleback</v>
      </c>
      <c r="B14" s="6">
        <f>COUNTIFS([2]!pick_bans[hero_name],A14,[2]!pick_bans[is_pick],TRUE)</f>
        <v>374</v>
      </c>
      <c r="C14" s="6">
        <f>COUNTIFS([2]!pick_bans[hero_name],A14,[2]!pick_bans[is_pick],FALSE)</f>
        <v>581</v>
      </c>
      <c r="D14" s="8">
        <f t="shared" si="0"/>
        <v>7.5010028078620131E-2</v>
      </c>
      <c r="E14" s="9">
        <f t="shared" si="1"/>
        <v>0.11652627356598476</v>
      </c>
      <c r="F14">
        <f>COUNTIFS([3]!players[hero_name],A14,[3]!players[win],1)</f>
        <v>177</v>
      </c>
      <c r="G14" s="11">
        <f t="shared" si="2"/>
        <v>0.4732620320855615</v>
      </c>
      <c r="H14" s="12">
        <f t="shared" si="3"/>
        <v>0.28451509145393195</v>
      </c>
      <c r="I14" t="str">
        <f t="shared" si="4"/>
        <v>B</v>
      </c>
    </row>
    <row r="15" spans="1:13" x14ac:dyDescent="0.3">
      <c r="A15" s="7" t="str">
        <v>Broodmother</v>
      </c>
      <c r="B15" s="6">
        <f>COUNTIFS([2]!pick_bans[hero_name],A15,[2]!pick_bans[is_pick],TRUE)</f>
        <v>28</v>
      </c>
      <c r="C15" s="6">
        <f>COUNTIFS([2]!pick_bans[hero_name],A15,[2]!pick_bans[is_pick],FALSE)</f>
        <v>36</v>
      </c>
      <c r="D15" s="8">
        <f t="shared" si="0"/>
        <v>5.6157240272763738E-3</v>
      </c>
      <c r="E15" s="9">
        <f t="shared" si="1"/>
        <v>7.2202166064981952E-3</v>
      </c>
      <c r="F15">
        <f>COUNTIFS([3]!players[hero_name],A15,[3]!players[win],1)</f>
        <v>13</v>
      </c>
      <c r="G15" s="11">
        <f t="shared" si="2"/>
        <v>0.4642857142857143</v>
      </c>
      <c r="H15" s="12">
        <f t="shared" si="3"/>
        <v>0.2353518423013008</v>
      </c>
      <c r="I15" t="str">
        <f t="shared" si="4"/>
        <v>C</v>
      </c>
    </row>
    <row r="16" spans="1:13" x14ac:dyDescent="0.3">
      <c r="A16" s="5" t="str">
        <v>Centaur Warrunner</v>
      </c>
      <c r="B16" s="6">
        <f>COUNTIFS([2]!pick_bans[hero_name],A16,[2]!pick_bans[is_pick],TRUE)</f>
        <v>157</v>
      </c>
      <c r="C16" s="6">
        <f>COUNTIFS([2]!pick_bans[hero_name],A16,[2]!pick_bans[is_pick],FALSE)</f>
        <v>85</v>
      </c>
      <c r="D16" s="8">
        <f t="shared" si="0"/>
        <v>3.1488166867228239E-2</v>
      </c>
      <c r="E16" s="9">
        <f t="shared" si="1"/>
        <v>1.7047733654231848E-2</v>
      </c>
      <c r="F16">
        <f>COUNTIFS([3]!players[hero_name],A16,[3]!players[win],1)</f>
        <v>69</v>
      </c>
      <c r="G16" s="11">
        <f t="shared" si="2"/>
        <v>0.43949044585987262</v>
      </c>
      <c r="H16" s="12">
        <f t="shared" si="3"/>
        <v>0.23187919806030133</v>
      </c>
      <c r="I16" t="str">
        <f t="shared" si="4"/>
        <v>C</v>
      </c>
    </row>
    <row r="17" spans="1:9" x14ac:dyDescent="0.3">
      <c r="A17" s="7" t="str">
        <v>Chaos Knight</v>
      </c>
      <c r="B17" s="6">
        <f>COUNTIFS([2]!pick_bans[hero_name],A17,[2]!pick_bans[is_pick],TRUE)</f>
        <v>109</v>
      </c>
      <c r="C17" s="6">
        <f>COUNTIFS([2]!pick_bans[hero_name],A17,[2]!pick_bans[is_pick],FALSE)</f>
        <v>12</v>
      </c>
      <c r="D17" s="8">
        <f t="shared" si="0"/>
        <v>2.1861211391897312E-2</v>
      </c>
      <c r="E17" s="9">
        <f t="shared" si="1"/>
        <v>2.4067388688327317E-3</v>
      </c>
      <c r="F17">
        <f>COUNTIFS([3]!players[hero_name],A17,[3]!players[win],1)</f>
        <v>50</v>
      </c>
      <c r="G17" s="11">
        <f t="shared" si="2"/>
        <v>0.45871559633027525</v>
      </c>
      <c r="H17" s="12">
        <f t="shared" si="3"/>
        <v>0.23542478573032014</v>
      </c>
      <c r="I17" t="str">
        <f t="shared" si="4"/>
        <v>C</v>
      </c>
    </row>
    <row r="18" spans="1:9" x14ac:dyDescent="0.3">
      <c r="A18" s="5" t="str">
        <v>Chen</v>
      </c>
      <c r="B18" s="6">
        <f>COUNTIFS([2]!pick_bans[hero_name],A18,[2]!pick_bans[is_pick],TRUE)</f>
        <v>67</v>
      </c>
      <c r="C18" s="6">
        <f>COUNTIFS([2]!pick_bans[hero_name],A18,[2]!pick_bans[is_pick],FALSE)</f>
        <v>86</v>
      </c>
      <c r="D18" s="8">
        <f t="shared" si="0"/>
        <v>1.3437625350982751E-2</v>
      </c>
      <c r="E18" s="9">
        <f t="shared" si="1"/>
        <v>1.7248295226634576E-2</v>
      </c>
      <c r="F18">
        <f>COUNTIFS([3]!players[hero_name],A18,[3]!players[win],1)</f>
        <v>38</v>
      </c>
      <c r="G18" s="11">
        <f t="shared" si="2"/>
        <v>0.56716417910447758</v>
      </c>
      <c r="H18" s="12">
        <f t="shared" si="3"/>
        <v>0.29125356969664312</v>
      </c>
      <c r="I18" t="str">
        <f t="shared" si="4"/>
        <v>B</v>
      </c>
    </row>
    <row r="19" spans="1:9" x14ac:dyDescent="0.3">
      <c r="A19" s="7" t="str">
        <v>Clinkz</v>
      </c>
      <c r="B19" s="6">
        <f>COUNTIFS([2]!pick_bans[hero_name],A19,[2]!pick_bans[is_pick],TRUE)</f>
        <v>117</v>
      </c>
      <c r="C19" s="6">
        <f>COUNTIFS([2]!pick_bans[hero_name],A19,[2]!pick_bans[is_pick],FALSE)</f>
        <v>184</v>
      </c>
      <c r="D19" s="8">
        <f t="shared" si="0"/>
        <v>2.3465703971119134E-2</v>
      </c>
      <c r="E19" s="9">
        <f t="shared" si="1"/>
        <v>3.6903329322101885E-2</v>
      </c>
      <c r="F19">
        <f>COUNTIFS([3]!players[hero_name],A19,[3]!players[win],1)</f>
        <v>60</v>
      </c>
      <c r="G19" s="11">
        <f t="shared" si="2"/>
        <v>0.51282051282051277</v>
      </c>
      <c r="H19" s="12">
        <f t="shared" si="3"/>
        <v>0.27150251473356163</v>
      </c>
      <c r="I19" t="str">
        <f t="shared" si="4"/>
        <v>B</v>
      </c>
    </row>
    <row r="20" spans="1:9" x14ac:dyDescent="0.3">
      <c r="A20" s="5" t="str">
        <v>Clockwerk</v>
      </c>
      <c r="B20" s="6">
        <f>COUNTIFS([2]!pick_bans[hero_name],A20,[2]!pick_bans[is_pick],TRUE)</f>
        <v>123</v>
      </c>
      <c r="C20" s="6">
        <f>COUNTIFS([2]!pick_bans[hero_name],A20,[2]!pick_bans[is_pick],FALSE)</f>
        <v>57</v>
      </c>
      <c r="D20" s="8">
        <f t="shared" si="0"/>
        <v>2.4669073405535501E-2</v>
      </c>
      <c r="E20" s="9">
        <f t="shared" si="1"/>
        <v>1.1432009626955475E-2</v>
      </c>
      <c r="F20">
        <f>COUNTIFS([3]!players[hero_name],A20,[3]!players[win],1)</f>
        <v>69</v>
      </c>
      <c r="G20" s="11">
        <f t="shared" si="2"/>
        <v>0.56097560975609762</v>
      </c>
      <c r="H20" s="12">
        <f t="shared" si="3"/>
        <v>0.28951307563617157</v>
      </c>
      <c r="I20" t="str">
        <f t="shared" si="4"/>
        <v>B</v>
      </c>
    </row>
    <row r="21" spans="1:9" x14ac:dyDescent="0.3">
      <c r="A21" s="7" t="str">
        <v>Crystal Maiden</v>
      </c>
      <c r="B21" s="6">
        <f>COUNTIFS([2]!pick_bans[hero_name],A21,[2]!pick_bans[is_pick],TRUE)</f>
        <v>194</v>
      </c>
      <c r="C21" s="6">
        <f>COUNTIFS([2]!pick_bans[hero_name],A21,[2]!pick_bans[is_pick],FALSE)</f>
        <v>16</v>
      </c>
      <c r="D21" s="8">
        <f t="shared" si="0"/>
        <v>3.8908945046129163E-2</v>
      </c>
      <c r="E21" s="9">
        <f t="shared" si="1"/>
        <v>3.208985158443642E-3</v>
      </c>
      <c r="F21">
        <f>COUNTIFS([3]!players[hero_name],A21,[3]!players[win],1)</f>
        <v>104</v>
      </c>
      <c r="G21" s="11">
        <f t="shared" si="2"/>
        <v>0.53608247422680411</v>
      </c>
      <c r="H21" s="12">
        <f t="shared" si="3"/>
        <v>0.27857071966454522</v>
      </c>
      <c r="I21" t="str">
        <f t="shared" si="4"/>
        <v>B</v>
      </c>
    </row>
    <row r="22" spans="1:9" x14ac:dyDescent="0.3">
      <c r="A22" s="5" t="str">
        <v>Dark Seer</v>
      </c>
      <c r="B22" s="6">
        <f>COUNTIFS([2]!pick_bans[hero_name],A22,[2]!pick_bans[is_pick],TRUE)</f>
        <v>46</v>
      </c>
      <c r="C22" s="6">
        <f>COUNTIFS([2]!pick_bans[hero_name],A22,[2]!pick_bans[is_pick],FALSE)</f>
        <v>69</v>
      </c>
      <c r="D22" s="8">
        <f t="shared" si="0"/>
        <v>9.2258323305254714E-3</v>
      </c>
      <c r="E22" s="9">
        <f t="shared" si="1"/>
        <v>1.3838748495788207E-2</v>
      </c>
      <c r="F22">
        <f>COUNTIFS([3]!players[hero_name],A22,[3]!players[win],1)</f>
        <v>18</v>
      </c>
      <c r="G22" s="11">
        <f t="shared" si="2"/>
        <v>0.39130434782608697</v>
      </c>
      <c r="H22" s="12">
        <f t="shared" si="3"/>
        <v>0.20141831911962191</v>
      </c>
      <c r="I22" t="str">
        <f t="shared" si="4"/>
        <v>D</v>
      </c>
    </row>
    <row r="23" spans="1:9" x14ac:dyDescent="0.3">
      <c r="A23" s="7" t="str">
        <v>Dark Willow</v>
      </c>
      <c r="B23" s="6">
        <f>COUNTIFS([2]!pick_bans[hero_name],A23,[2]!pick_bans[is_pick],TRUE)</f>
        <v>147</v>
      </c>
      <c r="C23" s="6">
        <f>COUNTIFS([2]!pick_bans[hero_name],A23,[2]!pick_bans[is_pick],FALSE)</f>
        <v>67</v>
      </c>
      <c r="D23" s="8">
        <f t="shared" si="0"/>
        <v>2.9482551143200964E-2</v>
      </c>
      <c r="E23" s="9">
        <f t="shared" si="1"/>
        <v>1.3437625350982751E-2</v>
      </c>
      <c r="F23">
        <f>COUNTIFS([3]!players[hero_name],A23,[3]!players[win],1)</f>
        <v>59</v>
      </c>
      <c r="G23" s="11">
        <f t="shared" si="2"/>
        <v>0.40136054421768708</v>
      </c>
      <c r="H23" s="12">
        <f t="shared" si="3"/>
        <v>0.21141031623238948</v>
      </c>
      <c r="I23" t="str">
        <f t="shared" si="4"/>
        <v>D</v>
      </c>
    </row>
    <row r="24" spans="1:9" x14ac:dyDescent="0.3">
      <c r="A24" s="5" t="str">
        <v>Dawnbreaker</v>
      </c>
      <c r="B24" s="6">
        <f>COUNTIFS([2]!pick_bans[hero_name],A24,[2]!pick_bans[is_pick],TRUE)</f>
        <v>257</v>
      </c>
      <c r="C24" s="6">
        <f>COUNTIFS([2]!pick_bans[hero_name],A24,[2]!pick_bans[is_pick],FALSE)</f>
        <v>232</v>
      </c>
      <c r="D24" s="8">
        <f t="shared" si="0"/>
        <v>5.1544324107501004E-2</v>
      </c>
      <c r="E24" s="9">
        <f t="shared" si="1"/>
        <v>4.6530284797432812E-2</v>
      </c>
      <c r="F24">
        <f>COUNTIFS([3]!players[hero_name],A24,[3]!players[win],1)</f>
        <v>130</v>
      </c>
      <c r="G24" s="11">
        <f t="shared" si="2"/>
        <v>0.50583657587548636</v>
      </c>
      <c r="H24" s="12">
        <f t="shared" si="3"/>
        <v>0.27743694016397663</v>
      </c>
      <c r="I24" t="str">
        <f t="shared" si="4"/>
        <v>B</v>
      </c>
    </row>
    <row r="25" spans="1:9" x14ac:dyDescent="0.3">
      <c r="A25" s="7" t="str">
        <v>Dazzle</v>
      </c>
      <c r="B25" s="6">
        <f>COUNTIFS([2]!pick_bans[hero_name],A25,[2]!pick_bans[is_pick],TRUE)</f>
        <v>77</v>
      </c>
      <c r="C25" s="6">
        <f>COUNTIFS([2]!pick_bans[hero_name],A25,[2]!pick_bans[is_pick],FALSE)</f>
        <v>164</v>
      </c>
      <c r="D25" s="8">
        <f t="shared" si="0"/>
        <v>1.5443241075010028E-2</v>
      </c>
      <c r="E25" s="9">
        <f t="shared" si="1"/>
        <v>3.289209787404733E-2</v>
      </c>
      <c r="F25">
        <f>COUNTIFS([3]!players[hero_name],A25,[3]!players[win],1)</f>
        <v>37</v>
      </c>
      <c r="G25" s="11">
        <f t="shared" si="2"/>
        <v>0.48051948051948051</v>
      </c>
      <c r="H25" s="12">
        <f t="shared" si="3"/>
        <v>0.2523435749970046</v>
      </c>
      <c r="I25" t="str">
        <f t="shared" si="4"/>
        <v>C</v>
      </c>
    </row>
    <row r="26" spans="1:9" x14ac:dyDescent="0.3">
      <c r="A26" s="5" t="str">
        <v>Death Prophet</v>
      </c>
      <c r="B26" s="6">
        <f>COUNTIFS([2]!pick_bans[hero_name],A26,[2]!pick_bans[is_pick],TRUE)</f>
        <v>107</v>
      </c>
      <c r="C26" s="6">
        <f>COUNTIFS([2]!pick_bans[hero_name],A26,[2]!pick_bans[is_pick],FALSE)</f>
        <v>284</v>
      </c>
      <c r="D26" s="8">
        <f t="shared" si="0"/>
        <v>2.1460088247091856E-2</v>
      </c>
      <c r="E26" s="9">
        <f t="shared" si="1"/>
        <v>5.695948656237465E-2</v>
      </c>
      <c r="F26">
        <f>COUNTIFS([3]!players[hero_name],A26,[3]!players[win],1)</f>
        <v>56</v>
      </c>
      <c r="G26" s="11">
        <f t="shared" si="2"/>
        <v>0.52336448598130836</v>
      </c>
      <c r="H26" s="12">
        <f t="shared" si="3"/>
        <v>0.2812871366930208</v>
      </c>
      <c r="I26" t="str">
        <f t="shared" si="4"/>
        <v>B</v>
      </c>
    </row>
    <row r="27" spans="1:9" x14ac:dyDescent="0.3">
      <c r="A27" s="7" t="str">
        <v>Disruptor</v>
      </c>
      <c r="B27" s="6">
        <f>COUNTIFS([2]!pick_bans[hero_name],A27,[2]!pick_bans[is_pick],TRUE)</f>
        <v>447</v>
      </c>
      <c r="C27" s="6">
        <f>COUNTIFS([2]!pick_bans[hero_name],A27,[2]!pick_bans[is_pick],FALSE)</f>
        <v>165</v>
      </c>
      <c r="D27" s="8">
        <f t="shared" si="0"/>
        <v>8.9651022864019256E-2</v>
      </c>
      <c r="E27" s="9">
        <f t="shared" si="1"/>
        <v>3.3092659446450061E-2</v>
      </c>
      <c r="F27">
        <f>COUNTIFS([3]!players[hero_name],A27,[3]!players[win],1)</f>
        <v>206</v>
      </c>
      <c r="G27" s="11">
        <f t="shared" si="2"/>
        <v>0.46085011185682329</v>
      </c>
      <c r="H27" s="12">
        <f t="shared" si="3"/>
        <v>0.26111097650602894</v>
      </c>
      <c r="I27" t="str">
        <f t="shared" si="4"/>
        <v>C</v>
      </c>
    </row>
    <row r="28" spans="1:9" x14ac:dyDescent="0.3">
      <c r="A28" s="5" t="str">
        <v>Doom</v>
      </c>
      <c r="B28" s="6">
        <f>COUNTIFS([2]!pick_bans[hero_name],A28,[2]!pick_bans[is_pick],TRUE)</f>
        <v>322</v>
      </c>
      <c r="C28" s="6">
        <f>COUNTIFS([2]!pick_bans[hero_name],A28,[2]!pick_bans[is_pick],FALSE)</f>
        <v>921</v>
      </c>
      <c r="D28" s="8">
        <f t="shared" si="0"/>
        <v>6.45808263136783E-2</v>
      </c>
      <c r="E28" s="9">
        <f t="shared" si="1"/>
        <v>0.18471720818291215</v>
      </c>
      <c r="F28">
        <f>COUNTIFS([3]!players[hero_name],A28,[3]!players[win],1)</f>
        <v>170</v>
      </c>
      <c r="G28" s="11">
        <f t="shared" si="2"/>
        <v>0.52795031055900621</v>
      </c>
      <c r="H28" s="12">
        <f t="shared" si="3"/>
        <v>0.32629966390365073</v>
      </c>
      <c r="I28" t="str">
        <f t="shared" si="4"/>
        <v>A</v>
      </c>
    </row>
    <row r="29" spans="1:9" x14ac:dyDescent="0.3">
      <c r="A29" s="7" t="str">
        <v>Dragon Knight</v>
      </c>
      <c r="B29" s="6">
        <f>COUNTIFS([2]!pick_bans[hero_name],A29,[2]!pick_bans[is_pick],TRUE)</f>
        <v>129</v>
      </c>
      <c r="C29" s="6">
        <f>COUNTIFS([2]!pick_bans[hero_name],A29,[2]!pick_bans[is_pick],FALSE)</f>
        <v>49</v>
      </c>
      <c r="D29" s="8">
        <f t="shared" si="0"/>
        <v>2.5872442839951864E-2</v>
      </c>
      <c r="E29" s="9">
        <f t="shared" si="1"/>
        <v>9.8275170477336547E-3</v>
      </c>
      <c r="F29">
        <f>COUNTIFS([3]!players[hero_name],A29,[3]!players[win],1)</f>
        <v>67</v>
      </c>
      <c r="G29" s="11">
        <f t="shared" si="2"/>
        <v>0.51937984496124034</v>
      </c>
      <c r="H29" s="12">
        <f t="shared" si="3"/>
        <v>0.26861491245254154</v>
      </c>
      <c r="I29" t="str">
        <f t="shared" si="4"/>
        <v>C</v>
      </c>
    </row>
    <row r="30" spans="1:9" x14ac:dyDescent="0.3">
      <c r="A30" s="5" t="str">
        <v>Drow Ranger</v>
      </c>
      <c r="B30" s="6">
        <f>COUNTIFS([2]!pick_bans[hero_name],A30,[2]!pick_bans[is_pick],TRUE)</f>
        <v>60</v>
      </c>
      <c r="C30" s="6">
        <f>COUNTIFS([2]!pick_bans[hero_name],A30,[2]!pick_bans[is_pick],FALSE)</f>
        <v>127</v>
      </c>
      <c r="D30" s="8">
        <f t="shared" si="0"/>
        <v>1.2033694344163659E-2</v>
      </c>
      <c r="E30" s="9">
        <f t="shared" si="1"/>
        <v>2.5471319695146408E-2</v>
      </c>
      <c r="F30">
        <f>COUNTIFS([3]!players[hero_name],A30,[3]!players[win],1)</f>
        <v>25</v>
      </c>
      <c r="G30" s="11">
        <f t="shared" si="2"/>
        <v>0.41666666666666669</v>
      </c>
      <c r="H30" s="12">
        <f t="shared" si="3"/>
        <v>0.21770958684316086</v>
      </c>
      <c r="I30" t="str">
        <f t="shared" si="4"/>
        <v>D</v>
      </c>
    </row>
    <row r="31" spans="1:9" x14ac:dyDescent="0.3">
      <c r="A31" s="7" t="str">
        <v>Earth Spirit</v>
      </c>
      <c r="B31" s="6">
        <f>COUNTIFS([2]!pick_bans[hero_name],A31,[2]!pick_bans[is_pick],TRUE)</f>
        <v>86</v>
      </c>
      <c r="C31" s="6">
        <f>COUNTIFS([2]!pick_bans[hero_name],A31,[2]!pick_bans[is_pick],FALSE)</f>
        <v>37</v>
      </c>
      <c r="D31" s="8">
        <f t="shared" si="0"/>
        <v>1.7248295226634576E-2</v>
      </c>
      <c r="E31" s="9">
        <f t="shared" si="1"/>
        <v>7.420778178900923E-3</v>
      </c>
      <c r="F31">
        <f>COUNTIFS([3]!players[hero_name],A31,[3]!players[win],1)</f>
        <v>43</v>
      </c>
      <c r="G31" s="11">
        <f t="shared" si="2"/>
        <v>0.5</v>
      </c>
      <c r="H31" s="12">
        <f t="shared" si="3"/>
        <v>0.25616726835138387</v>
      </c>
      <c r="I31" t="str">
        <f t="shared" si="4"/>
        <v>C</v>
      </c>
    </row>
    <row r="32" spans="1:9" x14ac:dyDescent="0.3">
      <c r="A32" s="5" t="str">
        <v>Earthshaker</v>
      </c>
      <c r="B32" s="6">
        <f>COUNTIFS([2]!pick_bans[hero_name],A32,[2]!pick_bans[is_pick],TRUE)</f>
        <v>46</v>
      </c>
      <c r="C32" s="6">
        <f>COUNTIFS([2]!pick_bans[hero_name],A32,[2]!pick_bans[is_pick],FALSE)</f>
        <v>21</v>
      </c>
      <c r="D32" s="8">
        <f t="shared" si="0"/>
        <v>9.2258323305254714E-3</v>
      </c>
      <c r="E32" s="9">
        <f t="shared" si="1"/>
        <v>4.2117930204572801E-3</v>
      </c>
      <c r="F32">
        <f>COUNTIFS([3]!players[hero_name],A32,[3]!players[win],1)</f>
        <v>19</v>
      </c>
      <c r="G32" s="11">
        <f t="shared" si="2"/>
        <v>0.41304347826086957</v>
      </c>
      <c r="H32" s="12">
        <f t="shared" si="3"/>
        <v>0.20988114546818046</v>
      </c>
      <c r="I32" t="str">
        <f t="shared" si="4"/>
        <v>D</v>
      </c>
    </row>
    <row r="33" spans="1:9" x14ac:dyDescent="0.3">
      <c r="A33" s="7" t="str">
        <v>Elder Titan</v>
      </c>
      <c r="B33" s="6">
        <f>COUNTIFS([2]!pick_bans[hero_name],A33,[2]!pick_bans[is_pick],TRUE)</f>
        <v>16</v>
      </c>
      <c r="C33" s="6">
        <f>COUNTIFS([2]!pick_bans[hero_name],A33,[2]!pick_bans[is_pick],FALSE)</f>
        <v>7</v>
      </c>
      <c r="D33" s="8">
        <f t="shared" si="0"/>
        <v>3.208985158443642E-3</v>
      </c>
      <c r="E33" s="9">
        <f t="shared" si="1"/>
        <v>1.4039310068190934E-3</v>
      </c>
      <c r="F33">
        <f>COUNTIFS([3]!players[hero_name],A33,[3]!players[win],1)</f>
        <v>4</v>
      </c>
      <c r="G33" s="11">
        <f t="shared" si="2"/>
        <v>0.25</v>
      </c>
      <c r="H33" s="12">
        <f t="shared" si="3"/>
        <v>0.12615322904131568</v>
      </c>
      <c r="I33" t="str">
        <f t="shared" si="4"/>
        <v>D</v>
      </c>
    </row>
    <row r="34" spans="1:9" x14ac:dyDescent="0.3">
      <c r="A34" s="5" t="str">
        <v>Ember Spirit</v>
      </c>
      <c r="B34" s="6">
        <f>COUNTIFS([2]!pick_bans[hero_name],A34,[2]!pick_bans[is_pick],TRUE)</f>
        <v>403</v>
      </c>
      <c r="C34" s="6">
        <f>COUNTIFS([2]!pick_bans[hero_name],A34,[2]!pick_bans[is_pick],FALSE)</f>
        <v>492</v>
      </c>
      <c r="D34" s="8">
        <f t="shared" si="0"/>
        <v>8.0826313678299233E-2</v>
      </c>
      <c r="E34" s="9">
        <f t="shared" si="1"/>
        <v>9.8676293622142003E-2</v>
      </c>
      <c r="F34">
        <f>COUNTIFS([3]!players[hero_name],A34,[3]!players[win],1)</f>
        <v>200</v>
      </c>
      <c r="G34" s="11">
        <f t="shared" si="2"/>
        <v>0.49627791563275436</v>
      </c>
      <c r="H34" s="12">
        <f t="shared" si="3"/>
        <v>0.29301460964148746</v>
      </c>
      <c r="I34" t="str">
        <f t="shared" si="4"/>
        <v>B</v>
      </c>
    </row>
    <row r="35" spans="1:9" x14ac:dyDescent="0.3">
      <c r="A35" s="7" t="str">
        <v>Enchantress</v>
      </c>
      <c r="B35" s="6">
        <f>COUNTIFS([2]!pick_bans[hero_name],A35,[2]!pick_bans[is_pick],TRUE)</f>
        <v>219</v>
      </c>
      <c r="C35" s="6">
        <f>COUNTIFS([2]!pick_bans[hero_name],A35,[2]!pick_bans[is_pick],FALSE)</f>
        <v>216</v>
      </c>
      <c r="D35" s="8">
        <f t="shared" si="0"/>
        <v>4.3922984356197355E-2</v>
      </c>
      <c r="E35" s="9">
        <f t="shared" si="1"/>
        <v>4.3321299638989168E-2</v>
      </c>
      <c r="F35">
        <f>COUNTIFS([3]!players[hero_name],A35,[3]!players[win],1)</f>
        <v>113</v>
      </c>
      <c r="G35" s="11">
        <f t="shared" si="2"/>
        <v>0.51598173515981738</v>
      </c>
      <c r="H35" s="12">
        <f t="shared" si="3"/>
        <v>0.27980193857870533</v>
      </c>
      <c r="I35" t="str">
        <f t="shared" si="4"/>
        <v>B</v>
      </c>
    </row>
    <row r="36" spans="1:9" x14ac:dyDescent="0.3">
      <c r="A36" s="5" t="str">
        <v>Enigma</v>
      </c>
      <c r="B36" s="6">
        <f>COUNTIFS([2]!pick_bans[hero_name],A36,[2]!pick_bans[is_pick],TRUE)</f>
        <v>32</v>
      </c>
      <c r="C36" s="6">
        <f>COUNTIFS([2]!pick_bans[hero_name],A36,[2]!pick_bans[is_pick],FALSE)</f>
        <v>210</v>
      </c>
      <c r="D36" s="8">
        <f t="shared" si="0"/>
        <v>6.417970316887284E-3</v>
      </c>
      <c r="E36" s="9">
        <f t="shared" si="1"/>
        <v>4.2117930204572801E-2</v>
      </c>
      <c r="F36">
        <f>COUNTIFS([3]!players[hero_name],A36,[3]!players[win],1)</f>
        <v>21</v>
      </c>
      <c r="G36" s="11">
        <f t="shared" si="2"/>
        <v>0.65625</v>
      </c>
      <c r="H36" s="12">
        <f t="shared" si="3"/>
        <v>0.34025897513036502</v>
      </c>
      <c r="I36" t="str">
        <f t="shared" si="4"/>
        <v>A</v>
      </c>
    </row>
    <row r="37" spans="1:9" x14ac:dyDescent="0.3">
      <c r="A37" s="7" t="str">
        <v>Faceless Void</v>
      </c>
      <c r="B37" s="6">
        <f>COUNTIFS([2]!pick_bans[hero_name],A37,[2]!pick_bans[is_pick],TRUE)</f>
        <v>145</v>
      </c>
      <c r="C37" s="6">
        <f>COUNTIFS([2]!pick_bans[hero_name],A37,[2]!pick_bans[is_pick],FALSE)</f>
        <v>221</v>
      </c>
      <c r="D37" s="8">
        <f t="shared" si="0"/>
        <v>2.9081427998395509E-2</v>
      </c>
      <c r="E37" s="9">
        <f t="shared" si="1"/>
        <v>4.432410750100281E-2</v>
      </c>
      <c r="F37">
        <f>COUNTIFS([3]!players[hero_name],A37,[3]!players[win],1)</f>
        <v>71</v>
      </c>
      <c r="G37" s="11">
        <f t="shared" si="2"/>
        <v>0.48965517241379308</v>
      </c>
      <c r="H37" s="12">
        <f t="shared" si="3"/>
        <v>0.26317897008174612</v>
      </c>
      <c r="I37" t="str">
        <f t="shared" si="4"/>
        <v>C</v>
      </c>
    </row>
    <row r="38" spans="1:9" x14ac:dyDescent="0.3">
      <c r="A38" s="5" t="str">
        <v>Grimstroke</v>
      </c>
      <c r="B38" s="6">
        <f>COUNTIFS([2]!pick_bans[hero_name],A38,[2]!pick_bans[is_pick],TRUE)</f>
        <v>232</v>
      </c>
      <c r="C38" s="6">
        <f>COUNTIFS([2]!pick_bans[hero_name],A38,[2]!pick_bans[is_pick],FALSE)</f>
        <v>113</v>
      </c>
      <c r="D38" s="8">
        <f t="shared" si="0"/>
        <v>4.6530284797432812E-2</v>
      </c>
      <c r="E38" s="9">
        <f t="shared" si="1"/>
        <v>2.2663457681508223E-2</v>
      </c>
      <c r="F38">
        <f>COUNTIFS([3]!players[hero_name],A38,[3]!players[win],1)</f>
        <v>118</v>
      </c>
      <c r="G38" s="11">
        <f t="shared" si="2"/>
        <v>0.50862068965517238</v>
      </c>
      <c r="H38" s="12">
        <f t="shared" si="3"/>
        <v>0.2716087804473214</v>
      </c>
      <c r="I38" t="str">
        <f t="shared" si="4"/>
        <v>B</v>
      </c>
    </row>
    <row r="39" spans="1:9" x14ac:dyDescent="0.3">
      <c r="A39" s="7" t="str">
        <v>Gyrocopter</v>
      </c>
      <c r="B39" s="6">
        <f>COUNTIFS([2]!pick_bans[hero_name],A39,[2]!pick_bans[is_pick],TRUE)</f>
        <v>134</v>
      </c>
      <c r="C39" s="6">
        <f>COUNTIFS([2]!pick_bans[hero_name],A39,[2]!pick_bans[is_pick],FALSE)</f>
        <v>94</v>
      </c>
      <c r="D39" s="8">
        <f t="shared" si="0"/>
        <v>2.6875250701965503E-2</v>
      </c>
      <c r="E39" s="9">
        <f t="shared" si="1"/>
        <v>1.8852787805856398E-2</v>
      </c>
      <c r="F39">
        <f>COUNTIFS([3]!players[hero_name],A39,[3]!players[win],1)</f>
        <v>63</v>
      </c>
      <c r="G39" s="11">
        <f t="shared" si="2"/>
        <v>0.47014925373134331</v>
      </c>
      <c r="H39" s="12">
        <f t="shared" si="3"/>
        <v>0.24650663649262713</v>
      </c>
      <c r="I39" t="str">
        <f t="shared" si="4"/>
        <v>C</v>
      </c>
    </row>
    <row r="40" spans="1:9" x14ac:dyDescent="0.3">
      <c r="A40" s="5" t="str">
        <v>Hoodwink</v>
      </c>
      <c r="B40" s="6">
        <f>COUNTIFS([2]!pick_bans[hero_name],A40,[2]!pick_bans[is_pick],TRUE)</f>
        <v>542</v>
      </c>
      <c r="C40" s="6">
        <f>COUNTIFS([2]!pick_bans[hero_name],A40,[2]!pick_bans[is_pick],FALSE)</f>
        <v>294</v>
      </c>
      <c r="D40" s="8">
        <f t="shared" si="0"/>
        <v>0.10870437224227839</v>
      </c>
      <c r="E40" s="9">
        <f t="shared" si="1"/>
        <v>5.8965102286401928E-2</v>
      </c>
      <c r="F40">
        <f>COUNTIFS([3]!players[hero_name],A40,[3]!players[win],1)</f>
        <v>285</v>
      </c>
      <c r="G40" s="11">
        <f t="shared" si="2"/>
        <v>0.52583025830258301</v>
      </c>
      <c r="H40" s="12">
        <f t="shared" si="3"/>
        <v>0.30483249778346161</v>
      </c>
      <c r="I40" t="str">
        <f t="shared" si="4"/>
        <v>A</v>
      </c>
    </row>
    <row r="41" spans="1:9" x14ac:dyDescent="0.3">
      <c r="A41" s="7" t="str">
        <v>Huskar</v>
      </c>
      <c r="B41" s="6">
        <f>COUNTIFS([2]!pick_bans[hero_name],A41,[2]!pick_bans[is_pick],TRUE)</f>
        <v>110</v>
      </c>
      <c r="C41" s="6">
        <f>COUNTIFS([2]!pick_bans[hero_name],A41,[2]!pick_bans[is_pick],FALSE)</f>
        <v>565</v>
      </c>
      <c r="D41" s="8">
        <f t="shared" si="0"/>
        <v>2.2061772964300039E-2</v>
      </c>
      <c r="E41" s="9">
        <f t="shared" si="1"/>
        <v>0.11331728840754111</v>
      </c>
      <c r="F41">
        <f>COUNTIFS([3]!players[hero_name],A41,[3]!players[win],1)</f>
        <v>68</v>
      </c>
      <c r="G41" s="11">
        <f t="shared" si="2"/>
        <v>0.61818181818181817</v>
      </c>
      <c r="H41" s="12">
        <f t="shared" si="3"/>
        <v>0.34293567443386935</v>
      </c>
      <c r="I41" t="str">
        <f t="shared" si="4"/>
        <v>A</v>
      </c>
    </row>
    <row r="42" spans="1:9" x14ac:dyDescent="0.3">
      <c r="A42" s="5" t="str">
        <v>Invoker</v>
      </c>
      <c r="B42" s="6">
        <f>COUNTIFS([2]!pick_bans[hero_name],A42,[2]!pick_bans[is_pick],TRUE)</f>
        <v>220</v>
      </c>
      <c r="C42" s="6">
        <f>COUNTIFS([2]!pick_bans[hero_name],A42,[2]!pick_bans[is_pick],FALSE)</f>
        <v>202</v>
      </c>
      <c r="D42" s="8">
        <f t="shared" si="0"/>
        <v>4.4123545928600079E-2</v>
      </c>
      <c r="E42" s="9">
        <f t="shared" si="1"/>
        <v>4.0513437625350986E-2</v>
      </c>
      <c r="F42">
        <f>COUNTIFS([3]!players[hero_name],A42,[3]!players[win],1)</f>
        <v>102</v>
      </c>
      <c r="G42" s="11">
        <f t="shared" si="2"/>
        <v>0.46363636363636362</v>
      </c>
      <c r="H42" s="12">
        <f t="shared" si="3"/>
        <v>0.25297742770666959</v>
      </c>
      <c r="I42" t="str">
        <f t="shared" si="4"/>
        <v>C</v>
      </c>
    </row>
    <row r="43" spans="1:9" x14ac:dyDescent="0.3">
      <c r="A43" s="7" t="str">
        <v>Io</v>
      </c>
      <c r="B43" s="6">
        <f>COUNTIFS([2]!pick_bans[hero_name],A43,[2]!pick_bans[is_pick],TRUE)</f>
        <v>139</v>
      </c>
      <c r="C43" s="6">
        <f>COUNTIFS([2]!pick_bans[hero_name],A43,[2]!pick_bans[is_pick],FALSE)</f>
        <v>394</v>
      </c>
      <c r="D43" s="8">
        <f t="shared" si="0"/>
        <v>2.7878058563979142E-2</v>
      </c>
      <c r="E43" s="9">
        <f t="shared" si="1"/>
        <v>7.9021259526674686E-2</v>
      </c>
      <c r="F43">
        <f>COUNTIFS([3]!players[hero_name],A43,[3]!players[win],1)</f>
        <v>77</v>
      </c>
      <c r="G43" s="11">
        <f t="shared" si="2"/>
        <v>0.5539568345323741</v>
      </c>
      <c r="H43" s="12">
        <f t="shared" si="3"/>
        <v>0.30370324678885047</v>
      </c>
      <c r="I43" t="str">
        <f t="shared" si="4"/>
        <v>A</v>
      </c>
    </row>
    <row r="44" spans="1:9" x14ac:dyDescent="0.3">
      <c r="A44" s="5" t="str">
        <v>Jakiro</v>
      </c>
      <c r="B44" s="6">
        <f>COUNTIFS([2]!pick_bans[hero_name],A44,[2]!pick_bans[is_pick],TRUE)</f>
        <v>428</v>
      </c>
      <c r="C44" s="6">
        <f>COUNTIFS([2]!pick_bans[hero_name],A44,[2]!pick_bans[is_pick],FALSE)</f>
        <v>181</v>
      </c>
      <c r="D44" s="8">
        <f t="shared" si="0"/>
        <v>8.5840352988367424E-2</v>
      </c>
      <c r="E44" s="9">
        <f t="shared" si="1"/>
        <v>3.6301644604893706E-2</v>
      </c>
      <c r="F44">
        <f>COUNTIFS([3]!players[hero_name],A44,[3]!players[win],1)</f>
        <v>215</v>
      </c>
      <c r="G44" s="11">
        <f t="shared" si="2"/>
        <v>0.50233644859813087</v>
      </c>
      <c r="H44" s="12">
        <f t="shared" si="3"/>
        <v>0.28170372369738067</v>
      </c>
      <c r="I44" t="str">
        <f t="shared" si="4"/>
        <v>B</v>
      </c>
    </row>
    <row r="45" spans="1:9" x14ac:dyDescent="0.3">
      <c r="A45" s="7" t="str">
        <v>Juggernaut</v>
      </c>
      <c r="B45" s="6">
        <f>COUNTIFS([2]!pick_bans[hero_name],A45,[2]!pick_bans[is_pick],TRUE)</f>
        <v>89</v>
      </c>
      <c r="C45" s="6">
        <f>COUNTIFS([2]!pick_bans[hero_name],A45,[2]!pick_bans[is_pick],FALSE)</f>
        <v>65</v>
      </c>
      <c r="D45" s="8">
        <f t="shared" si="0"/>
        <v>1.7849979943842759E-2</v>
      </c>
      <c r="E45" s="9">
        <f t="shared" si="1"/>
        <v>1.3036502206177296E-2</v>
      </c>
      <c r="F45">
        <f>COUNTIFS([3]!players[hero_name],A45,[3]!players[win],1)</f>
        <v>53</v>
      </c>
      <c r="G45" s="11">
        <f t="shared" si="2"/>
        <v>0.5955056179775281</v>
      </c>
      <c r="H45" s="12">
        <f t="shared" si="3"/>
        <v>0.30547442952626908</v>
      </c>
      <c r="I45" t="str">
        <f t="shared" si="4"/>
        <v>A</v>
      </c>
    </row>
    <row r="46" spans="1:9" x14ac:dyDescent="0.3">
      <c r="A46" s="5" t="str">
        <v>Keeper of the Light</v>
      </c>
      <c r="B46" s="6">
        <f>COUNTIFS([2]!pick_bans[hero_name],A46,[2]!pick_bans[is_pick],TRUE)</f>
        <v>168</v>
      </c>
      <c r="C46" s="6">
        <f>COUNTIFS([2]!pick_bans[hero_name],A46,[2]!pick_bans[is_pick],FALSE)</f>
        <v>279</v>
      </c>
      <c r="D46" s="8">
        <f t="shared" si="0"/>
        <v>3.3694344163658241E-2</v>
      </c>
      <c r="E46" s="9">
        <f t="shared" si="1"/>
        <v>5.5956678700361008E-2</v>
      </c>
      <c r="F46">
        <f>COUNTIFS([3]!players[hero_name],A46,[3]!players[win],1)</f>
        <v>90</v>
      </c>
      <c r="G46" s="11">
        <f t="shared" si="2"/>
        <v>0.5357142857142857</v>
      </c>
      <c r="H46" s="12">
        <f t="shared" si="3"/>
        <v>0.29026989857314767</v>
      </c>
      <c r="I46" t="str">
        <f t="shared" si="4"/>
        <v>B</v>
      </c>
    </row>
    <row r="47" spans="1:9" x14ac:dyDescent="0.3">
      <c r="A47" s="7" t="str">
        <v>Kez</v>
      </c>
      <c r="B47" s="6">
        <f>COUNTIFS([2]!pick_bans[hero_name],A47,[2]!pick_bans[is_pick],TRUE)</f>
        <v>159</v>
      </c>
      <c r="C47" s="6">
        <f>COUNTIFS([2]!pick_bans[hero_name],A47,[2]!pick_bans[is_pick],FALSE)</f>
        <v>312</v>
      </c>
      <c r="D47" s="8">
        <f t="shared" si="0"/>
        <v>3.1889290012033694E-2</v>
      </c>
      <c r="E47" s="9">
        <f t="shared" si="1"/>
        <v>6.2575210589651029E-2</v>
      </c>
      <c r="F47">
        <f>COUNTIFS([3]!players[hero_name],A47,[3]!players[win],1)</f>
        <v>96</v>
      </c>
      <c r="G47" s="11">
        <f t="shared" si="2"/>
        <v>0.60377358490566035</v>
      </c>
      <c r="H47" s="12">
        <f t="shared" si="3"/>
        <v>0.3255029176032514</v>
      </c>
      <c r="I47" t="str">
        <f t="shared" si="4"/>
        <v>A</v>
      </c>
    </row>
    <row r="48" spans="1:9" x14ac:dyDescent="0.3">
      <c r="A48" s="5" t="str">
        <v>Kunkka</v>
      </c>
      <c r="B48" s="6">
        <f>COUNTIFS([2]!pick_bans[hero_name],A48,[2]!pick_bans[is_pick],TRUE)</f>
        <v>146</v>
      </c>
      <c r="C48" s="6">
        <f>COUNTIFS([2]!pick_bans[hero_name],A48,[2]!pick_bans[is_pick],FALSE)</f>
        <v>100</v>
      </c>
      <c r="D48" s="8">
        <f t="shared" si="0"/>
        <v>2.9281989570798236E-2</v>
      </c>
      <c r="E48" s="9">
        <f t="shared" si="1"/>
        <v>2.0056157240272765E-2</v>
      </c>
      <c r="F48">
        <f>COUNTIFS([3]!players[hero_name],A48,[3]!players[win],1)</f>
        <v>82</v>
      </c>
      <c r="G48" s="11">
        <f t="shared" si="2"/>
        <v>0.56164383561643838</v>
      </c>
      <c r="H48" s="12">
        <f t="shared" si="3"/>
        <v>0.29315645451098693</v>
      </c>
      <c r="I48" t="str">
        <f t="shared" si="4"/>
        <v>B</v>
      </c>
    </row>
    <row r="49" spans="1:9" x14ac:dyDescent="0.3">
      <c r="A49" s="7" t="str">
        <v>Largo</v>
      </c>
      <c r="B49" s="6">
        <f>COUNTIFS([2]!pick_bans[hero_name],A49,[2]!pick_bans[is_pick],TRUE)</f>
        <v>104</v>
      </c>
      <c r="C49" s="6">
        <f>COUNTIFS([2]!pick_bans[hero_name],A49,[2]!pick_bans[is_pick],FALSE)</f>
        <v>128</v>
      </c>
      <c r="D49" s="8">
        <f t="shared" si="0"/>
        <v>2.0858403529883673E-2</v>
      </c>
      <c r="E49" s="9">
        <f t="shared" si="1"/>
        <v>2.5671881267549136E-2</v>
      </c>
      <c r="F49">
        <f>COUNTIFS([3]!players[hero_name],A49,[3]!players[win],1)</f>
        <v>57</v>
      </c>
      <c r="G49" s="11">
        <f t="shared" si="2"/>
        <v>0.54807692307692313</v>
      </c>
      <c r="H49" s="12">
        <f t="shared" si="3"/>
        <v>0.2856710327378198</v>
      </c>
      <c r="I49" t="str">
        <f t="shared" si="4"/>
        <v>B</v>
      </c>
    </row>
    <row r="50" spans="1:9" x14ac:dyDescent="0.3">
      <c r="A50" s="5" t="str">
        <v>Legion Commander</v>
      </c>
      <c r="B50" s="6">
        <f>COUNTIFS([2]!pick_bans[hero_name],A50,[2]!pick_bans[is_pick],TRUE)</f>
        <v>106</v>
      </c>
      <c r="C50" s="6">
        <f>COUNTIFS([2]!pick_bans[hero_name],A50,[2]!pick_bans[is_pick],FALSE)</f>
        <v>48</v>
      </c>
      <c r="D50" s="8">
        <f t="shared" si="0"/>
        <v>2.1259526674689128E-2</v>
      </c>
      <c r="E50" s="9">
        <f t="shared" si="1"/>
        <v>9.6269554753309269E-3</v>
      </c>
      <c r="F50">
        <f>COUNTIFS([3]!players[hero_name],A50,[3]!players[win],1)</f>
        <v>54</v>
      </c>
      <c r="G50" s="11">
        <f t="shared" si="2"/>
        <v>0.50943396226415094</v>
      </c>
      <c r="H50" s="12">
        <f t="shared" si="3"/>
        <v>0.2624386016695805</v>
      </c>
      <c r="I50" t="str">
        <f t="shared" si="4"/>
        <v>C</v>
      </c>
    </row>
    <row r="51" spans="1:9" x14ac:dyDescent="0.3">
      <c r="A51" s="7" t="str">
        <v>Leshrac</v>
      </c>
      <c r="B51" s="6">
        <f>COUNTIFS([2]!pick_bans[hero_name],A51,[2]!pick_bans[is_pick],TRUE)</f>
        <v>91</v>
      </c>
      <c r="C51" s="6">
        <f>COUNTIFS([2]!pick_bans[hero_name],A51,[2]!pick_bans[is_pick],FALSE)</f>
        <v>117</v>
      </c>
      <c r="D51" s="8">
        <f t="shared" si="0"/>
        <v>1.8251103088648215E-2</v>
      </c>
      <c r="E51" s="9">
        <f t="shared" si="1"/>
        <v>2.3465703971119134E-2</v>
      </c>
      <c r="F51">
        <f>COUNTIFS([3]!players[hero_name],A51,[3]!players[win],1)</f>
        <v>48</v>
      </c>
      <c r="G51" s="11">
        <f t="shared" si="2"/>
        <v>0.52747252747252749</v>
      </c>
      <c r="H51" s="12">
        <f t="shared" si="3"/>
        <v>0.27416546550120557</v>
      </c>
      <c r="I51" t="str">
        <f t="shared" si="4"/>
        <v>B</v>
      </c>
    </row>
    <row r="52" spans="1:9" x14ac:dyDescent="0.3">
      <c r="A52" s="5" t="str">
        <v>Lich</v>
      </c>
      <c r="B52" s="6">
        <f>COUNTIFS([2]!pick_bans[hero_name],A52,[2]!pick_bans[is_pick],TRUE)</f>
        <v>297</v>
      </c>
      <c r="C52" s="6">
        <f>COUNTIFS([2]!pick_bans[hero_name],A52,[2]!pick_bans[is_pick],FALSE)</f>
        <v>77</v>
      </c>
      <c r="D52" s="8">
        <f t="shared" si="0"/>
        <v>5.9566787003610108E-2</v>
      </c>
      <c r="E52" s="9">
        <f t="shared" si="1"/>
        <v>1.5443241075010028E-2</v>
      </c>
      <c r="F52">
        <f>COUNTIFS([3]!players[hero_name],A52,[3]!players[win],1)</f>
        <v>145</v>
      </c>
      <c r="G52" s="11">
        <f t="shared" si="2"/>
        <v>0.48821548821548821</v>
      </c>
      <c r="H52" s="12">
        <f t="shared" si="3"/>
        <v>0.26286025112739914</v>
      </c>
      <c r="I52" t="str">
        <f t="shared" si="4"/>
        <v>C</v>
      </c>
    </row>
    <row r="53" spans="1:9" x14ac:dyDescent="0.3">
      <c r="A53" s="7" t="str">
        <v>Lifestealer</v>
      </c>
      <c r="B53" s="6">
        <f>COUNTIFS([2]!pick_bans[hero_name],A53,[2]!pick_bans[is_pick],TRUE)</f>
        <v>297</v>
      </c>
      <c r="C53" s="6">
        <f>COUNTIFS([2]!pick_bans[hero_name],A53,[2]!pick_bans[is_pick],FALSE)</f>
        <v>372</v>
      </c>
      <c r="D53" s="8">
        <f t="shared" si="0"/>
        <v>5.9566787003610108E-2</v>
      </c>
      <c r="E53" s="9">
        <f t="shared" si="1"/>
        <v>7.4608904933814682E-2</v>
      </c>
      <c r="F53">
        <f>COUNTIFS([3]!players[hero_name],A53,[3]!players[win],1)</f>
        <v>143</v>
      </c>
      <c r="G53" s="11">
        <f t="shared" si="2"/>
        <v>0.48148148148148145</v>
      </c>
      <c r="H53" s="12">
        <f t="shared" si="3"/>
        <v>0.27428466372509697</v>
      </c>
      <c r="I53" t="str">
        <f t="shared" si="4"/>
        <v>B</v>
      </c>
    </row>
    <row r="54" spans="1:9" x14ac:dyDescent="0.3">
      <c r="A54" s="5" t="str">
        <v>Lina</v>
      </c>
      <c r="B54" s="6">
        <f>COUNTIFS([2]!pick_bans[hero_name],A54,[2]!pick_bans[is_pick],TRUE)</f>
        <v>164</v>
      </c>
      <c r="C54" s="6">
        <f>COUNTIFS([2]!pick_bans[hero_name],A54,[2]!pick_bans[is_pick],FALSE)</f>
        <v>98</v>
      </c>
      <c r="D54" s="8">
        <f t="shared" si="0"/>
        <v>3.289209787404733E-2</v>
      </c>
      <c r="E54" s="9">
        <f t="shared" si="1"/>
        <v>1.9655034095467309E-2</v>
      </c>
      <c r="F54">
        <f>COUNTIFS([3]!players[hero_name],A54,[3]!players[win],1)</f>
        <v>83</v>
      </c>
      <c r="G54" s="11">
        <f t="shared" si="2"/>
        <v>0.50609756097560976</v>
      </c>
      <c r="H54" s="12">
        <f t="shared" si="3"/>
        <v>0.26618556348018352</v>
      </c>
      <c r="I54" t="str">
        <f t="shared" si="4"/>
        <v>C</v>
      </c>
    </row>
    <row r="55" spans="1:9" x14ac:dyDescent="0.3">
      <c r="A55" s="7" t="str">
        <v>Lion</v>
      </c>
      <c r="B55" s="6">
        <f>COUNTIFS([2]!pick_bans[hero_name],A55,[2]!pick_bans[is_pick],TRUE)</f>
        <v>437</v>
      </c>
      <c r="C55" s="6">
        <f>COUNTIFS([2]!pick_bans[hero_name],A55,[2]!pick_bans[is_pick],FALSE)</f>
        <v>82</v>
      </c>
      <c r="D55" s="8">
        <f t="shared" si="0"/>
        <v>8.7645407139991971E-2</v>
      </c>
      <c r="E55" s="9">
        <f t="shared" si="1"/>
        <v>1.6446048937023665E-2</v>
      </c>
      <c r="F55">
        <f>COUNTIFS([3]!players[hero_name],A55,[3]!players[win],1)</f>
        <v>209</v>
      </c>
      <c r="G55" s="11">
        <f t="shared" si="2"/>
        <v>0.47826086956521741</v>
      </c>
      <c r="H55" s="12">
        <f t="shared" si="3"/>
        <v>0.26515329880186261</v>
      </c>
      <c r="I55" t="str">
        <f t="shared" si="4"/>
        <v>C</v>
      </c>
    </row>
    <row r="56" spans="1:9" x14ac:dyDescent="0.3">
      <c r="A56" s="5" t="str">
        <v>Lone Druid</v>
      </c>
      <c r="B56" s="6">
        <f>COUNTIFS([2]!pick_bans[hero_name],A56,[2]!pick_bans[is_pick],TRUE)</f>
        <v>136</v>
      </c>
      <c r="C56" s="6">
        <f>COUNTIFS([2]!pick_bans[hero_name],A56,[2]!pick_bans[is_pick],FALSE)</f>
        <v>439</v>
      </c>
      <c r="D56" s="8">
        <f t="shared" si="0"/>
        <v>2.7276373846770958E-2</v>
      </c>
      <c r="E56" s="9">
        <f t="shared" si="1"/>
        <v>8.8046530284797433E-2</v>
      </c>
      <c r="F56">
        <f>COUNTIFS([3]!players[hero_name],A56,[3]!players[win],1)</f>
        <v>86</v>
      </c>
      <c r="G56" s="11">
        <f t="shared" si="2"/>
        <v>0.63235294117647056</v>
      </c>
      <c r="H56" s="12">
        <f t="shared" si="3"/>
        <v>0.34500719662112739</v>
      </c>
      <c r="I56" t="str">
        <f t="shared" si="4"/>
        <v>A</v>
      </c>
    </row>
    <row r="57" spans="1:9" x14ac:dyDescent="0.3">
      <c r="A57" s="7" t="str">
        <v>Luna</v>
      </c>
      <c r="B57" s="6">
        <f>COUNTIFS([2]!pick_bans[hero_name],A57,[2]!pick_bans[is_pick],TRUE)</f>
        <v>435</v>
      </c>
      <c r="C57" s="6">
        <f>COUNTIFS([2]!pick_bans[hero_name],A57,[2]!pick_bans[is_pick],FALSE)</f>
        <v>190</v>
      </c>
      <c r="D57" s="8">
        <f t="shared" si="0"/>
        <v>8.7244283995186522E-2</v>
      </c>
      <c r="E57" s="9">
        <f t="shared" si="1"/>
        <v>3.8106698756518252E-2</v>
      </c>
      <c r="F57">
        <f>COUNTIFS([3]!players[hero_name],A57,[3]!players[win],1)</f>
        <v>220</v>
      </c>
      <c r="G57" s="11">
        <f t="shared" si="2"/>
        <v>0.50574712643678166</v>
      </c>
      <c r="H57" s="12">
        <f t="shared" si="3"/>
        <v>0.28421130890631702</v>
      </c>
      <c r="I57" t="str">
        <f t="shared" si="4"/>
        <v>B</v>
      </c>
    </row>
    <row r="58" spans="1:9" x14ac:dyDescent="0.3">
      <c r="A58" s="5" t="str">
        <v>Lycan</v>
      </c>
      <c r="B58" s="6">
        <f>COUNTIFS([2]!pick_bans[hero_name],A58,[2]!pick_bans[is_pick],TRUE)</f>
        <v>30</v>
      </c>
      <c r="C58" s="6">
        <f>COUNTIFS([2]!pick_bans[hero_name],A58,[2]!pick_bans[is_pick],FALSE)</f>
        <v>28</v>
      </c>
      <c r="D58" s="8">
        <f t="shared" si="0"/>
        <v>6.0168471720818293E-3</v>
      </c>
      <c r="E58" s="9">
        <f t="shared" si="1"/>
        <v>5.6157240272763738E-3</v>
      </c>
      <c r="F58">
        <f>COUNTIFS([3]!players[hero_name],A58,[3]!players[win],1)</f>
        <v>16</v>
      </c>
      <c r="G58" s="11">
        <f t="shared" si="2"/>
        <v>0.53333333333333333</v>
      </c>
      <c r="H58" s="12">
        <f t="shared" si="3"/>
        <v>0.26957480946650619</v>
      </c>
      <c r="I58" t="str">
        <f t="shared" si="4"/>
        <v>C</v>
      </c>
    </row>
    <row r="59" spans="1:9" x14ac:dyDescent="0.3">
      <c r="A59" s="7" t="str">
        <v>Magnus</v>
      </c>
      <c r="B59" s="6">
        <f>COUNTIFS([2]!pick_bans[hero_name],A59,[2]!pick_bans[is_pick],TRUE)</f>
        <v>71</v>
      </c>
      <c r="C59" s="6">
        <f>COUNTIFS([2]!pick_bans[hero_name],A59,[2]!pick_bans[is_pick],FALSE)</f>
        <v>203</v>
      </c>
      <c r="D59" s="8">
        <f t="shared" si="0"/>
        <v>1.4239871640593663E-2</v>
      </c>
      <c r="E59" s="9">
        <f t="shared" si="1"/>
        <v>4.071399919775371E-2</v>
      </c>
      <c r="F59">
        <f>COUNTIFS([3]!players[hero_name],A59,[3]!players[win],1)</f>
        <v>36</v>
      </c>
      <c r="G59" s="11">
        <f t="shared" si="2"/>
        <v>0.50704225352112675</v>
      </c>
      <c r="H59" s="12">
        <f t="shared" si="3"/>
        <v>0.26725959447015019</v>
      </c>
      <c r="I59" t="str">
        <f t="shared" si="4"/>
        <v>C</v>
      </c>
    </row>
    <row r="60" spans="1:9" x14ac:dyDescent="0.3">
      <c r="A60" s="5" t="str">
        <v>Marci</v>
      </c>
      <c r="B60" s="6">
        <f>COUNTIFS([2]!pick_bans[hero_name],A60,[2]!pick_bans[is_pick],TRUE)</f>
        <v>98</v>
      </c>
      <c r="C60" s="6">
        <f>COUNTIFS([2]!pick_bans[hero_name],A60,[2]!pick_bans[is_pick],FALSE)</f>
        <v>360</v>
      </c>
      <c r="D60" s="8">
        <f t="shared" si="0"/>
        <v>1.9655034095467309E-2</v>
      </c>
      <c r="E60" s="9">
        <f t="shared" si="1"/>
        <v>7.2202166064981949E-2</v>
      </c>
      <c r="F60">
        <f>COUNTIFS([3]!players[hero_name],A60,[3]!players[win],1)</f>
        <v>37</v>
      </c>
      <c r="G60" s="11">
        <f t="shared" si="2"/>
        <v>0.37755102040816324</v>
      </c>
      <c r="H60" s="12">
        <f t="shared" si="3"/>
        <v>0.21173981024419394</v>
      </c>
      <c r="I60" t="str">
        <f t="shared" si="4"/>
        <v>D</v>
      </c>
    </row>
    <row r="61" spans="1:9" x14ac:dyDescent="0.3">
      <c r="A61" s="7" t="str">
        <v>Mars</v>
      </c>
      <c r="B61" s="6">
        <f>COUNTIFS([2]!pick_bans[hero_name],A61,[2]!pick_bans[is_pick],TRUE)</f>
        <v>297</v>
      </c>
      <c r="C61" s="6">
        <f>COUNTIFS([2]!pick_bans[hero_name],A61,[2]!pick_bans[is_pick],FALSE)</f>
        <v>205</v>
      </c>
      <c r="D61" s="8">
        <f t="shared" si="0"/>
        <v>5.9566787003610108E-2</v>
      </c>
      <c r="E61" s="9">
        <f t="shared" si="1"/>
        <v>4.1115122342559166E-2</v>
      </c>
      <c r="F61">
        <f>COUNTIFS([3]!players[hero_name],A61,[3]!players[win],1)</f>
        <v>139</v>
      </c>
      <c r="G61" s="11">
        <f t="shared" si="2"/>
        <v>0.46801346801346799</v>
      </c>
      <c r="H61" s="12">
        <f t="shared" si="3"/>
        <v>0.25917721134327631</v>
      </c>
      <c r="I61" t="str">
        <f t="shared" si="4"/>
        <v>C</v>
      </c>
    </row>
    <row r="62" spans="1:9" x14ac:dyDescent="0.3">
      <c r="A62" s="5" t="str">
        <v>Medusa</v>
      </c>
      <c r="B62" s="6">
        <f>COUNTIFS([2]!pick_bans[hero_name],A62,[2]!pick_bans[is_pick],TRUE)</f>
        <v>61</v>
      </c>
      <c r="C62" s="6">
        <f>COUNTIFS([2]!pick_bans[hero_name],A62,[2]!pick_bans[is_pick],FALSE)</f>
        <v>161</v>
      </c>
      <c r="D62" s="8">
        <f t="shared" si="0"/>
        <v>1.2234255916566386E-2</v>
      </c>
      <c r="E62" s="9">
        <f t="shared" si="1"/>
        <v>3.229041315683915E-2</v>
      </c>
      <c r="F62">
        <f>COUNTIFS([3]!players[hero_name],A62,[3]!players[win],1)</f>
        <v>25</v>
      </c>
      <c r="G62" s="11">
        <f t="shared" si="2"/>
        <v>0.4098360655737705</v>
      </c>
      <c r="H62" s="12">
        <f t="shared" si="3"/>
        <v>0.21604920005523662</v>
      </c>
      <c r="I62" t="str">
        <f t="shared" si="4"/>
        <v>D</v>
      </c>
    </row>
    <row r="63" spans="1:9" x14ac:dyDescent="0.3">
      <c r="A63" s="7" t="str">
        <v>Meepo</v>
      </c>
      <c r="B63" s="6">
        <f>COUNTIFS([2]!pick_bans[hero_name],A63,[2]!pick_bans[is_pick],TRUE)</f>
        <v>64</v>
      </c>
      <c r="C63" s="6">
        <f>COUNTIFS([2]!pick_bans[hero_name],A63,[2]!pick_bans[is_pick],FALSE)</f>
        <v>157</v>
      </c>
      <c r="D63" s="8">
        <f t="shared" si="0"/>
        <v>1.2835940633774568E-2</v>
      </c>
      <c r="E63" s="9">
        <f t="shared" si="1"/>
        <v>3.1488166867228239E-2</v>
      </c>
      <c r="F63">
        <f>COUNTIFS([3]!players[hero_name],A63,[3]!players[win],1)</f>
        <v>24</v>
      </c>
      <c r="G63" s="11">
        <f t="shared" si="2"/>
        <v>0.375</v>
      </c>
      <c r="H63" s="12">
        <f t="shared" si="3"/>
        <v>0.1985810268752507</v>
      </c>
      <c r="I63" t="str">
        <f t="shared" si="4"/>
        <v>D</v>
      </c>
    </row>
    <row r="64" spans="1:9" x14ac:dyDescent="0.3">
      <c r="A64" s="5" t="str">
        <v>Mirana</v>
      </c>
      <c r="B64" s="6">
        <f>COUNTIFS([2]!pick_bans[hero_name],A64,[2]!pick_bans[is_pick],TRUE)</f>
        <v>58</v>
      </c>
      <c r="C64" s="6">
        <f>COUNTIFS([2]!pick_bans[hero_name],A64,[2]!pick_bans[is_pick],FALSE)</f>
        <v>16</v>
      </c>
      <c r="D64" s="8">
        <f t="shared" si="0"/>
        <v>1.1632571199358203E-2</v>
      </c>
      <c r="E64" s="9">
        <f t="shared" si="1"/>
        <v>3.208985158443642E-3</v>
      </c>
      <c r="F64">
        <f>COUNTIFS([3]!players[hero_name],A64,[3]!players[win],1)</f>
        <v>32</v>
      </c>
      <c r="G64" s="11">
        <f t="shared" si="2"/>
        <v>0.55172413793103448</v>
      </c>
      <c r="H64" s="12">
        <f t="shared" si="3"/>
        <v>0.27957245805496767</v>
      </c>
      <c r="I64" t="str">
        <f t="shared" si="4"/>
        <v>B</v>
      </c>
    </row>
    <row r="65" spans="1:9" x14ac:dyDescent="0.3">
      <c r="A65" s="7" t="str">
        <v>Monkey King</v>
      </c>
      <c r="B65" s="6">
        <f>COUNTIFS([2]!pick_bans[hero_name],A65,[2]!pick_bans[is_pick],TRUE)</f>
        <v>374</v>
      </c>
      <c r="C65" s="6">
        <f>COUNTIFS([2]!pick_bans[hero_name],A65,[2]!pick_bans[is_pick],FALSE)</f>
        <v>650</v>
      </c>
      <c r="D65" s="8">
        <f t="shared" si="0"/>
        <v>7.5010028078620131E-2</v>
      </c>
      <c r="E65" s="9">
        <f t="shared" si="1"/>
        <v>0.13036502206177297</v>
      </c>
      <c r="F65">
        <f>COUNTIFS([3]!players[hero_name],A65,[3]!players[win],1)</f>
        <v>212</v>
      </c>
      <c r="G65" s="11">
        <f t="shared" si="2"/>
        <v>0.5668449197860963</v>
      </c>
      <c r="H65" s="12">
        <f t="shared" si="3"/>
        <v>0.33476622242814641</v>
      </c>
      <c r="I65" t="str">
        <f t="shared" si="4"/>
        <v>A</v>
      </c>
    </row>
    <row r="66" spans="1:9" x14ac:dyDescent="0.3">
      <c r="A66" s="5" t="str">
        <v>Morphling</v>
      </c>
      <c r="B66" s="6">
        <f>COUNTIFS([2]!pick_bans[hero_name],A66,[2]!pick_bans[is_pick],TRUE)</f>
        <v>83</v>
      </c>
      <c r="C66" s="6">
        <f>COUNTIFS([2]!pick_bans[hero_name],A66,[2]!pick_bans[is_pick],FALSE)</f>
        <v>126</v>
      </c>
      <c r="D66" s="8">
        <f t="shared" si="0"/>
        <v>1.6646610509426393E-2</v>
      </c>
      <c r="E66" s="9">
        <f t="shared" si="1"/>
        <v>2.5270758122743681E-2</v>
      </c>
      <c r="F66">
        <f>COUNTIFS([3]!players[hero_name],A66,[3]!players[win],1)</f>
        <v>35</v>
      </c>
      <c r="G66" s="11">
        <f t="shared" si="2"/>
        <v>0.42168674698795183</v>
      </c>
      <c r="H66" s="12">
        <f t="shared" si="3"/>
        <v>0.22132271565201844</v>
      </c>
      <c r="I66" t="str">
        <f t="shared" si="4"/>
        <v>C</v>
      </c>
    </row>
    <row r="67" spans="1:9" x14ac:dyDescent="0.3">
      <c r="A67" s="7" t="str">
        <v>Muerta</v>
      </c>
      <c r="B67" s="6">
        <f>COUNTIFS([2]!pick_bans[hero_name],A67,[2]!pick_bans[is_pick],TRUE)</f>
        <v>338</v>
      </c>
      <c r="C67" s="6">
        <f>COUNTIFS([2]!pick_bans[hero_name],A67,[2]!pick_bans[is_pick],FALSE)</f>
        <v>388</v>
      </c>
      <c r="D67" s="8">
        <f t="shared" ref="D67:D128" si="6">B67/4986</f>
        <v>6.7789811472121944E-2</v>
      </c>
      <c r="E67" s="9">
        <f t="shared" ref="E67:E128" si="7">C67/4986</f>
        <v>7.7817890092258327E-2</v>
      </c>
      <c r="F67">
        <f>COUNTIFS([3]!players[hero_name],A67,[3]!players[win],1)</f>
        <v>167</v>
      </c>
      <c r="G67" s="11">
        <f t="shared" ref="G67:G128" si="8">F67/B67</f>
        <v>0.49408284023668642</v>
      </c>
      <c r="H67" s="12">
        <f t="shared" ref="H67:H128" si="9">(G67*0.5)+(D67*0.25)+(E67*0.25)</f>
        <v>0.28344334550943828</v>
      </c>
      <c r="I67" t="str">
        <f t="shared" ref="I67:I128" si="10">IF(H67&gt;=0.35, "S",
IF(H67&gt;=0.3, "A",
IF(H67&gt;=0.27, "B",
IF(H67&gt;=0.22, "C",
"D"
)
)
)
)</f>
        <v>B</v>
      </c>
    </row>
    <row r="68" spans="1:9" x14ac:dyDescent="0.3">
      <c r="A68" s="5" t="str">
        <v>Naga Siren</v>
      </c>
      <c r="B68" s="6">
        <f>COUNTIFS([2]!pick_bans[hero_name],A68,[2]!pick_bans[is_pick],TRUE)</f>
        <v>33</v>
      </c>
      <c r="C68" s="6">
        <f>COUNTIFS([2]!pick_bans[hero_name],A68,[2]!pick_bans[is_pick],FALSE)</f>
        <v>113</v>
      </c>
      <c r="D68" s="8">
        <f t="shared" si="6"/>
        <v>6.6185318892900118E-3</v>
      </c>
      <c r="E68" s="9">
        <f t="shared" si="7"/>
        <v>2.2663457681508223E-2</v>
      </c>
      <c r="F68">
        <f>COUNTIFS([3]!players[hero_name],A68,[3]!players[win],1)</f>
        <v>20</v>
      </c>
      <c r="G68" s="11">
        <f t="shared" si="8"/>
        <v>0.60606060606060608</v>
      </c>
      <c r="H68" s="12">
        <f t="shared" si="9"/>
        <v>0.31035080042300256</v>
      </c>
      <c r="I68" t="str">
        <f t="shared" si="10"/>
        <v>A</v>
      </c>
    </row>
    <row r="69" spans="1:9" x14ac:dyDescent="0.3">
      <c r="A69" s="7" t="str">
        <v>Nature's Prophet</v>
      </c>
      <c r="B69" s="6">
        <f>COUNTIFS([2]!pick_bans[hero_name],A69,[2]!pick_bans[is_pick],TRUE)</f>
        <v>106</v>
      </c>
      <c r="C69" s="6">
        <f>COUNTIFS([2]!pick_bans[hero_name],A69,[2]!pick_bans[is_pick],FALSE)</f>
        <v>288</v>
      </c>
      <c r="D69" s="8">
        <f t="shared" si="6"/>
        <v>2.1259526674689128E-2</v>
      </c>
      <c r="E69" s="9">
        <f t="shared" si="7"/>
        <v>5.7761732851985562E-2</v>
      </c>
      <c r="F69">
        <f>COUNTIFS([3]!players[hero_name],A69,[3]!players[win],1)</f>
        <v>53</v>
      </c>
      <c r="G69" s="11">
        <f t="shared" si="8"/>
        <v>0.5</v>
      </c>
      <c r="H69" s="12">
        <f t="shared" si="9"/>
        <v>0.26975531488166865</v>
      </c>
      <c r="I69" t="str">
        <f t="shared" si="10"/>
        <v>C</v>
      </c>
    </row>
    <row r="70" spans="1:9" x14ac:dyDescent="0.3">
      <c r="A70" s="5" t="str">
        <v>Necrophos</v>
      </c>
      <c r="B70" s="6">
        <f>COUNTIFS([2]!pick_bans[hero_name],A70,[2]!pick_bans[is_pick],TRUE)</f>
        <v>119</v>
      </c>
      <c r="C70" s="6">
        <f>COUNTIFS([2]!pick_bans[hero_name],A70,[2]!pick_bans[is_pick],FALSE)</f>
        <v>128</v>
      </c>
      <c r="D70" s="8">
        <f t="shared" si="6"/>
        <v>2.386682711592459E-2</v>
      </c>
      <c r="E70" s="9">
        <f t="shared" si="7"/>
        <v>2.5671881267549136E-2</v>
      </c>
      <c r="F70">
        <f>COUNTIFS([3]!players[hero_name],A70,[3]!players[win],1)</f>
        <v>66</v>
      </c>
      <c r="G70" s="11">
        <f t="shared" si="8"/>
        <v>0.55462184873949583</v>
      </c>
      <c r="H70" s="12">
        <f t="shared" si="9"/>
        <v>0.28969560146561635</v>
      </c>
      <c r="I70" t="str">
        <f t="shared" si="10"/>
        <v>B</v>
      </c>
    </row>
    <row r="71" spans="1:9" x14ac:dyDescent="0.3">
      <c r="A71" s="7" t="str">
        <v>Night Stalker</v>
      </c>
      <c r="B71" s="6">
        <f>COUNTIFS([2]!pick_bans[hero_name],A71,[2]!pick_bans[is_pick],TRUE)</f>
        <v>115</v>
      </c>
      <c r="C71" s="6">
        <f>COUNTIFS([2]!pick_bans[hero_name],A71,[2]!pick_bans[is_pick],FALSE)</f>
        <v>129</v>
      </c>
      <c r="D71" s="8">
        <f t="shared" si="6"/>
        <v>2.3064580826313678E-2</v>
      </c>
      <c r="E71" s="9">
        <f t="shared" si="7"/>
        <v>2.5872442839951864E-2</v>
      </c>
      <c r="F71">
        <f>COUNTIFS([3]!players[hero_name],A71,[3]!players[win],1)</f>
        <v>55</v>
      </c>
      <c r="G71" s="11">
        <f t="shared" si="8"/>
        <v>0.47826086956521741</v>
      </c>
      <c r="H71" s="12">
        <f t="shared" si="9"/>
        <v>0.25136469069917511</v>
      </c>
      <c r="I71" t="str">
        <f t="shared" si="10"/>
        <v>C</v>
      </c>
    </row>
    <row r="72" spans="1:9" x14ac:dyDescent="0.3">
      <c r="A72" s="5" t="str">
        <v>Nyx Assassin</v>
      </c>
      <c r="B72" s="6">
        <f>COUNTIFS([2]!pick_bans[hero_name],A72,[2]!pick_bans[is_pick],TRUE)</f>
        <v>178</v>
      </c>
      <c r="C72" s="6">
        <f>COUNTIFS([2]!pick_bans[hero_name],A72,[2]!pick_bans[is_pick],FALSE)</f>
        <v>600</v>
      </c>
      <c r="D72" s="8">
        <f t="shared" si="6"/>
        <v>3.5699959887685519E-2</v>
      </c>
      <c r="E72" s="9">
        <f t="shared" si="7"/>
        <v>0.12033694344163658</v>
      </c>
      <c r="F72">
        <f>COUNTIFS([3]!players[hero_name],A72,[3]!players[win],1)</f>
        <v>100</v>
      </c>
      <c r="G72" s="11">
        <f t="shared" si="8"/>
        <v>0.5617977528089888</v>
      </c>
      <c r="H72" s="12">
        <f t="shared" si="9"/>
        <v>0.31990810223682492</v>
      </c>
      <c r="I72" t="str">
        <f t="shared" si="10"/>
        <v>A</v>
      </c>
    </row>
    <row r="73" spans="1:9" x14ac:dyDescent="0.3">
      <c r="A73" s="7" t="str">
        <v>Ogre Magi</v>
      </c>
      <c r="B73" s="6">
        <f>COUNTIFS([2]!pick_bans[hero_name],A73,[2]!pick_bans[is_pick],TRUE)</f>
        <v>250</v>
      </c>
      <c r="C73" s="6">
        <f>COUNTIFS([2]!pick_bans[hero_name],A73,[2]!pick_bans[is_pick],FALSE)</f>
        <v>12</v>
      </c>
      <c r="D73" s="8">
        <f t="shared" si="6"/>
        <v>5.0140393100681913E-2</v>
      </c>
      <c r="E73" s="9">
        <f t="shared" si="7"/>
        <v>2.4067388688327317E-3</v>
      </c>
      <c r="F73">
        <f>COUNTIFS([3]!players[hero_name],A73,[3]!players[win],1)</f>
        <v>125</v>
      </c>
      <c r="G73" s="11">
        <f t="shared" si="8"/>
        <v>0.5</v>
      </c>
      <c r="H73" s="12">
        <f t="shared" si="9"/>
        <v>0.26313678299237864</v>
      </c>
      <c r="I73" t="str">
        <f t="shared" si="10"/>
        <v>C</v>
      </c>
    </row>
    <row r="74" spans="1:9" x14ac:dyDescent="0.3">
      <c r="A74" s="5" t="str">
        <v>Omniknight</v>
      </c>
      <c r="B74" s="6">
        <f>COUNTIFS([2]!pick_bans[hero_name],A74,[2]!pick_bans[is_pick],TRUE)</f>
        <v>26</v>
      </c>
      <c r="C74" s="6">
        <f>COUNTIFS([2]!pick_bans[hero_name],A74,[2]!pick_bans[is_pick],FALSE)</f>
        <v>15</v>
      </c>
      <c r="D74" s="8">
        <f t="shared" si="6"/>
        <v>5.2146008824709182E-3</v>
      </c>
      <c r="E74" s="9">
        <f t="shared" si="7"/>
        <v>3.0084235860409147E-3</v>
      </c>
      <c r="F74">
        <f>COUNTIFS([3]!players[hero_name],A74,[3]!players[win],1)</f>
        <v>14</v>
      </c>
      <c r="G74" s="11">
        <f t="shared" si="8"/>
        <v>0.53846153846153844</v>
      </c>
      <c r="H74" s="12">
        <f t="shared" si="9"/>
        <v>0.27128652534789716</v>
      </c>
      <c r="I74" t="str">
        <f t="shared" si="10"/>
        <v>B</v>
      </c>
    </row>
    <row r="75" spans="1:9" x14ac:dyDescent="0.3">
      <c r="A75" s="7" t="str">
        <v>Oracle</v>
      </c>
      <c r="B75" s="6">
        <f>COUNTIFS([2]!pick_bans[hero_name],A75,[2]!pick_bans[is_pick],TRUE)</f>
        <v>71</v>
      </c>
      <c r="C75" s="6">
        <f>COUNTIFS([2]!pick_bans[hero_name],A75,[2]!pick_bans[is_pick],FALSE)</f>
        <v>123</v>
      </c>
      <c r="D75" s="8">
        <f t="shared" si="6"/>
        <v>1.4239871640593663E-2</v>
      </c>
      <c r="E75" s="9">
        <f t="shared" si="7"/>
        <v>2.4669073405535501E-2</v>
      </c>
      <c r="F75">
        <f>COUNTIFS([3]!players[hero_name],A75,[3]!players[win],1)</f>
        <v>38</v>
      </c>
      <c r="G75" s="11">
        <f t="shared" si="8"/>
        <v>0.53521126760563376</v>
      </c>
      <c r="H75" s="12">
        <f t="shared" si="9"/>
        <v>0.27733287006434915</v>
      </c>
      <c r="I75" t="str">
        <f t="shared" si="10"/>
        <v>B</v>
      </c>
    </row>
    <row r="76" spans="1:9" x14ac:dyDescent="0.3">
      <c r="A76" s="5" t="str">
        <v>Outworld Destroyer</v>
      </c>
      <c r="B76" s="6">
        <f>COUNTIFS([2]!pick_bans[hero_name],A76,[2]!pick_bans[is_pick],TRUE)</f>
        <v>46</v>
      </c>
      <c r="C76" s="6">
        <f>COUNTIFS([2]!pick_bans[hero_name],A76,[2]!pick_bans[is_pick],FALSE)</f>
        <v>128</v>
      </c>
      <c r="D76" s="8">
        <f t="shared" si="6"/>
        <v>9.2258323305254714E-3</v>
      </c>
      <c r="E76" s="9">
        <f t="shared" si="7"/>
        <v>2.5671881267549136E-2</v>
      </c>
      <c r="F76">
        <f>COUNTIFS([3]!players[hero_name],A76,[3]!players[win],1)</f>
        <v>25</v>
      </c>
      <c r="G76" s="11">
        <f t="shared" si="8"/>
        <v>0.54347826086956519</v>
      </c>
      <c r="H76" s="12">
        <f t="shared" si="9"/>
        <v>0.28046355883430124</v>
      </c>
      <c r="I76" t="str">
        <f t="shared" si="10"/>
        <v>B</v>
      </c>
    </row>
    <row r="77" spans="1:9" x14ac:dyDescent="0.3">
      <c r="A77" s="7" t="str">
        <v>Pangolier</v>
      </c>
      <c r="B77" s="6">
        <f>COUNTIFS([2]!pick_bans[hero_name],A77,[2]!pick_bans[is_pick],TRUE)</f>
        <v>638</v>
      </c>
      <c r="C77" s="6">
        <f>COUNTIFS([2]!pick_bans[hero_name],A77,[2]!pick_bans[is_pick],FALSE)</f>
        <v>1127</v>
      </c>
      <c r="D77" s="8">
        <f t="shared" si="6"/>
        <v>0.12795828319294023</v>
      </c>
      <c r="E77" s="9">
        <f t="shared" si="7"/>
        <v>0.22603289209787406</v>
      </c>
      <c r="F77">
        <f>COUNTIFS([3]!players[hero_name],A77,[3]!players[win],1)</f>
        <v>342</v>
      </c>
      <c r="G77" s="11">
        <f t="shared" si="8"/>
        <v>0.53605015673981193</v>
      </c>
      <c r="H77" s="12">
        <f t="shared" si="9"/>
        <v>0.35652287219260953</v>
      </c>
      <c r="I77" t="str">
        <f t="shared" si="10"/>
        <v>S</v>
      </c>
    </row>
    <row r="78" spans="1:9" x14ac:dyDescent="0.3">
      <c r="A78" s="5" t="str">
        <v>Phantom Assassin</v>
      </c>
      <c r="B78" s="6">
        <f>COUNTIFS([2]!pick_bans[hero_name],A78,[2]!pick_bans[is_pick],TRUE)</f>
        <v>67</v>
      </c>
      <c r="C78" s="6">
        <f>COUNTIFS([2]!pick_bans[hero_name],A78,[2]!pick_bans[is_pick],FALSE)</f>
        <v>25</v>
      </c>
      <c r="D78" s="8">
        <f t="shared" si="6"/>
        <v>1.3437625350982751E-2</v>
      </c>
      <c r="E78" s="9">
        <f t="shared" si="7"/>
        <v>5.0140393100681913E-3</v>
      </c>
      <c r="F78">
        <f>COUNTIFS([3]!players[hero_name],A78,[3]!players[win],1)</f>
        <v>27</v>
      </c>
      <c r="G78" s="11">
        <f t="shared" si="8"/>
        <v>0.40298507462686567</v>
      </c>
      <c r="H78" s="12">
        <f t="shared" si="9"/>
        <v>0.20610545347869558</v>
      </c>
      <c r="I78" t="str">
        <f t="shared" si="10"/>
        <v>D</v>
      </c>
    </row>
    <row r="79" spans="1:9" x14ac:dyDescent="0.3">
      <c r="A79" s="7" t="str">
        <v>Phantom Lancer</v>
      </c>
      <c r="B79" s="6">
        <f>COUNTIFS([2]!pick_bans[hero_name],A79,[2]!pick_bans[is_pick],TRUE)</f>
        <v>51</v>
      </c>
      <c r="C79" s="6">
        <f>COUNTIFS([2]!pick_bans[hero_name],A79,[2]!pick_bans[is_pick],FALSE)</f>
        <v>72</v>
      </c>
      <c r="D79" s="8">
        <f t="shared" si="6"/>
        <v>1.022864019253911E-2</v>
      </c>
      <c r="E79" s="9">
        <f t="shared" si="7"/>
        <v>1.444043321299639E-2</v>
      </c>
      <c r="F79">
        <f>COUNTIFS([3]!players[hero_name],A79,[3]!players[win],1)</f>
        <v>23</v>
      </c>
      <c r="G79" s="11">
        <f t="shared" si="8"/>
        <v>0.45098039215686275</v>
      </c>
      <c r="H79" s="12">
        <f t="shared" si="9"/>
        <v>0.23165746442981525</v>
      </c>
      <c r="I79" t="str">
        <f t="shared" si="10"/>
        <v>C</v>
      </c>
    </row>
    <row r="80" spans="1:9" x14ac:dyDescent="0.3">
      <c r="A80" s="5" t="str">
        <v>Phoenix</v>
      </c>
      <c r="B80" s="6">
        <f>COUNTIFS([2]!pick_bans[hero_name],A80,[2]!pick_bans[is_pick],TRUE)</f>
        <v>589</v>
      </c>
      <c r="C80" s="6">
        <f>COUNTIFS([2]!pick_bans[hero_name],A80,[2]!pick_bans[is_pick],FALSE)</f>
        <v>835</v>
      </c>
      <c r="D80" s="8">
        <f t="shared" si="6"/>
        <v>0.11813076614520658</v>
      </c>
      <c r="E80" s="9">
        <f t="shared" si="7"/>
        <v>0.16746891295627758</v>
      </c>
      <c r="F80">
        <f>COUNTIFS([3]!players[hero_name],A80,[3]!players[win],1)</f>
        <v>354</v>
      </c>
      <c r="G80" s="11">
        <f t="shared" si="8"/>
        <v>0.60101867572156198</v>
      </c>
      <c r="H80" s="12">
        <f t="shared" si="9"/>
        <v>0.37190925763615207</v>
      </c>
      <c r="I80" t="str">
        <f t="shared" si="10"/>
        <v>S</v>
      </c>
    </row>
    <row r="81" spans="1:9" x14ac:dyDescent="0.3">
      <c r="A81" s="7" t="str">
        <v>Primal Beast</v>
      </c>
      <c r="B81" s="6">
        <f>COUNTIFS([2]!pick_bans[hero_name],A81,[2]!pick_bans[is_pick],TRUE)</f>
        <v>120</v>
      </c>
      <c r="C81" s="6">
        <f>COUNTIFS([2]!pick_bans[hero_name],A81,[2]!pick_bans[is_pick],FALSE)</f>
        <v>95</v>
      </c>
      <c r="D81" s="8">
        <f t="shared" si="6"/>
        <v>2.4067388688327317E-2</v>
      </c>
      <c r="E81" s="9">
        <f t="shared" si="7"/>
        <v>1.9053349378259126E-2</v>
      </c>
      <c r="F81">
        <f>COUNTIFS([3]!players[hero_name],A81,[3]!players[win],1)</f>
        <v>58</v>
      </c>
      <c r="G81" s="11">
        <f t="shared" si="8"/>
        <v>0.48333333333333334</v>
      </c>
      <c r="H81" s="12">
        <f t="shared" si="9"/>
        <v>0.25244685118331328</v>
      </c>
      <c r="I81" t="str">
        <f t="shared" si="10"/>
        <v>C</v>
      </c>
    </row>
    <row r="82" spans="1:9" x14ac:dyDescent="0.3">
      <c r="A82" s="5" t="str">
        <v>Puck</v>
      </c>
      <c r="B82" s="6">
        <f>COUNTIFS([2]!pick_bans[hero_name],A82,[2]!pick_bans[is_pick],TRUE)</f>
        <v>273</v>
      </c>
      <c r="C82" s="6">
        <f>COUNTIFS([2]!pick_bans[hero_name],A82,[2]!pick_bans[is_pick],FALSE)</f>
        <v>795</v>
      </c>
      <c r="D82" s="8">
        <f t="shared" si="6"/>
        <v>5.4753309265944648E-2</v>
      </c>
      <c r="E82" s="9">
        <f t="shared" si="7"/>
        <v>0.15944645006016847</v>
      </c>
      <c r="F82">
        <f>COUNTIFS([3]!players[hero_name],A82,[3]!players[win],1)</f>
        <v>156</v>
      </c>
      <c r="G82" s="11">
        <f t="shared" si="8"/>
        <v>0.5714285714285714</v>
      </c>
      <c r="H82" s="12">
        <f t="shared" si="9"/>
        <v>0.33926422554581398</v>
      </c>
      <c r="I82" t="str">
        <f t="shared" si="10"/>
        <v>A</v>
      </c>
    </row>
    <row r="83" spans="1:9" x14ac:dyDescent="0.3">
      <c r="A83" s="7" t="str">
        <v>Pudge</v>
      </c>
      <c r="B83" s="6">
        <f>COUNTIFS([2]!pick_bans[hero_name],A83,[2]!pick_bans[is_pick],TRUE)</f>
        <v>299</v>
      </c>
      <c r="C83" s="6">
        <f>COUNTIFS([2]!pick_bans[hero_name],A83,[2]!pick_bans[is_pick],FALSE)</f>
        <v>78</v>
      </c>
      <c r="D83" s="8">
        <f t="shared" si="6"/>
        <v>5.9967910148415564E-2</v>
      </c>
      <c r="E83" s="9">
        <f t="shared" si="7"/>
        <v>1.5643802647412757E-2</v>
      </c>
      <c r="F83">
        <f>COUNTIFS([3]!players[hero_name],A83,[3]!players[win],1)</f>
        <v>144</v>
      </c>
      <c r="G83" s="11">
        <f t="shared" si="8"/>
        <v>0.48160535117056857</v>
      </c>
      <c r="H83" s="12">
        <f t="shared" si="9"/>
        <v>0.2597056037842414</v>
      </c>
      <c r="I83" t="str">
        <f t="shared" si="10"/>
        <v>C</v>
      </c>
    </row>
    <row r="84" spans="1:9" x14ac:dyDescent="0.3">
      <c r="A84" s="5" t="str">
        <v>Pugna</v>
      </c>
      <c r="B84" s="6">
        <f>COUNTIFS([2]!pick_bans[hero_name],A84,[2]!pick_bans[is_pick],TRUE)</f>
        <v>51</v>
      </c>
      <c r="C84" s="6">
        <f>COUNTIFS([2]!pick_bans[hero_name],A84,[2]!pick_bans[is_pick],FALSE)</f>
        <v>73</v>
      </c>
      <c r="D84" s="8">
        <f t="shared" si="6"/>
        <v>1.022864019253911E-2</v>
      </c>
      <c r="E84" s="9">
        <f t="shared" si="7"/>
        <v>1.4640994785399118E-2</v>
      </c>
      <c r="F84">
        <f>COUNTIFS([3]!players[hero_name],A84,[3]!players[win],1)</f>
        <v>31</v>
      </c>
      <c r="G84" s="11">
        <f t="shared" si="8"/>
        <v>0.60784313725490191</v>
      </c>
      <c r="H84" s="12">
        <f t="shared" si="9"/>
        <v>0.31013897737193552</v>
      </c>
      <c r="I84" t="str">
        <f t="shared" si="10"/>
        <v>A</v>
      </c>
    </row>
    <row r="85" spans="1:9" x14ac:dyDescent="0.3">
      <c r="A85" s="7" t="str">
        <v>Queen of Pain</v>
      </c>
      <c r="B85" s="6">
        <f>COUNTIFS([2]!pick_bans[hero_name],A85,[2]!pick_bans[is_pick],TRUE)</f>
        <v>482</v>
      </c>
      <c r="C85" s="6">
        <f>COUNTIFS([2]!pick_bans[hero_name],A85,[2]!pick_bans[is_pick],FALSE)</f>
        <v>738</v>
      </c>
      <c r="D85" s="8">
        <f t="shared" si="6"/>
        <v>9.6670677898114718E-2</v>
      </c>
      <c r="E85" s="9">
        <f t="shared" si="7"/>
        <v>0.14801444043321299</v>
      </c>
      <c r="F85">
        <f>COUNTIFS([3]!players[hero_name],A85,[3]!players[win],1)</f>
        <v>238</v>
      </c>
      <c r="G85" s="11">
        <f t="shared" si="8"/>
        <v>0.49377593360995853</v>
      </c>
      <c r="H85" s="12">
        <f t="shared" si="9"/>
        <v>0.30805924638781124</v>
      </c>
      <c r="I85" t="str">
        <f t="shared" si="10"/>
        <v>A</v>
      </c>
    </row>
    <row r="86" spans="1:9" x14ac:dyDescent="0.3">
      <c r="A86" s="5" t="str">
        <v>Razor</v>
      </c>
      <c r="B86" s="6">
        <f>COUNTIFS([2]!pick_bans[hero_name],A86,[2]!pick_bans[is_pick],TRUE)</f>
        <v>187</v>
      </c>
      <c r="C86" s="6">
        <f>COUNTIFS([2]!pick_bans[hero_name],A86,[2]!pick_bans[is_pick],FALSE)</f>
        <v>190</v>
      </c>
      <c r="D86" s="8">
        <f t="shared" si="6"/>
        <v>3.7505014039310065E-2</v>
      </c>
      <c r="E86" s="9">
        <f t="shared" si="7"/>
        <v>3.8106698756518252E-2</v>
      </c>
      <c r="F86">
        <f>COUNTIFS([3]!players[hero_name],A86,[3]!players[win],1)</f>
        <v>73</v>
      </c>
      <c r="G86" s="11">
        <f t="shared" si="8"/>
        <v>0.39037433155080214</v>
      </c>
      <c r="H86" s="12">
        <f t="shared" si="9"/>
        <v>0.21409009397435816</v>
      </c>
      <c r="I86" t="str">
        <f t="shared" si="10"/>
        <v>D</v>
      </c>
    </row>
    <row r="87" spans="1:9" x14ac:dyDescent="0.3">
      <c r="A87" s="7" t="str">
        <v>Riki</v>
      </c>
      <c r="B87" s="6">
        <f>COUNTIFS([2]!pick_bans[hero_name],A87,[2]!pick_bans[is_pick],TRUE)</f>
        <v>35</v>
      </c>
      <c r="C87" s="6">
        <f>COUNTIFS([2]!pick_bans[hero_name],A87,[2]!pick_bans[is_pick],FALSE)</f>
        <v>57</v>
      </c>
      <c r="D87" s="8">
        <f t="shared" si="6"/>
        <v>7.0196550340954674E-3</v>
      </c>
      <c r="E87" s="9">
        <f t="shared" si="7"/>
        <v>1.1432009626955475E-2</v>
      </c>
      <c r="F87">
        <f>COUNTIFS([3]!players[hero_name],A87,[3]!players[win],1)</f>
        <v>13</v>
      </c>
      <c r="G87" s="11">
        <f t="shared" si="8"/>
        <v>0.37142857142857144</v>
      </c>
      <c r="H87" s="12">
        <f t="shared" si="9"/>
        <v>0.19032720187954846</v>
      </c>
      <c r="I87" t="str">
        <f t="shared" si="10"/>
        <v>D</v>
      </c>
    </row>
    <row r="88" spans="1:9" x14ac:dyDescent="0.3">
      <c r="A88" s="5" t="str">
        <v>Ringmaster</v>
      </c>
      <c r="B88" s="6">
        <f>COUNTIFS([2]!pick_bans[hero_name],A88,[2]!pick_bans[is_pick],TRUE)</f>
        <v>267</v>
      </c>
      <c r="C88" s="6">
        <f>COUNTIFS([2]!pick_bans[hero_name],A88,[2]!pick_bans[is_pick],FALSE)</f>
        <v>185</v>
      </c>
      <c r="D88" s="8">
        <f t="shared" si="6"/>
        <v>5.3549939831528282E-2</v>
      </c>
      <c r="E88" s="9">
        <f t="shared" si="7"/>
        <v>3.710389089450461E-2</v>
      </c>
      <c r="F88">
        <f>COUNTIFS([3]!players[hero_name],A88,[3]!players[win],1)</f>
        <v>123</v>
      </c>
      <c r="G88" s="11">
        <f t="shared" si="8"/>
        <v>0.4606741573033708</v>
      </c>
      <c r="H88" s="12">
        <f t="shared" si="9"/>
        <v>0.25300053633319364</v>
      </c>
      <c r="I88" t="str">
        <f t="shared" si="10"/>
        <v>C</v>
      </c>
    </row>
    <row r="89" spans="1:9" x14ac:dyDescent="0.3">
      <c r="A89" s="7" t="str">
        <v>Rubick</v>
      </c>
      <c r="B89" s="6">
        <f>COUNTIFS([2]!pick_bans[hero_name],A89,[2]!pick_bans[is_pick],TRUE)</f>
        <v>1065</v>
      </c>
      <c r="C89" s="6">
        <f>COUNTIFS([2]!pick_bans[hero_name],A89,[2]!pick_bans[is_pick],FALSE)</f>
        <v>521</v>
      </c>
      <c r="D89" s="8">
        <f t="shared" si="6"/>
        <v>0.21359807460890493</v>
      </c>
      <c r="E89" s="9">
        <f t="shared" si="7"/>
        <v>0.10449257922182111</v>
      </c>
      <c r="F89">
        <f>COUNTIFS([3]!players[hero_name],A89,[3]!players[win],1)</f>
        <v>547</v>
      </c>
      <c r="G89" s="11">
        <f t="shared" si="8"/>
        <v>0.51361502347417842</v>
      </c>
      <c r="H89" s="12">
        <f t="shared" si="9"/>
        <v>0.33633017519477076</v>
      </c>
      <c r="I89" t="str">
        <f t="shared" si="10"/>
        <v>A</v>
      </c>
    </row>
    <row r="90" spans="1:9" x14ac:dyDescent="0.3">
      <c r="A90" s="5" t="str">
        <v>Sand King</v>
      </c>
      <c r="B90" s="6">
        <f>COUNTIFS([2]!pick_bans[hero_name],A90,[2]!pick_bans[is_pick],TRUE)</f>
        <v>247</v>
      </c>
      <c r="C90" s="6">
        <f>COUNTIFS([2]!pick_bans[hero_name],A90,[2]!pick_bans[is_pick],FALSE)</f>
        <v>713</v>
      </c>
      <c r="D90" s="8">
        <f t="shared" si="6"/>
        <v>4.9538708383473726E-2</v>
      </c>
      <c r="E90" s="9">
        <f t="shared" si="7"/>
        <v>0.1430004011231448</v>
      </c>
      <c r="F90">
        <f>COUNTIFS([3]!players[hero_name],A90,[3]!players[win],1)</f>
        <v>114</v>
      </c>
      <c r="G90" s="11">
        <f t="shared" si="8"/>
        <v>0.46153846153846156</v>
      </c>
      <c r="H90" s="12">
        <f t="shared" si="9"/>
        <v>0.2789040081458854</v>
      </c>
      <c r="I90" t="str">
        <f t="shared" si="10"/>
        <v>B</v>
      </c>
    </row>
    <row r="91" spans="1:9" x14ac:dyDescent="0.3">
      <c r="A91" s="7" t="str">
        <v>Shadow Demon</v>
      </c>
      <c r="B91" s="6">
        <f>COUNTIFS([2]!pick_bans[hero_name],A91,[2]!pick_bans[is_pick],TRUE)</f>
        <v>309</v>
      </c>
      <c r="C91" s="6">
        <f>COUNTIFS([2]!pick_bans[hero_name],A91,[2]!pick_bans[is_pick],FALSE)</f>
        <v>581</v>
      </c>
      <c r="D91" s="8">
        <f t="shared" si="6"/>
        <v>6.1973525872442842E-2</v>
      </c>
      <c r="E91" s="9">
        <f t="shared" si="7"/>
        <v>0.11652627356598476</v>
      </c>
      <c r="F91">
        <f>COUNTIFS([3]!players[hero_name],A91,[3]!players[win],1)</f>
        <v>137</v>
      </c>
      <c r="G91" s="11">
        <f t="shared" si="8"/>
        <v>0.44336569579288027</v>
      </c>
      <c r="H91" s="12">
        <f t="shared" si="9"/>
        <v>0.26630779775604702</v>
      </c>
      <c r="I91" t="str">
        <f t="shared" si="10"/>
        <v>C</v>
      </c>
    </row>
    <row r="92" spans="1:9" x14ac:dyDescent="0.3">
      <c r="A92" s="5" t="str">
        <v>Shadow Fiend</v>
      </c>
      <c r="B92" s="6">
        <f>COUNTIFS([2]!pick_bans[hero_name],A92,[2]!pick_bans[is_pick],TRUE)</f>
        <v>450</v>
      </c>
      <c r="C92" s="6">
        <f>COUNTIFS([2]!pick_bans[hero_name],A92,[2]!pick_bans[is_pick],FALSE)</f>
        <v>216</v>
      </c>
      <c r="D92" s="8">
        <f t="shared" si="6"/>
        <v>9.0252707581227443E-2</v>
      </c>
      <c r="E92" s="9">
        <f t="shared" si="7"/>
        <v>4.3321299638989168E-2</v>
      </c>
      <c r="F92">
        <f>COUNTIFS([3]!players[hero_name],A92,[3]!players[win],1)</f>
        <v>204</v>
      </c>
      <c r="G92" s="11">
        <f t="shared" si="8"/>
        <v>0.45333333333333331</v>
      </c>
      <c r="H92" s="12">
        <f t="shared" si="9"/>
        <v>0.26006016847172081</v>
      </c>
      <c r="I92" t="str">
        <f t="shared" si="10"/>
        <v>C</v>
      </c>
    </row>
    <row r="93" spans="1:9" x14ac:dyDescent="0.3">
      <c r="A93" s="7" t="str">
        <v>Shadow Shaman</v>
      </c>
      <c r="B93" s="6">
        <f>COUNTIFS([2]!pick_bans[hero_name],A93,[2]!pick_bans[is_pick],TRUE)</f>
        <v>274</v>
      </c>
      <c r="C93" s="6">
        <f>COUNTIFS([2]!pick_bans[hero_name],A93,[2]!pick_bans[is_pick],FALSE)</f>
        <v>72</v>
      </c>
      <c r="D93" s="8">
        <f t="shared" si="6"/>
        <v>5.4953870838347373E-2</v>
      </c>
      <c r="E93" s="9">
        <f t="shared" si="7"/>
        <v>1.444043321299639E-2</v>
      </c>
      <c r="F93">
        <f>COUNTIFS([3]!players[hero_name],A93,[3]!players[win],1)</f>
        <v>142</v>
      </c>
      <c r="G93" s="11">
        <f t="shared" si="8"/>
        <v>0.51824817518248179</v>
      </c>
      <c r="H93" s="12">
        <f t="shared" si="9"/>
        <v>0.27647266360407685</v>
      </c>
      <c r="I93" t="str">
        <f t="shared" si="10"/>
        <v>B</v>
      </c>
    </row>
    <row r="94" spans="1:9" x14ac:dyDescent="0.3">
      <c r="A94" s="5" t="str">
        <v>Silencer</v>
      </c>
      <c r="B94" s="6">
        <f>COUNTIFS([2]!pick_bans[hero_name],A94,[2]!pick_bans[is_pick],TRUE)</f>
        <v>173</v>
      </c>
      <c r="C94" s="6">
        <f>COUNTIFS([2]!pick_bans[hero_name],A94,[2]!pick_bans[is_pick],FALSE)</f>
        <v>167</v>
      </c>
      <c r="D94" s="8">
        <f t="shared" si="6"/>
        <v>3.4697152025671883E-2</v>
      </c>
      <c r="E94" s="9">
        <f t="shared" si="7"/>
        <v>3.3493782591255516E-2</v>
      </c>
      <c r="F94">
        <f>COUNTIFS([3]!players[hero_name],A94,[3]!players[win],1)</f>
        <v>82</v>
      </c>
      <c r="G94" s="11">
        <f t="shared" si="8"/>
        <v>0.47398843930635837</v>
      </c>
      <c r="H94" s="12">
        <f t="shared" si="9"/>
        <v>0.25404195330741103</v>
      </c>
      <c r="I94" t="str">
        <f t="shared" si="10"/>
        <v>C</v>
      </c>
    </row>
    <row r="95" spans="1:9" x14ac:dyDescent="0.3">
      <c r="A95" s="7" t="str">
        <v>Skywrath Mage</v>
      </c>
      <c r="B95" s="6">
        <f>COUNTIFS([2]!pick_bans[hero_name],A95,[2]!pick_bans[is_pick],TRUE)</f>
        <v>243</v>
      </c>
      <c r="C95" s="6">
        <f>COUNTIFS([2]!pick_bans[hero_name],A95,[2]!pick_bans[is_pick],FALSE)</f>
        <v>195</v>
      </c>
      <c r="D95" s="8">
        <f t="shared" si="6"/>
        <v>4.8736462093862815E-2</v>
      </c>
      <c r="E95" s="9">
        <f t="shared" si="7"/>
        <v>3.9109506618531888E-2</v>
      </c>
      <c r="F95">
        <f>COUNTIFS([3]!players[hero_name],A95,[3]!players[win],1)</f>
        <v>118</v>
      </c>
      <c r="G95" s="11">
        <f t="shared" si="8"/>
        <v>0.48559670781893005</v>
      </c>
      <c r="H95" s="12">
        <f t="shared" si="9"/>
        <v>0.2647598460875637</v>
      </c>
      <c r="I95" t="str">
        <f t="shared" si="10"/>
        <v>C</v>
      </c>
    </row>
    <row r="96" spans="1:9" x14ac:dyDescent="0.3">
      <c r="A96" s="5" t="str">
        <v>Slardar</v>
      </c>
      <c r="B96" s="6">
        <f>COUNTIFS([2]!pick_bans[hero_name],A96,[2]!pick_bans[is_pick],TRUE)</f>
        <v>432</v>
      </c>
      <c r="C96" s="6">
        <f>COUNTIFS([2]!pick_bans[hero_name],A96,[2]!pick_bans[is_pick],FALSE)</f>
        <v>508</v>
      </c>
      <c r="D96" s="8">
        <f t="shared" si="6"/>
        <v>8.6642599277978335E-2</v>
      </c>
      <c r="E96" s="9">
        <f t="shared" si="7"/>
        <v>0.10188527878058563</v>
      </c>
      <c r="F96">
        <f>COUNTIFS([3]!players[hero_name],A96,[3]!players[win],1)</f>
        <v>239</v>
      </c>
      <c r="G96" s="11">
        <f t="shared" si="8"/>
        <v>0.5532407407407407</v>
      </c>
      <c r="H96" s="12">
        <f t="shared" si="9"/>
        <v>0.32375233988501134</v>
      </c>
      <c r="I96" t="str">
        <f t="shared" si="10"/>
        <v>A</v>
      </c>
    </row>
    <row r="97" spans="1:9" x14ac:dyDescent="0.3">
      <c r="A97" s="7" t="str">
        <v>Slark</v>
      </c>
      <c r="B97" s="6">
        <f>COUNTIFS([2]!pick_bans[hero_name],A97,[2]!pick_bans[is_pick],TRUE)</f>
        <v>162</v>
      </c>
      <c r="C97" s="6">
        <f>COUNTIFS([2]!pick_bans[hero_name],A97,[2]!pick_bans[is_pick],FALSE)</f>
        <v>358</v>
      </c>
      <c r="D97" s="8">
        <f t="shared" si="6"/>
        <v>3.2490974729241874E-2</v>
      </c>
      <c r="E97" s="9">
        <f t="shared" si="7"/>
        <v>7.18010429201765E-2</v>
      </c>
      <c r="F97">
        <f>COUNTIFS([3]!players[hero_name],A97,[3]!players[win],1)</f>
        <v>81</v>
      </c>
      <c r="G97" s="11">
        <f t="shared" si="8"/>
        <v>0.5</v>
      </c>
      <c r="H97" s="12">
        <f t="shared" si="9"/>
        <v>0.27607300441235461</v>
      </c>
      <c r="I97" t="str">
        <f t="shared" si="10"/>
        <v>B</v>
      </c>
    </row>
    <row r="98" spans="1:9" x14ac:dyDescent="0.3">
      <c r="A98" s="5" t="str">
        <v>Snapfire</v>
      </c>
      <c r="B98" s="6">
        <f>COUNTIFS([2]!pick_bans[hero_name],A98,[2]!pick_bans[is_pick],TRUE)</f>
        <v>219</v>
      </c>
      <c r="C98" s="6">
        <f>COUNTIFS([2]!pick_bans[hero_name],A98,[2]!pick_bans[is_pick],FALSE)</f>
        <v>459</v>
      </c>
      <c r="D98" s="8">
        <f t="shared" si="6"/>
        <v>4.3922984356197355E-2</v>
      </c>
      <c r="E98" s="9">
        <f t="shared" si="7"/>
        <v>9.2057761732851989E-2</v>
      </c>
      <c r="F98">
        <f>COUNTIFS([3]!players[hero_name],A98,[3]!players[win],1)</f>
        <v>102</v>
      </c>
      <c r="G98" s="11">
        <f t="shared" si="8"/>
        <v>0.46575342465753422</v>
      </c>
      <c r="H98" s="12">
        <f t="shared" si="9"/>
        <v>0.26687189885102947</v>
      </c>
      <c r="I98" t="str">
        <f t="shared" si="10"/>
        <v>C</v>
      </c>
    </row>
    <row r="99" spans="1:9" x14ac:dyDescent="0.3">
      <c r="A99" s="7" t="str">
        <v>Sniper</v>
      </c>
      <c r="B99" s="6">
        <f>COUNTIFS([2]!pick_bans[hero_name],A99,[2]!pick_bans[is_pick],TRUE)</f>
        <v>215</v>
      </c>
      <c r="C99" s="6">
        <f>COUNTIFS([2]!pick_bans[hero_name],A99,[2]!pick_bans[is_pick],FALSE)</f>
        <v>153</v>
      </c>
      <c r="D99" s="8">
        <f t="shared" si="6"/>
        <v>4.3120738066586443E-2</v>
      </c>
      <c r="E99" s="9">
        <f t="shared" si="7"/>
        <v>3.0685920577617327E-2</v>
      </c>
      <c r="F99">
        <f>COUNTIFS([3]!players[hero_name],A99,[3]!players[win],1)</f>
        <v>109</v>
      </c>
      <c r="G99" s="11">
        <f t="shared" si="8"/>
        <v>0.50697674418604655</v>
      </c>
      <c r="H99" s="12">
        <f t="shared" si="9"/>
        <v>0.27194003675407419</v>
      </c>
      <c r="I99" t="str">
        <f t="shared" si="10"/>
        <v>B</v>
      </c>
    </row>
    <row r="100" spans="1:9" x14ac:dyDescent="0.3">
      <c r="A100" s="5" t="str">
        <v>Spectre</v>
      </c>
      <c r="B100" s="6">
        <f>COUNTIFS([2]!pick_bans[hero_name],A100,[2]!pick_bans[is_pick],TRUE)</f>
        <v>17</v>
      </c>
      <c r="C100" s="6">
        <f>COUNTIFS([2]!pick_bans[hero_name],A100,[2]!pick_bans[is_pick],FALSE)</f>
        <v>37</v>
      </c>
      <c r="D100" s="8">
        <f t="shared" si="6"/>
        <v>3.4095467308463698E-3</v>
      </c>
      <c r="E100" s="9">
        <f t="shared" si="7"/>
        <v>7.420778178900923E-3</v>
      </c>
      <c r="F100">
        <f>COUNTIFS([3]!players[hero_name],A100,[3]!players[win],1)</f>
        <v>8</v>
      </c>
      <c r="G100" s="11">
        <f t="shared" si="8"/>
        <v>0.47058823529411764</v>
      </c>
      <c r="H100" s="12">
        <f t="shared" si="9"/>
        <v>0.23800169887449565</v>
      </c>
      <c r="I100" t="str">
        <f t="shared" si="10"/>
        <v>C</v>
      </c>
    </row>
    <row r="101" spans="1:9" x14ac:dyDescent="0.3">
      <c r="A101" s="7" t="str">
        <v>Spirit Breaker</v>
      </c>
      <c r="B101" s="6">
        <f>COUNTIFS([2]!pick_bans[hero_name],A101,[2]!pick_bans[is_pick],TRUE)</f>
        <v>381</v>
      </c>
      <c r="C101" s="6">
        <f>COUNTIFS([2]!pick_bans[hero_name],A101,[2]!pick_bans[is_pick],FALSE)</f>
        <v>243</v>
      </c>
      <c r="D101" s="8">
        <f t="shared" si="6"/>
        <v>7.6413959085439229E-2</v>
      </c>
      <c r="E101" s="9">
        <f t="shared" si="7"/>
        <v>4.8736462093862815E-2</v>
      </c>
      <c r="F101">
        <f>COUNTIFS([3]!players[hero_name],A101,[3]!players[win],1)</f>
        <v>186</v>
      </c>
      <c r="G101" s="11">
        <f t="shared" si="8"/>
        <v>0.48818897637795278</v>
      </c>
      <c r="H101" s="12">
        <f t="shared" si="9"/>
        <v>0.27538209348380188</v>
      </c>
      <c r="I101" t="str">
        <f t="shared" si="10"/>
        <v>B</v>
      </c>
    </row>
    <row r="102" spans="1:9" x14ac:dyDescent="0.3">
      <c r="A102" s="5" t="str">
        <v>Storm Spirit</v>
      </c>
      <c r="B102" s="6">
        <f>COUNTIFS([2]!pick_bans[hero_name],A102,[2]!pick_bans[is_pick],TRUE)</f>
        <v>297</v>
      </c>
      <c r="C102" s="6">
        <f>COUNTIFS([2]!pick_bans[hero_name],A102,[2]!pick_bans[is_pick],FALSE)</f>
        <v>482</v>
      </c>
      <c r="D102" s="8">
        <f t="shared" si="6"/>
        <v>5.9566787003610108E-2</v>
      </c>
      <c r="E102" s="9">
        <f t="shared" si="7"/>
        <v>9.6670677898114718E-2</v>
      </c>
      <c r="F102">
        <f>COUNTIFS([3]!players[hero_name],A102,[3]!players[win],1)</f>
        <v>150</v>
      </c>
      <c r="G102" s="11">
        <f t="shared" si="8"/>
        <v>0.50505050505050508</v>
      </c>
      <c r="H102" s="12">
        <f t="shared" si="9"/>
        <v>0.29158461875068376</v>
      </c>
      <c r="I102" t="str">
        <f t="shared" si="10"/>
        <v>B</v>
      </c>
    </row>
    <row r="103" spans="1:9" x14ac:dyDescent="0.3">
      <c r="A103" s="7" t="str">
        <v>Sven</v>
      </c>
      <c r="B103" s="6">
        <f>COUNTIFS([2]!pick_bans[hero_name],A103,[2]!pick_bans[is_pick],TRUE)</f>
        <v>64</v>
      </c>
      <c r="C103" s="6">
        <f>COUNTIFS([2]!pick_bans[hero_name],A103,[2]!pick_bans[is_pick],FALSE)</f>
        <v>19</v>
      </c>
      <c r="D103" s="8">
        <f t="shared" si="6"/>
        <v>1.2835940633774568E-2</v>
      </c>
      <c r="E103" s="9">
        <f t="shared" si="7"/>
        <v>3.810669875651825E-3</v>
      </c>
      <c r="F103">
        <f>COUNTIFS([3]!players[hero_name],A103,[3]!players[win],1)</f>
        <v>31</v>
      </c>
      <c r="G103" s="11">
        <f t="shared" si="8"/>
        <v>0.484375</v>
      </c>
      <c r="H103" s="12">
        <f t="shared" si="9"/>
        <v>0.2463491526273566</v>
      </c>
      <c r="I103" t="str">
        <f t="shared" si="10"/>
        <v>C</v>
      </c>
    </row>
    <row r="104" spans="1:9" x14ac:dyDescent="0.3">
      <c r="A104" s="5" t="str">
        <v>Techies</v>
      </c>
      <c r="B104" s="6">
        <f>COUNTIFS([2]!pick_bans[hero_name],A104,[2]!pick_bans[is_pick],TRUE)</f>
        <v>200</v>
      </c>
      <c r="C104" s="6">
        <f>COUNTIFS([2]!pick_bans[hero_name],A104,[2]!pick_bans[is_pick],FALSE)</f>
        <v>564</v>
      </c>
      <c r="D104" s="8">
        <f t="shared" si="6"/>
        <v>4.011231448054553E-2</v>
      </c>
      <c r="E104" s="9">
        <f t="shared" si="7"/>
        <v>0.11311672683513839</v>
      </c>
      <c r="F104">
        <f>COUNTIFS([3]!players[hero_name],A104,[3]!players[win],1)</f>
        <v>105</v>
      </c>
      <c r="G104" s="11">
        <f t="shared" si="8"/>
        <v>0.52500000000000002</v>
      </c>
      <c r="H104" s="12">
        <f t="shared" si="9"/>
        <v>0.30080726032892097</v>
      </c>
      <c r="I104" t="str">
        <f t="shared" si="10"/>
        <v>A</v>
      </c>
    </row>
    <row r="105" spans="1:9" x14ac:dyDescent="0.3">
      <c r="A105" s="7" t="str">
        <v>Templar Assassin</v>
      </c>
      <c r="B105" s="6">
        <f>COUNTIFS([2]!pick_bans[hero_name],A105,[2]!pick_bans[is_pick],TRUE)</f>
        <v>235</v>
      </c>
      <c r="C105" s="6">
        <f>COUNTIFS([2]!pick_bans[hero_name],A105,[2]!pick_bans[is_pick],FALSE)</f>
        <v>219</v>
      </c>
      <c r="D105" s="8">
        <f t="shared" si="6"/>
        <v>4.7131969514640992E-2</v>
      </c>
      <c r="E105" s="9">
        <f t="shared" si="7"/>
        <v>4.3922984356197355E-2</v>
      </c>
      <c r="F105">
        <f>COUNTIFS([3]!players[hero_name],A105,[3]!players[win],1)</f>
        <v>114</v>
      </c>
      <c r="G105" s="11">
        <f t="shared" si="8"/>
        <v>0.48510638297872338</v>
      </c>
      <c r="H105" s="12">
        <f t="shared" si="9"/>
        <v>0.26531692995707129</v>
      </c>
      <c r="I105" t="str">
        <f t="shared" si="10"/>
        <v>C</v>
      </c>
    </row>
    <row r="106" spans="1:9" x14ac:dyDescent="0.3">
      <c r="A106" s="5" t="str">
        <v>Terrorblade</v>
      </c>
      <c r="B106" s="6">
        <f>COUNTIFS([2]!pick_bans[hero_name],A106,[2]!pick_bans[is_pick],TRUE)</f>
        <v>148</v>
      </c>
      <c r="C106" s="6">
        <f>COUNTIFS([2]!pick_bans[hero_name],A106,[2]!pick_bans[is_pick],FALSE)</f>
        <v>243</v>
      </c>
      <c r="D106" s="8">
        <f t="shared" si="6"/>
        <v>2.9683112715603692E-2</v>
      </c>
      <c r="E106" s="9">
        <f t="shared" si="7"/>
        <v>4.8736462093862815E-2</v>
      </c>
      <c r="F106">
        <f>COUNTIFS([3]!players[hero_name],A106,[3]!players[win],1)</f>
        <v>88</v>
      </c>
      <c r="G106" s="11">
        <f t="shared" si="8"/>
        <v>0.59459459459459463</v>
      </c>
      <c r="H106" s="12">
        <f t="shared" si="9"/>
        <v>0.31690219099966394</v>
      </c>
      <c r="I106" t="str">
        <f t="shared" si="10"/>
        <v>A</v>
      </c>
    </row>
    <row r="107" spans="1:9" x14ac:dyDescent="0.3">
      <c r="A107" s="7" t="str">
        <v>Tidehunter</v>
      </c>
      <c r="B107" s="6">
        <f>COUNTIFS([2]!pick_bans[hero_name],A107,[2]!pick_bans[is_pick],TRUE)</f>
        <v>576</v>
      </c>
      <c r="C107" s="6">
        <f>COUNTIFS([2]!pick_bans[hero_name],A107,[2]!pick_bans[is_pick],FALSE)</f>
        <v>627</v>
      </c>
      <c r="D107" s="8">
        <f t="shared" si="6"/>
        <v>0.11552346570397112</v>
      </c>
      <c r="E107" s="9">
        <f t="shared" si="7"/>
        <v>0.12575210589651023</v>
      </c>
      <c r="F107">
        <f>COUNTIFS([3]!players[hero_name],A107,[3]!players[win],1)</f>
        <v>269</v>
      </c>
      <c r="G107" s="11">
        <f t="shared" si="8"/>
        <v>0.4670138888888889</v>
      </c>
      <c r="H107" s="12">
        <f t="shared" si="9"/>
        <v>0.2938258373445648</v>
      </c>
      <c r="I107" t="str">
        <f t="shared" si="10"/>
        <v>B</v>
      </c>
    </row>
    <row r="108" spans="1:9" x14ac:dyDescent="0.3">
      <c r="A108" s="5" t="str">
        <v>Timbersaw</v>
      </c>
      <c r="B108" s="6">
        <f>COUNTIFS([2]!pick_bans[hero_name],A108,[2]!pick_bans[is_pick],TRUE)</f>
        <v>127</v>
      </c>
      <c r="C108" s="6">
        <f>COUNTIFS([2]!pick_bans[hero_name],A108,[2]!pick_bans[is_pick],FALSE)</f>
        <v>147</v>
      </c>
      <c r="D108" s="8">
        <f t="shared" si="6"/>
        <v>2.5471319695146408E-2</v>
      </c>
      <c r="E108" s="9">
        <f t="shared" si="7"/>
        <v>2.9482551143200964E-2</v>
      </c>
      <c r="F108">
        <f>COUNTIFS([3]!players[hero_name],A108,[3]!players[win],1)</f>
        <v>57</v>
      </c>
      <c r="G108" s="11">
        <f t="shared" si="8"/>
        <v>0.44881889763779526</v>
      </c>
      <c r="H108" s="12">
        <f t="shared" si="9"/>
        <v>0.23814791652848447</v>
      </c>
      <c r="I108" t="str">
        <f t="shared" si="10"/>
        <v>C</v>
      </c>
    </row>
    <row r="109" spans="1:9" x14ac:dyDescent="0.3">
      <c r="A109" s="7" t="str">
        <v>Tinker</v>
      </c>
      <c r="B109" s="6">
        <f>COUNTIFS([2]!pick_bans[hero_name],A109,[2]!pick_bans[is_pick],TRUE)</f>
        <v>25</v>
      </c>
      <c r="C109" s="6">
        <f>COUNTIFS([2]!pick_bans[hero_name],A109,[2]!pick_bans[is_pick],FALSE)</f>
        <v>276</v>
      </c>
      <c r="D109" s="8">
        <f t="shared" si="6"/>
        <v>5.0140393100681913E-3</v>
      </c>
      <c r="E109" s="9">
        <f t="shared" si="7"/>
        <v>5.5354993983152828E-2</v>
      </c>
      <c r="F109">
        <f>COUNTIFS([3]!players[hero_name],A109,[3]!players[win],1)</f>
        <v>8</v>
      </c>
      <c r="G109" s="11">
        <f t="shared" si="8"/>
        <v>0.32</v>
      </c>
      <c r="H109" s="12">
        <f t="shared" si="9"/>
        <v>0.17509225832330524</v>
      </c>
      <c r="I109" t="str">
        <f t="shared" si="10"/>
        <v>D</v>
      </c>
    </row>
    <row r="110" spans="1:9" x14ac:dyDescent="0.3">
      <c r="A110" s="5" t="str">
        <v>Tiny</v>
      </c>
      <c r="B110" s="6">
        <f>COUNTIFS([2]!pick_bans[hero_name],A110,[2]!pick_bans[is_pick],TRUE)</f>
        <v>416</v>
      </c>
      <c r="C110" s="6">
        <f>COUNTIFS([2]!pick_bans[hero_name],A110,[2]!pick_bans[is_pick],FALSE)</f>
        <v>313</v>
      </c>
      <c r="D110" s="8">
        <f t="shared" si="6"/>
        <v>8.3433614119534691E-2</v>
      </c>
      <c r="E110" s="9">
        <f t="shared" si="7"/>
        <v>6.2775772162053753E-2</v>
      </c>
      <c r="F110">
        <f>COUNTIFS([3]!players[hero_name],A110,[3]!players[win],1)</f>
        <v>216</v>
      </c>
      <c r="G110" s="11">
        <f t="shared" si="8"/>
        <v>0.51923076923076927</v>
      </c>
      <c r="H110" s="12">
        <f t="shared" si="9"/>
        <v>0.29616773118578171</v>
      </c>
      <c r="I110" t="str">
        <f t="shared" si="10"/>
        <v>B</v>
      </c>
    </row>
    <row r="111" spans="1:9" x14ac:dyDescent="0.3">
      <c r="A111" s="7" t="str">
        <v>Treant Protector</v>
      </c>
      <c r="B111" s="6">
        <f>COUNTIFS([2]!pick_bans[hero_name],A111,[2]!pick_bans[is_pick],TRUE)</f>
        <v>201</v>
      </c>
      <c r="C111" s="6">
        <f>COUNTIFS([2]!pick_bans[hero_name],A111,[2]!pick_bans[is_pick],FALSE)</f>
        <v>184</v>
      </c>
      <c r="D111" s="8">
        <f t="shared" si="6"/>
        <v>4.0312876052948254E-2</v>
      </c>
      <c r="E111" s="9">
        <f t="shared" si="7"/>
        <v>3.6903329322101885E-2</v>
      </c>
      <c r="F111">
        <f>COUNTIFS([3]!players[hero_name],A111,[3]!players[win],1)</f>
        <v>111</v>
      </c>
      <c r="G111" s="11">
        <f t="shared" si="8"/>
        <v>0.55223880597014929</v>
      </c>
      <c r="H111" s="12">
        <f t="shared" si="9"/>
        <v>0.29542345432883721</v>
      </c>
      <c r="I111" t="str">
        <f t="shared" si="10"/>
        <v>B</v>
      </c>
    </row>
    <row r="112" spans="1:9" x14ac:dyDescent="0.3">
      <c r="A112" s="5" t="str">
        <v>Troll Warlord</v>
      </c>
      <c r="B112" s="6">
        <f>COUNTIFS([2]!pick_bans[hero_name],A112,[2]!pick_bans[is_pick],TRUE)</f>
        <v>74</v>
      </c>
      <c r="C112" s="6">
        <f>COUNTIFS([2]!pick_bans[hero_name],A112,[2]!pick_bans[is_pick],FALSE)</f>
        <v>104</v>
      </c>
      <c r="D112" s="8">
        <f t="shared" si="6"/>
        <v>1.4841556357801846E-2</v>
      </c>
      <c r="E112" s="9">
        <f t="shared" si="7"/>
        <v>2.0858403529883673E-2</v>
      </c>
      <c r="F112">
        <f>COUNTIFS([3]!players[hero_name],A112,[3]!players[win],1)</f>
        <v>36</v>
      </c>
      <c r="G112" s="11">
        <f t="shared" si="8"/>
        <v>0.48648648648648651</v>
      </c>
      <c r="H112" s="12">
        <f t="shared" si="9"/>
        <v>0.25216823321516463</v>
      </c>
      <c r="I112" t="str">
        <f t="shared" si="10"/>
        <v>C</v>
      </c>
    </row>
    <row r="113" spans="1:9" x14ac:dyDescent="0.3">
      <c r="A113" s="7" t="str">
        <v>Tusk</v>
      </c>
      <c r="B113" s="6">
        <f>COUNTIFS([2]!pick_bans[hero_name],A113,[2]!pick_bans[is_pick],TRUE)</f>
        <v>537</v>
      </c>
      <c r="C113" s="6">
        <f>COUNTIFS([2]!pick_bans[hero_name],A113,[2]!pick_bans[is_pick],FALSE)</f>
        <v>416</v>
      </c>
      <c r="D113" s="8">
        <f t="shared" si="6"/>
        <v>0.10770156438026474</v>
      </c>
      <c r="E113" s="9">
        <f t="shared" si="7"/>
        <v>8.3433614119534691E-2</v>
      </c>
      <c r="F113">
        <f>COUNTIFS([3]!players[hero_name],A113,[3]!players[win],1)</f>
        <v>293</v>
      </c>
      <c r="G113" s="11">
        <f t="shared" si="8"/>
        <v>0.54562383612662946</v>
      </c>
      <c r="H113" s="12">
        <f t="shared" si="9"/>
        <v>0.32059571268826459</v>
      </c>
      <c r="I113" t="str">
        <f t="shared" si="10"/>
        <v>A</v>
      </c>
    </row>
    <row r="114" spans="1:9" x14ac:dyDescent="0.3">
      <c r="A114" s="5" t="str">
        <v>Underlord</v>
      </c>
      <c r="B114" s="6">
        <f>COUNTIFS([2]!pick_bans[hero_name],A114,[2]!pick_bans[is_pick],TRUE)</f>
        <v>230</v>
      </c>
      <c r="C114" s="6">
        <f>COUNTIFS([2]!pick_bans[hero_name],A114,[2]!pick_bans[is_pick],FALSE)</f>
        <v>304</v>
      </c>
      <c r="D114" s="8">
        <f t="shared" si="6"/>
        <v>4.6129161652627357E-2</v>
      </c>
      <c r="E114" s="9">
        <f t="shared" si="7"/>
        <v>6.0970718010429199E-2</v>
      </c>
      <c r="F114">
        <f>COUNTIFS([3]!players[hero_name],A114,[3]!players[win],1)</f>
        <v>104</v>
      </c>
      <c r="G114" s="11">
        <f t="shared" si="8"/>
        <v>0.45217391304347826</v>
      </c>
      <c r="H114" s="12">
        <f t="shared" si="9"/>
        <v>0.25286192643750327</v>
      </c>
      <c r="I114" t="str">
        <f t="shared" si="10"/>
        <v>C</v>
      </c>
    </row>
    <row r="115" spans="1:9" x14ac:dyDescent="0.3">
      <c r="A115" s="7" t="str">
        <v>Undying</v>
      </c>
      <c r="B115" s="6">
        <f>COUNTIFS([2]!pick_bans[hero_name],A115,[2]!pick_bans[is_pick],TRUE)</f>
        <v>87</v>
      </c>
      <c r="C115" s="6">
        <f>COUNTIFS([2]!pick_bans[hero_name],A115,[2]!pick_bans[is_pick],FALSE)</f>
        <v>83</v>
      </c>
      <c r="D115" s="8">
        <f t="shared" si="6"/>
        <v>1.7448856799037304E-2</v>
      </c>
      <c r="E115" s="9">
        <f t="shared" si="7"/>
        <v>1.6646610509426393E-2</v>
      </c>
      <c r="F115">
        <f>COUNTIFS([3]!players[hero_name],A115,[3]!players[win],1)</f>
        <v>35</v>
      </c>
      <c r="G115" s="11">
        <f t="shared" si="8"/>
        <v>0.40229885057471265</v>
      </c>
      <c r="H115" s="12">
        <f t="shared" si="9"/>
        <v>0.20967329211447225</v>
      </c>
      <c r="I115" t="str">
        <f t="shared" si="10"/>
        <v>D</v>
      </c>
    </row>
    <row r="116" spans="1:9" x14ac:dyDescent="0.3">
      <c r="A116" s="5" t="str">
        <v>Ursa</v>
      </c>
      <c r="B116" s="6">
        <f>COUNTIFS([2]!pick_bans[hero_name],A116,[2]!pick_bans[is_pick],TRUE)</f>
        <v>216</v>
      </c>
      <c r="C116" s="6">
        <f>COUNTIFS([2]!pick_bans[hero_name],A116,[2]!pick_bans[is_pick],FALSE)</f>
        <v>413</v>
      </c>
      <c r="D116" s="8">
        <f t="shared" si="6"/>
        <v>4.3321299638989168E-2</v>
      </c>
      <c r="E116" s="9">
        <f t="shared" si="7"/>
        <v>8.2831929402326518E-2</v>
      </c>
      <c r="F116">
        <f>COUNTIFS([3]!players[hero_name],A116,[3]!players[win],1)</f>
        <v>103</v>
      </c>
      <c r="G116" s="11">
        <f t="shared" si="8"/>
        <v>0.47685185185185186</v>
      </c>
      <c r="H116" s="12">
        <f t="shared" si="9"/>
        <v>0.26996423318625484</v>
      </c>
      <c r="I116" t="str">
        <f t="shared" si="10"/>
        <v>C</v>
      </c>
    </row>
    <row r="117" spans="1:9" x14ac:dyDescent="0.3">
      <c r="A117" s="7" t="str">
        <v>Vengeful Spirit</v>
      </c>
      <c r="B117" s="6">
        <f>COUNTIFS([2]!pick_bans[hero_name],A117,[2]!pick_bans[is_pick],TRUE)</f>
        <v>112</v>
      </c>
      <c r="C117" s="6">
        <f>COUNTIFS([2]!pick_bans[hero_name],A117,[2]!pick_bans[is_pick],FALSE)</f>
        <v>25</v>
      </c>
      <c r="D117" s="8">
        <f t="shared" si="6"/>
        <v>2.2462896109105495E-2</v>
      </c>
      <c r="E117" s="9">
        <f t="shared" si="7"/>
        <v>5.0140393100681913E-3</v>
      </c>
      <c r="F117">
        <f>COUNTIFS([3]!players[hero_name],A117,[3]!players[win],1)</f>
        <v>47</v>
      </c>
      <c r="G117" s="11">
        <f t="shared" si="8"/>
        <v>0.41964285714285715</v>
      </c>
      <c r="H117" s="12">
        <f t="shared" si="9"/>
        <v>0.21669066242622198</v>
      </c>
      <c r="I117" t="str">
        <f t="shared" si="10"/>
        <v>D</v>
      </c>
    </row>
    <row r="118" spans="1:9" x14ac:dyDescent="0.3">
      <c r="A118" s="5" t="str">
        <v>Venomancer</v>
      </c>
      <c r="B118" s="6">
        <f>COUNTIFS([2]!pick_bans[hero_name],A118,[2]!pick_bans[is_pick],TRUE)</f>
        <v>288</v>
      </c>
      <c r="C118" s="6">
        <f>COUNTIFS([2]!pick_bans[hero_name],A118,[2]!pick_bans[is_pick],FALSE)</f>
        <v>781</v>
      </c>
      <c r="D118" s="8">
        <f t="shared" si="6"/>
        <v>5.7761732851985562E-2</v>
      </c>
      <c r="E118" s="9">
        <f t="shared" si="7"/>
        <v>0.15663858804653027</v>
      </c>
      <c r="F118">
        <f>COUNTIFS([3]!players[hero_name],A118,[3]!players[win],1)</f>
        <v>145</v>
      </c>
      <c r="G118" s="11">
        <f t="shared" si="8"/>
        <v>0.50347222222222221</v>
      </c>
      <c r="H118" s="12">
        <f t="shared" si="9"/>
        <v>0.30533619133574003</v>
      </c>
      <c r="I118" t="str">
        <f t="shared" si="10"/>
        <v>A</v>
      </c>
    </row>
    <row r="119" spans="1:9" x14ac:dyDescent="0.3">
      <c r="A119" s="7" t="str">
        <v>Viper</v>
      </c>
      <c r="B119" s="6">
        <f>COUNTIFS([2]!pick_bans[hero_name],A119,[2]!pick_bans[is_pick],TRUE)</f>
        <v>188</v>
      </c>
      <c r="C119" s="6">
        <f>COUNTIFS([2]!pick_bans[hero_name],A119,[2]!pick_bans[is_pick],FALSE)</f>
        <v>588</v>
      </c>
      <c r="D119" s="8">
        <f t="shared" si="6"/>
        <v>3.7705575611712797E-2</v>
      </c>
      <c r="E119" s="9">
        <f t="shared" si="7"/>
        <v>0.11793020457280386</v>
      </c>
      <c r="F119">
        <f>COUNTIFS([3]!players[hero_name],A119,[3]!players[win],1)</f>
        <v>97</v>
      </c>
      <c r="G119" s="11">
        <f t="shared" si="8"/>
        <v>0.51595744680851063</v>
      </c>
      <c r="H119" s="12">
        <f t="shared" si="9"/>
        <v>0.2968876684503845</v>
      </c>
      <c r="I119" t="str">
        <f t="shared" si="10"/>
        <v>B</v>
      </c>
    </row>
    <row r="120" spans="1:9" x14ac:dyDescent="0.3">
      <c r="A120" s="5" t="str">
        <v>Visage</v>
      </c>
      <c r="B120" s="6">
        <f>COUNTIFS([2]!pick_bans[hero_name],A120,[2]!pick_bans[is_pick],TRUE)</f>
        <v>22</v>
      </c>
      <c r="C120" s="6">
        <f>COUNTIFS([2]!pick_bans[hero_name],A120,[2]!pick_bans[is_pick],FALSE)</f>
        <v>567</v>
      </c>
      <c r="D120" s="8">
        <f t="shared" si="6"/>
        <v>4.4123545928600079E-3</v>
      </c>
      <c r="E120" s="9">
        <f t="shared" si="7"/>
        <v>0.11371841155234658</v>
      </c>
      <c r="F120">
        <f>COUNTIFS([3]!players[hero_name],A120,[3]!players[win],1)</f>
        <v>13</v>
      </c>
      <c r="G120" s="11">
        <f t="shared" si="8"/>
        <v>0.59090909090909094</v>
      </c>
      <c r="H120" s="12">
        <f t="shared" si="9"/>
        <v>0.32498723699084714</v>
      </c>
      <c r="I120" t="str">
        <f t="shared" si="10"/>
        <v>A</v>
      </c>
    </row>
    <row r="121" spans="1:9" x14ac:dyDescent="0.3">
      <c r="A121" s="7" t="str">
        <v>Void Spirit</v>
      </c>
      <c r="B121" s="6">
        <f>COUNTIFS([2]!pick_bans[hero_name],A121,[2]!pick_bans[is_pick],TRUE)</f>
        <v>314</v>
      </c>
      <c r="C121" s="6">
        <f>COUNTIFS([2]!pick_bans[hero_name],A121,[2]!pick_bans[is_pick],FALSE)</f>
        <v>813</v>
      </c>
      <c r="D121" s="8">
        <f t="shared" si="6"/>
        <v>6.2976333734456477E-2</v>
      </c>
      <c r="E121" s="9">
        <f t="shared" si="7"/>
        <v>0.16305655836341756</v>
      </c>
      <c r="F121">
        <f>COUNTIFS([3]!players[hero_name],A121,[3]!players[win],1)</f>
        <v>125</v>
      </c>
      <c r="G121" s="11">
        <f t="shared" si="8"/>
        <v>0.39808917197452232</v>
      </c>
      <c r="H121" s="12">
        <f t="shared" si="9"/>
        <v>0.25555280901172966</v>
      </c>
      <c r="I121" t="str">
        <f t="shared" si="10"/>
        <v>C</v>
      </c>
    </row>
    <row r="122" spans="1:9" x14ac:dyDescent="0.3">
      <c r="A122" s="5" t="str">
        <v>Warlock</v>
      </c>
      <c r="B122" s="6">
        <f>COUNTIFS([2]!pick_bans[hero_name],A122,[2]!pick_bans[is_pick],TRUE)</f>
        <v>144</v>
      </c>
      <c r="C122" s="6">
        <f>COUNTIFS([2]!pick_bans[hero_name],A122,[2]!pick_bans[is_pick],FALSE)</f>
        <v>86</v>
      </c>
      <c r="D122" s="8">
        <f t="shared" si="6"/>
        <v>2.8880866425992781E-2</v>
      </c>
      <c r="E122" s="9">
        <f t="shared" si="7"/>
        <v>1.7248295226634576E-2</v>
      </c>
      <c r="F122">
        <f>COUNTIFS([3]!players[hero_name],A122,[3]!players[win],1)</f>
        <v>68</v>
      </c>
      <c r="G122" s="11">
        <f t="shared" si="8"/>
        <v>0.47222222222222221</v>
      </c>
      <c r="H122" s="12">
        <f t="shared" si="9"/>
        <v>0.24764340152426795</v>
      </c>
      <c r="I122" t="str">
        <f t="shared" si="10"/>
        <v>C</v>
      </c>
    </row>
    <row r="123" spans="1:9" x14ac:dyDescent="0.3">
      <c r="A123" s="7" t="str">
        <v>Weaver</v>
      </c>
      <c r="B123" s="6">
        <f>COUNTIFS([2]!pick_bans[hero_name],A123,[2]!pick_bans[is_pick],TRUE)</f>
        <v>189</v>
      </c>
      <c r="C123" s="6">
        <f>COUNTIFS([2]!pick_bans[hero_name],A123,[2]!pick_bans[is_pick],FALSE)</f>
        <v>374</v>
      </c>
      <c r="D123" s="8">
        <f t="shared" si="6"/>
        <v>3.7906137184115521E-2</v>
      </c>
      <c r="E123" s="9">
        <f t="shared" si="7"/>
        <v>7.5010028078620131E-2</v>
      </c>
      <c r="F123">
        <f>COUNTIFS([3]!players[hero_name],A123,[3]!players[win],1)</f>
        <v>85</v>
      </c>
      <c r="G123" s="11">
        <f t="shared" si="8"/>
        <v>0.44973544973544971</v>
      </c>
      <c r="H123" s="12">
        <f t="shared" si="9"/>
        <v>0.25309676618340876</v>
      </c>
      <c r="I123" t="str">
        <f t="shared" si="10"/>
        <v>C</v>
      </c>
    </row>
    <row r="124" spans="1:9" x14ac:dyDescent="0.3">
      <c r="A124" s="5" t="str">
        <v>Windranger</v>
      </c>
      <c r="B124" s="6">
        <f>COUNTIFS([2]!pick_bans[hero_name],A124,[2]!pick_bans[is_pick],TRUE)</f>
        <v>160</v>
      </c>
      <c r="C124" s="6">
        <f>COUNTIFS([2]!pick_bans[hero_name],A124,[2]!pick_bans[is_pick],FALSE)</f>
        <v>686</v>
      </c>
      <c r="D124" s="8">
        <f t="shared" si="6"/>
        <v>3.2089851584436425E-2</v>
      </c>
      <c r="E124" s="9">
        <f t="shared" si="7"/>
        <v>0.13758523866827116</v>
      </c>
      <c r="F124">
        <f>COUNTIFS([3]!players[hero_name],A124,[3]!players[win],1)</f>
        <v>93</v>
      </c>
      <c r="G124" s="11">
        <f t="shared" si="8"/>
        <v>0.58125000000000004</v>
      </c>
      <c r="H124" s="12">
        <f t="shared" si="9"/>
        <v>0.33304377256317691</v>
      </c>
      <c r="I124" t="str">
        <f t="shared" si="10"/>
        <v>A</v>
      </c>
    </row>
    <row r="125" spans="1:9" x14ac:dyDescent="0.3">
      <c r="A125" s="7" t="str">
        <v>Winter Wyvern</v>
      </c>
      <c r="B125" s="6">
        <f>COUNTIFS([2]!pick_bans[hero_name],A125,[2]!pick_bans[is_pick],TRUE)</f>
        <v>111</v>
      </c>
      <c r="C125" s="6">
        <f>COUNTIFS([2]!pick_bans[hero_name],A125,[2]!pick_bans[is_pick],FALSE)</f>
        <v>84</v>
      </c>
      <c r="D125" s="8">
        <f t="shared" si="6"/>
        <v>2.2262334536702767E-2</v>
      </c>
      <c r="E125" s="9">
        <f t="shared" si="7"/>
        <v>1.684717208182912E-2</v>
      </c>
      <c r="F125">
        <f>COUNTIFS([3]!players[hero_name],A125,[3]!players[win],1)</f>
        <v>47</v>
      </c>
      <c r="G125" s="11">
        <f t="shared" si="8"/>
        <v>0.42342342342342343</v>
      </c>
      <c r="H125" s="12">
        <f t="shared" si="9"/>
        <v>0.22148908836634468</v>
      </c>
      <c r="I125" t="str">
        <f t="shared" si="10"/>
        <v>C</v>
      </c>
    </row>
    <row r="126" spans="1:9" x14ac:dyDescent="0.3">
      <c r="A126" s="5" t="str">
        <v>Witch Doctor</v>
      </c>
      <c r="B126" s="6">
        <f>COUNTIFS([2]!pick_bans[hero_name],A126,[2]!pick_bans[is_pick],TRUE)</f>
        <v>95</v>
      </c>
      <c r="C126" s="6">
        <f>COUNTIFS([2]!pick_bans[hero_name],A126,[2]!pick_bans[is_pick],FALSE)</f>
        <v>116</v>
      </c>
      <c r="D126" s="8">
        <f t="shared" si="6"/>
        <v>1.9053349378259126E-2</v>
      </c>
      <c r="E126" s="9">
        <f t="shared" si="7"/>
        <v>2.3265142398716406E-2</v>
      </c>
      <c r="F126">
        <f>COUNTIFS([3]!players[hero_name],A126,[3]!players[win],1)</f>
        <v>51</v>
      </c>
      <c r="G126" s="11">
        <f t="shared" si="8"/>
        <v>0.5368421052631579</v>
      </c>
      <c r="H126" s="12">
        <f t="shared" si="9"/>
        <v>0.27900067557582287</v>
      </c>
      <c r="I126" t="str">
        <f t="shared" si="10"/>
        <v>B</v>
      </c>
    </row>
    <row r="127" spans="1:9" x14ac:dyDescent="0.3">
      <c r="A127" s="7" t="str">
        <v>Wraith King</v>
      </c>
      <c r="B127" s="6">
        <f>COUNTIFS([2]!pick_bans[hero_name],A127,[2]!pick_bans[is_pick],TRUE)</f>
        <v>115</v>
      </c>
      <c r="C127" s="6">
        <f>COUNTIFS([2]!pick_bans[hero_name],A127,[2]!pick_bans[is_pick],FALSE)</f>
        <v>76</v>
      </c>
      <c r="D127" s="8">
        <f t="shared" si="6"/>
        <v>2.3064580826313678E-2</v>
      </c>
      <c r="E127" s="9">
        <f t="shared" si="7"/>
        <v>1.52426795026073E-2</v>
      </c>
      <c r="F127">
        <f>COUNTIFS([3]!players[hero_name],A127,[3]!players[win],1)</f>
        <v>59</v>
      </c>
      <c r="G127" s="11">
        <f t="shared" si="8"/>
        <v>0.5130434782608696</v>
      </c>
      <c r="H127" s="12">
        <f t="shared" si="9"/>
        <v>0.26609855421266504</v>
      </c>
      <c r="I127" t="str">
        <f t="shared" si="10"/>
        <v>C</v>
      </c>
    </row>
    <row r="128" spans="1:9" x14ac:dyDescent="0.3">
      <c r="A128" s="1" t="str">
        <v>Zeus</v>
      </c>
      <c r="B128" s="6">
        <f>COUNTIFS([2]!pick_bans[hero_name],A128,[2]!pick_bans[is_pick],TRUE)</f>
        <v>170</v>
      </c>
      <c r="C128" s="6">
        <f>COUNTIFS([2]!pick_bans[hero_name],A128,[2]!pick_bans[is_pick],FALSE)</f>
        <v>196</v>
      </c>
      <c r="D128" s="8">
        <f t="shared" si="6"/>
        <v>3.4095467308463696E-2</v>
      </c>
      <c r="E128" s="9">
        <f t="shared" si="7"/>
        <v>3.9310068190934619E-2</v>
      </c>
      <c r="F128">
        <f>COUNTIFS([3]!players[hero_name],A128,[3]!players[win],1)</f>
        <v>83</v>
      </c>
      <c r="G128" s="11">
        <f t="shared" si="8"/>
        <v>0.48823529411764705</v>
      </c>
      <c r="H128" s="12">
        <f t="shared" si="9"/>
        <v>0.26246903093367313</v>
      </c>
      <c r="I128" t="str">
        <f t="shared" si="10"/>
        <v>C</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C45A1-866E-4AD5-9E75-A57092A9CAEF}">
  <dimension ref="A1:J541"/>
  <sheetViews>
    <sheetView workbookViewId="0">
      <selection activeCell="D1" sqref="D1:D1048576"/>
    </sheetView>
  </sheetViews>
  <sheetFormatPr defaultRowHeight="14.4" x14ac:dyDescent="0.3"/>
  <cols>
    <col min="1" max="1" width="17.33203125" bestFit="1" customWidth="1"/>
    <col min="2" max="2" width="11.109375" bestFit="1" customWidth="1"/>
    <col min="3" max="3" width="12.109375" bestFit="1" customWidth="1"/>
    <col min="4" max="4" width="10.21875" bestFit="1" customWidth="1"/>
    <col min="9" max="9" width="10.6640625" bestFit="1" customWidth="1"/>
    <col min="10" max="10" width="12.21875" bestFit="1" customWidth="1"/>
  </cols>
  <sheetData>
    <row r="1" spans="1:10" x14ac:dyDescent="0.3">
      <c r="A1" t="s">
        <v>0</v>
      </c>
      <c r="B1" t="s">
        <v>9</v>
      </c>
      <c r="C1" s="3" t="s">
        <v>1</v>
      </c>
      <c r="D1" s="10" t="s">
        <v>5</v>
      </c>
      <c r="E1" s="10" t="s">
        <v>6</v>
      </c>
      <c r="F1" s="10" t="s">
        <v>10</v>
      </c>
      <c r="G1" s="10" t="s">
        <v>11</v>
      </c>
      <c r="I1" s="10"/>
      <c r="J1" s="10"/>
    </row>
    <row r="2" spans="1:10" x14ac:dyDescent="0.3">
      <c r="A2" t="str" cm="1">
        <f t="array" ref="A2:B541">_xlfn._xlws.SORT(_xlfn.UNIQUE(CHOOSE({1,2},[3]!players[hero_name],[3]!players[lane_name])),1,1)</f>
        <v>Abaddon</v>
      </c>
      <c r="B2" t="str">
        <v>Carry</v>
      </c>
      <c r="C2">
        <f>COUNTIFS([3]!players[hero_name], A2,
[3]!players[lane_name], B2)</f>
        <v>24</v>
      </c>
      <c r="D2">
        <f>COUNTIFS([3]!players[hero_name], A2,
[3]!players[lane_name], B2,
[3]!players[win], 1)</f>
        <v>7</v>
      </c>
      <c r="E2" s="11">
        <f>D2/C2</f>
        <v>0.29166666666666669</v>
      </c>
      <c r="F2" t="str">
        <f>IF(C2&gt;=10, "Yes", "No")</f>
        <v>Yes</v>
      </c>
      <c r="G2">
        <f>IF(F2="No","N/A",COUNTIFS(B$2:B$409, B2, F$2:F$409, "Yes", E$2:E$409, "&gt;"&amp;E2)+1)</f>
        <v>37</v>
      </c>
    </row>
    <row r="3" spans="1:10" x14ac:dyDescent="0.3">
      <c r="A3" t="str">
        <v>Abaddon</v>
      </c>
      <c r="B3" t="str">
        <v>Off Lane</v>
      </c>
      <c r="C3">
        <f>COUNTIFS([3]!players[hero_name], A3,
[3]!players[lane_name], B3)</f>
        <v>21</v>
      </c>
      <c r="D3">
        <f>COUNTIFS([3]!players[hero_name], A3,
[3]!players[lane_name], B3,
[3]!players[win], 1)</f>
        <v>7</v>
      </c>
      <c r="E3" s="11">
        <f>D3/C3</f>
        <v>0.33333333333333331</v>
      </c>
      <c r="F3" t="str">
        <f>IF(C3&gt;=10, "Yes", "No")</f>
        <v>Yes</v>
      </c>
      <c r="G3">
        <f>IF(F3="No","N/A",COUNTIFS(B$2:B$409, B3, F$2:F$409, "Yes", E$2:E$409, "&gt;"&amp;E3)+1)</f>
        <v>38</v>
      </c>
    </row>
    <row r="4" spans="1:10" x14ac:dyDescent="0.3">
      <c r="A4" t="str">
        <v>Abaddon</v>
      </c>
      <c r="B4" t="str">
        <v>Hard Support</v>
      </c>
      <c r="C4">
        <f>COUNTIFS([3]!players[hero_name], A4,
[3]!players[lane_name], B4)</f>
        <v>9</v>
      </c>
      <c r="D4">
        <f>COUNTIFS([3]!players[hero_name], A4,
[3]!players[lane_name], B4,
[3]!players[win], 1)</f>
        <v>3</v>
      </c>
      <c r="E4" s="11">
        <f>D4/C4</f>
        <v>0.33333333333333331</v>
      </c>
      <c r="F4" t="str">
        <f>IF(C4&gt;=10, "Yes", "No")</f>
        <v>No</v>
      </c>
      <c r="G4" t="str">
        <f>IF(F4="No","N/A",COUNTIFS(B$2:B$409, B4, F$2:F$409, "Yes", E$2:E$409, "&gt;"&amp;E4)+1)</f>
        <v>N/A</v>
      </c>
    </row>
    <row r="5" spans="1:10" x14ac:dyDescent="0.3">
      <c r="A5" t="str">
        <v>Abaddon</v>
      </c>
      <c r="B5" t="str">
        <v>Soft Support</v>
      </c>
      <c r="C5">
        <f>COUNTIFS([3]!players[hero_name], A5,
[3]!players[lane_name], B5)</f>
        <v>3</v>
      </c>
      <c r="D5">
        <f>COUNTIFS([3]!players[hero_name], A5,
[3]!players[lane_name], B5,
[3]!players[win], 1)</f>
        <v>2</v>
      </c>
      <c r="E5" s="11">
        <f>D5/C5</f>
        <v>0.66666666666666663</v>
      </c>
      <c r="F5" t="str">
        <f>IF(C5&gt;=10, "Yes", "No")</f>
        <v>No</v>
      </c>
      <c r="G5" t="str">
        <f>IF(F5="No","N/A",COUNTIFS(B$2:B$409, B5, F$2:F$409, "Yes", E$2:E$409, "&gt;"&amp;E5)+1)</f>
        <v>N/A</v>
      </c>
    </row>
    <row r="6" spans="1:10" x14ac:dyDescent="0.3">
      <c r="A6" t="str">
        <v>Alchemist</v>
      </c>
      <c r="B6" t="str">
        <v>Mid</v>
      </c>
      <c r="C6">
        <f>COUNTIFS([3]!players[hero_name], A6,
[3]!players[lane_name], B6)</f>
        <v>24</v>
      </c>
      <c r="D6">
        <f>COUNTIFS([3]!players[hero_name], A6,
[3]!players[lane_name], B6,
[3]!players[win], 1)</f>
        <v>15</v>
      </c>
      <c r="E6" s="11">
        <f>D6/C6</f>
        <v>0.625</v>
      </c>
      <c r="F6" t="str">
        <f>IF(C6&gt;=10, "Yes", "No")</f>
        <v>Yes</v>
      </c>
      <c r="G6">
        <f>IF(F6="No","N/A",COUNTIFS(B$2:B$409, B6, F$2:F$409, "Yes", E$2:E$409, "&gt;"&amp;E6)+1)</f>
        <v>2</v>
      </c>
    </row>
    <row r="7" spans="1:10" x14ac:dyDescent="0.3">
      <c r="A7" t="str">
        <v>Alchemist</v>
      </c>
      <c r="B7" t="str">
        <v>Carry</v>
      </c>
      <c r="C7">
        <f>COUNTIFS([3]!players[hero_name], A7,
[3]!players[lane_name], B7)</f>
        <v>247</v>
      </c>
      <c r="D7">
        <f>COUNTIFS([3]!players[hero_name], A7,
[3]!players[lane_name], B7,
[3]!players[win], 1)</f>
        <v>126</v>
      </c>
      <c r="E7" s="11">
        <f>D7/C7</f>
        <v>0.51012145748987858</v>
      </c>
      <c r="F7" t="str">
        <f>IF(C7&gt;=10, "Yes", "No")</f>
        <v>Yes</v>
      </c>
      <c r="G7">
        <f>IF(F7="No","N/A",COUNTIFS(B$2:B$409, B7, F$2:F$409, "Yes", E$2:E$409, "&gt;"&amp;E7)+1)</f>
        <v>14</v>
      </c>
    </row>
    <row r="8" spans="1:10" x14ac:dyDescent="0.3">
      <c r="A8" t="str">
        <v>Alchemist</v>
      </c>
      <c r="B8" t="str">
        <v>Soft Support</v>
      </c>
      <c r="C8">
        <f>COUNTIFS([3]!players[hero_name], A8,
[3]!players[lane_name], B8)</f>
        <v>4</v>
      </c>
      <c r="D8">
        <f>COUNTIFS([3]!players[hero_name], A8,
[3]!players[lane_name], B8,
[3]!players[win], 1)</f>
        <v>2</v>
      </c>
      <c r="E8" s="11">
        <f>D8/C8</f>
        <v>0.5</v>
      </c>
      <c r="F8" t="str">
        <f>IF(C8&gt;=10, "Yes", "No")</f>
        <v>No</v>
      </c>
      <c r="G8" t="str">
        <f>IF(F8="No","N/A",COUNTIFS(B$2:B$409, B8, F$2:F$409, "Yes", E$2:E$409, "&gt;"&amp;E8)+1)</f>
        <v>N/A</v>
      </c>
    </row>
    <row r="9" spans="1:10" x14ac:dyDescent="0.3">
      <c r="A9" t="str">
        <v>Alchemist</v>
      </c>
      <c r="B9" t="str">
        <v>Off Lane</v>
      </c>
      <c r="C9">
        <f>COUNTIFS([3]!players[hero_name], A9,
[3]!players[lane_name], B9)</f>
        <v>28</v>
      </c>
      <c r="D9">
        <f>COUNTIFS([3]!players[hero_name], A9,
[3]!players[lane_name], B9,
[3]!players[win], 1)</f>
        <v>16</v>
      </c>
      <c r="E9" s="11">
        <f>D9/C9</f>
        <v>0.5714285714285714</v>
      </c>
      <c r="F9" t="str">
        <f>IF(C9&gt;=10, "Yes", "No")</f>
        <v>Yes</v>
      </c>
      <c r="G9">
        <f>IF(F9="No","N/A",COUNTIFS(B$2:B$409, B9, F$2:F$409, "Yes", E$2:E$409, "&gt;"&amp;E9)+1)</f>
        <v>6</v>
      </c>
    </row>
    <row r="10" spans="1:10" x14ac:dyDescent="0.3">
      <c r="A10" t="str">
        <v>Alchemist</v>
      </c>
      <c r="B10" t="str">
        <v>Roam</v>
      </c>
      <c r="C10">
        <f>COUNTIFS([3]!players[hero_name], A10,
[3]!players[lane_name], B10)</f>
        <v>1</v>
      </c>
      <c r="D10">
        <f>COUNTIFS([3]!players[hero_name], A10,
[3]!players[lane_name], B10,
[3]!players[win], 1)</f>
        <v>1</v>
      </c>
      <c r="E10" s="11">
        <f>D10/C10</f>
        <v>1</v>
      </c>
      <c r="F10" t="str">
        <f>IF(C10&gt;=10, "Yes", "No")</f>
        <v>No</v>
      </c>
      <c r="G10" t="str">
        <f>IF(F10="No","N/A",COUNTIFS(B$2:B$409, B10, F$2:F$409, "Yes", E$2:E$409, "&gt;"&amp;E10)+1)</f>
        <v>N/A</v>
      </c>
    </row>
    <row r="11" spans="1:10" x14ac:dyDescent="0.3">
      <c r="A11" t="str">
        <v>Ancient Apparition</v>
      </c>
      <c r="B11" t="str">
        <v>Hard Support</v>
      </c>
      <c r="C11">
        <f>COUNTIFS([3]!players[hero_name], A11,
[3]!players[lane_name], B11)</f>
        <v>33</v>
      </c>
      <c r="D11">
        <f>COUNTIFS([3]!players[hero_name], A11,
[3]!players[lane_name], B11,
[3]!players[win], 1)</f>
        <v>16</v>
      </c>
      <c r="E11" s="11">
        <f>D11/C11</f>
        <v>0.48484848484848486</v>
      </c>
      <c r="F11" t="str">
        <f>IF(C11&gt;=10, "Yes", "No")</f>
        <v>Yes</v>
      </c>
      <c r="G11">
        <f>IF(F11="No","N/A",COUNTIFS(B$2:B$409, B11, F$2:F$409, "Yes", E$2:E$409, "&gt;"&amp;E11)+1)</f>
        <v>21</v>
      </c>
    </row>
    <row r="12" spans="1:10" x14ac:dyDescent="0.3">
      <c r="A12" t="str">
        <v>Ancient Apparition</v>
      </c>
      <c r="B12" t="str">
        <v>Soft Support</v>
      </c>
      <c r="C12">
        <f>COUNTIFS([3]!players[hero_name], A12,
[3]!players[lane_name], B12)</f>
        <v>25</v>
      </c>
      <c r="D12">
        <f>COUNTIFS([3]!players[hero_name], A12,
[3]!players[lane_name], B12,
[3]!players[win], 1)</f>
        <v>9</v>
      </c>
      <c r="E12" s="11">
        <f>D12/C12</f>
        <v>0.36</v>
      </c>
      <c r="F12" t="str">
        <f>IF(C12&gt;=10, "Yes", "No")</f>
        <v>Yes</v>
      </c>
      <c r="G12">
        <f>IF(F12="No","N/A",COUNTIFS(B$2:B$409, B12, F$2:F$409, "Yes", E$2:E$409, "&gt;"&amp;E12)+1)</f>
        <v>38</v>
      </c>
    </row>
    <row r="13" spans="1:10" x14ac:dyDescent="0.3">
      <c r="A13" t="str">
        <v>Ancient Apparition</v>
      </c>
      <c r="B13" t="str">
        <v>Roam</v>
      </c>
      <c r="C13">
        <f>COUNTIFS([3]!players[hero_name], A13,
[3]!players[lane_name], B13)</f>
        <v>7</v>
      </c>
      <c r="D13">
        <f>COUNTIFS([3]!players[hero_name], A13,
[3]!players[lane_name], B13,
[3]!players[win], 1)</f>
        <v>4</v>
      </c>
      <c r="E13" s="11">
        <f>D13/C13</f>
        <v>0.5714285714285714</v>
      </c>
      <c r="F13" t="str">
        <f>IF(C13&gt;=10, "Yes", "No")</f>
        <v>No</v>
      </c>
      <c r="G13" t="str">
        <f>IF(F13="No","N/A",COUNTIFS(B$2:B$409, B13, F$2:F$409, "Yes", E$2:E$409, "&gt;"&amp;E13)+1)</f>
        <v>N/A</v>
      </c>
    </row>
    <row r="14" spans="1:10" x14ac:dyDescent="0.3">
      <c r="A14" t="str">
        <v>Anti-Mage</v>
      </c>
      <c r="B14" t="str">
        <v>Carry</v>
      </c>
      <c r="C14">
        <f>COUNTIFS([3]!players[hero_name], A14,
[3]!players[lane_name], B14)</f>
        <v>59</v>
      </c>
      <c r="D14">
        <f>COUNTIFS([3]!players[hero_name], A14,
[3]!players[lane_name], B14,
[3]!players[win], 1)</f>
        <v>32</v>
      </c>
      <c r="E14" s="11">
        <f>D14/C14</f>
        <v>0.5423728813559322</v>
      </c>
      <c r="F14" t="str">
        <f>IF(C14&gt;=10, "Yes", "No")</f>
        <v>Yes</v>
      </c>
      <c r="G14">
        <f>IF(F14="No","N/A",COUNTIFS(B$2:B$409, B14, F$2:F$409, "Yes", E$2:E$409, "&gt;"&amp;E14)+1)</f>
        <v>9</v>
      </c>
    </row>
    <row r="15" spans="1:10" x14ac:dyDescent="0.3">
      <c r="A15" t="str">
        <v>Anti-Mage</v>
      </c>
      <c r="B15" t="str">
        <v>Off Lane</v>
      </c>
      <c r="C15">
        <f>COUNTIFS([3]!players[hero_name], A15,
[3]!players[lane_name], B15)</f>
        <v>11</v>
      </c>
      <c r="D15">
        <f>COUNTIFS([3]!players[hero_name], A15,
[3]!players[lane_name], B15,
[3]!players[win], 1)</f>
        <v>3</v>
      </c>
      <c r="E15" s="11">
        <f>D15/C15</f>
        <v>0.27272727272727271</v>
      </c>
      <c r="F15" t="str">
        <f>IF(C15&gt;=10, "Yes", "No")</f>
        <v>Yes</v>
      </c>
      <c r="G15">
        <f>IF(F15="No","N/A",COUNTIFS(B$2:B$409, B15, F$2:F$409, "Yes", E$2:E$409, "&gt;"&amp;E15)+1)</f>
        <v>39</v>
      </c>
    </row>
    <row r="16" spans="1:10" x14ac:dyDescent="0.3">
      <c r="A16" t="str">
        <v>Anti-Mage</v>
      </c>
      <c r="B16" t="str">
        <v>Mid</v>
      </c>
      <c r="C16">
        <f>COUNTIFS([3]!players[hero_name], A16,
[3]!players[lane_name], B16)</f>
        <v>1</v>
      </c>
      <c r="D16">
        <f>COUNTIFS([3]!players[hero_name], A16,
[3]!players[lane_name], B16,
[3]!players[win], 1)</f>
        <v>1</v>
      </c>
      <c r="E16" s="11">
        <f>D16/C16</f>
        <v>1</v>
      </c>
      <c r="F16" t="str">
        <f>IF(C16&gt;=10, "Yes", "No")</f>
        <v>No</v>
      </c>
      <c r="G16" t="str">
        <f>IF(F16="No","N/A",COUNTIFS(B$2:B$409, B16, F$2:F$409, "Yes", E$2:E$409, "&gt;"&amp;E16)+1)</f>
        <v>N/A</v>
      </c>
    </row>
    <row r="17" spans="1:7" x14ac:dyDescent="0.3">
      <c r="A17" t="str">
        <v>Arc Warden</v>
      </c>
      <c r="B17" t="str">
        <v>Mid</v>
      </c>
      <c r="C17">
        <f>COUNTIFS([3]!players[hero_name], A17,
[3]!players[lane_name], B17)</f>
        <v>13</v>
      </c>
      <c r="D17">
        <f>COUNTIFS([3]!players[hero_name], A17,
[3]!players[lane_name], B17,
[3]!players[win], 1)</f>
        <v>8</v>
      </c>
      <c r="E17" s="11">
        <f>D17/C17</f>
        <v>0.61538461538461542</v>
      </c>
      <c r="F17" t="str">
        <f>IF(C17&gt;=10, "Yes", "No")</f>
        <v>Yes</v>
      </c>
      <c r="G17">
        <f>IF(F17="No","N/A",COUNTIFS(B$2:B$409, B17, F$2:F$409, "Yes", E$2:E$409, "&gt;"&amp;E17)+1)</f>
        <v>3</v>
      </c>
    </row>
    <row r="18" spans="1:7" x14ac:dyDescent="0.3">
      <c r="A18" t="str">
        <v>Axe</v>
      </c>
      <c r="B18" t="str">
        <v>Off Lane</v>
      </c>
      <c r="C18">
        <f>COUNTIFS([3]!players[hero_name], A18,
[3]!players[lane_name], B18)</f>
        <v>204</v>
      </c>
      <c r="D18">
        <f>COUNTIFS([3]!players[hero_name], A18,
[3]!players[lane_name], B18,
[3]!players[win], 1)</f>
        <v>98</v>
      </c>
      <c r="E18" s="11">
        <f>D18/C18</f>
        <v>0.48039215686274511</v>
      </c>
      <c r="F18" t="str">
        <f>IF(C18&gt;=10, "Yes", "No")</f>
        <v>Yes</v>
      </c>
      <c r="G18">
        <f>IF(F18="No","N/A",COUNTIFS(B$2:B$409, B18, F$2:F$409, "Yes", E$2:E$409, "&gt;"&amp;E18)+1)</f>
        <v>23</v>
      </c>
    </row>
    <row r="19" spans="1:7" x14ac:dyDescent="0.3">
      <c r="A19" t="str">
        <v>Axe</v>
      </c>
      <c r="B19" t="str">
        <v>Soft Support</v>
      </c>
      <c r="C19">
        <f>COUNTIFS([3]!players[hero_name], A19,
[3]!players[lane_name], B19)</f>
        <v>7</v>
      </c>
      <c r="D19">
        <f>COUNTIFS([3]!players[hero_name], A19,
[3]!players[lane_name], B19,
[3]!players[win], 1)</f>
        <v>3</v>
      </c>
      <c r="E19" s="11">
        <f>D19/C19</f>
        <v>0.42857142857142855</v>
      </c>
      <c r="F19" t="str">
        <f>IF(C19&gt;=10, "Yes", "No")</f>
        <v>No</v>
      </c>
      <c r="G19" t="str">
        <f>IF(F19="No","N/A",COUNTIFS(B$2:B$409, B19, F$2:F$409, "Yes", E$2:E$409, "&gt;"&amp;E19)+1)</f>
        <v>N/A</v>
      </c>
    </row>
    <row r="20" spans="1:7" x14ac:dyDescent="0.3">
      <c r="A20" t="str">
        <v>Bane</v>
      </c>
      <c r="B20" t="str">
        <v>Hard Support</v>
      </c>
      <c r="C20">
        <f>COUNTIFS([3]!players[hero_name], A20,
[3]!players[lane_name], B20)</f>
        <v>42</v>
      </c>
      <c r="D20">
        <f>COUNTIFS([3]!players[hero_name], A20,
[3]!players[lane_name], B20,
[3]!players[win], 1)</f>
        <v>21</v>
      </c>
      <c r="E20" s="11">
        <f>D20/C20</f>
        <v>0.5</v>
      </c>
      <c r="F20" t="str">
        <f>IF(C20&gt;=10, "Yes", "No")</f>
        <v>Yes</v>
      </c>
      <c r="G20">
        <f>IF(F20="No","N/A",COUNTIFS(B$2:B$409, B20, F$2:F$409, "Yes", E$2:E$409, "&gt;"&amp;E20)+1)</f>
        <v>19</v>
      </c>
    </row>
    <row r="21" spans="1:7" x14ac:dyDescent="0.3">
      <c r="A21" t="str">
        <v>Bane</v>
      </c>
      <c r="B21" t="str">
        <v>Soft Support</v>
      </c>
      <c r="C21">
        <f>COUNTIFS([3]!players[hero_name], A21,
[3]!players[lane_name], B21)</f>
        <v>22</v>
      </c>
      <c r="D21">
        <f>COUNTIFS([3]!players[hero_name], A21,
[3]!players[lane_name], B21,
[3]!players[win], 1)</f>
        <v>15</v>
      </c>
      <c r="E21" s="11">
        <f>D21/C21</f>
        <v>0.68181818181818177</v>
      </c>
      <c r="F21" t="str">
        <f>IF(C21&gt;=10, "Yes", "No")</f>
        <v>Yes</v>
      </c>
      <c r="G21">
        <f>IF(F21="No","N/A",COUNTIFS(B$2:B$409, B21, F$2:F$409, "Yes", E$2:E$409, "&gt;"&amp;E21)+1)</f>
        <v>5</v>
      </c>
    </row>
    <row r="22" spans="1:7" x14ac:dyDescent="0.3">
      <c r="A22" t="str">
        <v>Bane</v>
      </c>
      <c r="B22" t="str">
        <v>Roam</v>
      </c>
      <c r="C22">
        <f>COUNTIFS([3]!players[hero_name], A22,
[3]!players[lane_name], B22)</f>
        <v>5</v>
      </c>
      <c r="D22">
        <f>COUNTIFS([3]!players[hero_name], A22,
[3]!players[lane_name], B22,
[3]!players[win], 1)</f>
        <v>3</v>
      </c>
      <c r="E22" s="11">
        <f>D22/C22</f>
        <v>0.6</v>
      </c>
      <c r="F22" t="str">
        <f>IF(C22&gt;=10, "Yes", "No")</f>
        <v>No</v>
      </c>
      <c r="G22" t="str">
        <f>IF(F22="No","N/A",COUNTIFS(B$2:B$409, B22, F$2:F$409, "Yes", E$2:E$409, "&gt;"&amp;E22)+1)</f>
        <v>N/A</v>
      </c>
    </row>
    <row r="23" spans="1:7" x14ac:dyDescent="0.3">
      <c r="A23" t="str">
        <v>Batrider</v>
      </c>
      <c r="B23" t="str">
        <v>Off Lane</v>
      </c>
      <c r="C23">
        <f>COUNTIFS([3]!players[hero_name], A23,
[3]!players[lane_name], B23)</f>
        <v>157</v>
      </c>
      <c r="D23">
        <f>COUNTIFS([3]!players[hero_name], A23,
[3]!players[lane_name], B23,
[3]!players[win], 1)</f>
        <v>100</v>
      </c>
      <c r="E23" s="11">
        <f>D23/C23</f>
        <v>0.63694267515923564</v>
      </c>
      <c r="F23" t="str">
        <f>IF(C23&gt;=10, "Yes", "No")</f>
        <v>Yes</v>
      </c>
      <c r="G23">
        <f>IF(F23="No","N/A",COUNTIFS(B$2:B$409, B23, F$2:F$409, "Yes", E$2:E$409, "&gt;"&amp;E23)+1)</f>
        <v>3</v>
      </c>
    </row>
    <row r="24" spans="1:7" x14ac:dyDescent="0.3">
      <c r="A24" t="str">
        <v>Batrider</v>
      </c>
      <c r="B24" t="str">
        <v>Soft Support</v>
      </c>
      <c r="C24">
        <f>COUNTIFS([3]!players[hero_name], A24,
[3]!players[lane_name], B24)</f>
        <v>63</v>
      </c>
      <c r="D24">
        <f>COUNTIFS([3]!players[hero_name], A24,
[3]!players[lane_name], B24,
[3]!players[win], 1)</f>
        <v>33</v>
      </c>
      <c r="E24" s="11">
        <f>D24/C24</f>
        <v>0.52380952380952384</v>
      </c>
      <c r="F24" t="str">
        <f>IF(C24&gt;=10, "Yes", "No")</f>
        <v>Yes</v>
      </c>
      <c r="G24">
        <f>IF(F24="No","N/A",COUNTIFS(B$2:B$409, B24, F$2:F$409, "Yes", E$2:E$409, "&gt;"&amp;E24)+1)</f>
        <v>17</v>
      </c>
    </row>
    <row r="25" spans="1:7" x14ac:dyDescent="0.3">
      <c r="A25" t="str">
        <v>Batrider</v>
      </c>
      <c r="B25" t="str">
        <v>Roam</v>
      </c>
      <c r="C25">
        <f>COUNTIFS([3]!players[hero_name], A25,
[3]!players[lane_name], B25)</f>
        <v>17</v>
      </c>
      <c r="D25">
        <f>COUNTIFS([3]!players[hero_name], A25,
[3]!players[lane_name], B25,
[3]!players[win], 1)</f>
        <v>6</v>
      </c>
      <c r="E25" s="11">
        <f>D25/C25</f>
        <v>0.35294117647058826</v>
      </c>
      <c r="F25" t="str">
        <f>IF(C25&gt;=10, "Yes", "No")</f>
        <v>Yes</v>
      </c>
      <c r="G25">
        <f>IF(F25="No","N/A",COUNTIFS(B$2:B$409, B25, F$2:F$409, "Yes", E$2:E$409, "&gt;"&amp;E25)+1)</f>
        <v>25</v>
      </c>
    </row>
    <row r="26" spans="1:7" x14ac:dyDescent="0.3">
      <c r="A26" t="str">
        <v>Batrider</v>
      </c>
      <c r="B26" t="str">
        <v>Mid</v>
      </c>
      <c r="C26">
        <f>COUNTIFS([3]!players[hero_name], A26,
[3]!players[lane_name], B26)</f>
        <v>28</v>
      </c>
      <c r="D26">
        <f>COUNTIFS([3]!players[hero_name], A26,
[3]!players[lane_name], B26,
[3]!players[win], 1)</f>
        <v>15</v>
      </c>
      <c r="E26" s="11">
        <f>D26/C26</f>
        <v>0.5357142857142857</v>
      </c>
      <c r="F26" t="str">
        <f>IF(C26&gt;=10, "Yes", "No")</f>
        <v>Yes</v>
      </c>
      <c r="G26">
        <f>IF(F26="No","N/A",COUNTIFS(B$2:B$409, B26, F$2:F$409, "Yes", E$2:E$409, "&gt;"&amp;E26)+1)</f>
        <v>15</v>
      </c>
    </row>
    <row r="27" spans="1:7" x14ac:dyDescent="0.3">
      <c r="A27" t="str">
        <v>Batrider</v>
      </c>
      <c r="B27" t="str">
        <v>Hard Support</v>
      </c>
      <c r="C27">
        <f>COUNTIFS([3]!players[hero_name], A27,
[3]!players[lane_name], B27)</f>
        <v>14</v>
      </c>
      <c r="D27">
        <f>COUNTIFS([3]!players[hero_name], A27,
[3]!players[lane_name], B27,
[3]!players[win], 1)</f>
        <v>9</v>
      </c>
      <c r="E27" s="11">
        <f>D27/C27</f>
        <v>0.6428571428571429</v>
      </c>
      <c r="F27" t="str">
        <f>IF(C27&gt;=10, "Yes", "No")</f>
        <v>Yes</v>
      </c>
      <c r="G27">
        <f>IF(F27="No","N/A",COUNTIFS(B$2:B$409, B27, F$2:F$409, "Yes", E$2:E$409, "&gt;"&amp;E27)+1)</f>
        <v>5</v>
      </c>
    </row>
    <row r="28" spans="1:7" x14ac:dyDescent="0.3">
      <c r="A28" t="str">
        <v>Batrider</v>
      </c>
      <c r="B28" t="str">
        <v>Carry</v>
      </c>
      <c r="C28">
        <f>COUNTIFS([3]!players[hero_name], A28,
[3]!players[lane_name], B28)</f>
        <v>4</v>
      </c>
      <c r="D28">
        <f>COUNTIFS([3]!players[hero_name], A28,
[3]!players[lane_name], B28,
[3]!players[win], 1)</f>
        <v>2</v>
      </c>
      <c r="E28" s="11">
        <f>D28/C28</f>
        <v>0.5</v>
      </c>
      <c r="F28" t="str">
        <f>IF(C28&gt;=10, "Yes", "No")</f>
        <v>No</v>
      </c>
      <c r="G28" t="str">
        <f>IF(F28="No","N/A",COUNTIFS(B$2:B$409, B28, F$2:F$409, "Yes", E$2:E$409, "&gt;"&amp;E28)+1)</f>
        <v>N/A</v>
      </c>
    </row>
    <row r="29" spans="1:7" x14ac:dyDescent="0.3">
      <c r="A29" t="str">
        <v>Beastmaster</v>
      </c>
      <c r="B29" t="str">
        <v>Off Lane</v>
      </c>
      <c r="C29">
        <f>COUNTIFS([3]!players[hero_name], A29,
[3]!players[lane_name], B29)</f>
        <v>162</v>
      </c>
      <c r="D29">
        <f>COUNTIFS([3]!players[hero_name], A29,
[3]!players[lane_name], B29,
[3]!players[win], 1)</f>
        <v>80</v>
      </c>
      <c r="E29" s="11">
        <f>D29/C29</f>
        <v>0.49382716049382713</v>
      </c>
      <c r="F29" t="str">
        <f>IF(C29&gt;=10, "Yes", "No")</f>
        <v>Yes</v>
      </c>
      <c r="G29">
        <f>IF(F29="No","N/A",COUNTIFS(B$2:B$409, B29, F$2:F$409, "Yes", E$2:E$409, "&gt;"&amp;E29)+1)</f>
        <v>22</v>
      </c>
    </row>
    <row r="30" spans="1:7" x14ac:dyDescent="0.3">
      <c r="A30" t="str">
        <v>Beastmaster</v>
      </c>
      <c r="B30" t="str">
        <v>Mid</v>
      </c>
      <c r="C30">
        <f>COUNTIFS([3]!players[hero_name], A30,
[3]!players[lane_name], B30)</f>
        <v>151</v>
      </c>
      <c r="D30">
        <f>COUNTIFS([3]!players[hero_name], A30,
[3]!players[lane_name], B30,
[3]!players[win], 1)</f>
        <v>72</v>
      </c>
      <c r="E30" s="11">
        <f>D30/C30</f>
        <v>0.47682119205298013</v>
      </c>
      <c r="F30" t="str">
        <f>IF(C30&gt;=10, "Yes", "No")</f>
        <v>Yes</v>
      </c>
      <c r="G30">
        <f>IF(F30="No","N/A",COUNTIFS(B$2:B$409, B30, F$2:F$409, "Yes", E$2:E$409, "&gt;"&amp;E30)+1)</f>
        <v>28</v>
      </c>
    </row>
    <row r="31" spans="1:7" x14ac:dyDescent="0.3">
      <c r="A31" t="str">
        <v>Beastmaster</v>
      </c>
      <c r="B31" t="str">
        <v>Carry</v>
      </c>
      <c r="C31">
        <f>COUNTIFS([3]!players[hero_name], A31,
[3]!players[lane_name], B31)</f>
        <v>106</v>
      </c>
      <c r="D31">
        <f>COUNTIFS([3]!players[hero_name], A31,
[3]!players[lane_name], B31,
[3]!players[win], 1)</f>
        <v>55</v>
      </c>
      <c r="E31" s="11">
        <f>D31/C31</f>
        <v>0.51886792452830188</v>
      </c>
      <c r="F31" t="str">
        <f>IF(C31&gt;=10, "Yes", "No")</f>
        <v>Yes</v>
      </c>
      <c r="G31">
        <f>IF(F31="No","N/A",COUNTIFS(B$2:B$409, B31, F$2:F$409, "Yes", E$2:E$409, "&gt;"&amp;E31)+1)</f>
        <v>12</v>
      </c>
    </row>
    <row r="32" spans="1:7" x14ac:dyDescent="0.3">
      <c r="A32" t="str">
        <v>Beastmaster</v>
      </c>
      <c r="B32" t="str">
        <v>Soft Support</v>
      </c>
      <c r="C32">
        <f>COUNTIFS([3]!players[hero_name], A32,
[3]!players[lane_name], B32)</f>
        <v>3</v>
      </c>
      <c r="D32">
        <f>COUNTIFS([3]!players[hero_name], A32,
[3]!players[lane_name], B32,
[3]!players[win], 1)</f>
        <v>1</v>
      </c>
      <c r="E32" s="11">
        <f>D32/C32</f>
        <v>0.33333333333333331</v>
      </c>
      <c r="F32" t="str">
        <f>IF(C32&gt;=10, "Yes", "No")</f>
        <v>No</v>
      </c>
      <c r="G32" t="str">
        <f>IF(F32="No","N/A",COUNTIFS(B$2:B$409, B32, F$2:F$409, "Yes", E$2:E$409, "&gt;"&amp;E32)+1)</f>
        <v>N/A</v>
      </c>
    </row>
    <row r="33" spans="1:7" x14ac:dyDescent="0.3">
      <c r="A33" t="str">
        <v>Bloodseeker</v>
      </c>
      <c r="B33" t="str">
        <v>Carry</v>
      </c>
      <c r="C33">
        <f>COUNTIFS([3]!players[hero_name], A33,
[3]!players[lane_name], B33)</f>
        <v>20</v>
      </c>
      <c r="D33">
        <f>COUNTIFS([3]!players[hero_name], A33,
[3]!players[lane_name], B33,
[3]!players[win], 1)</f>
        <v>8</v>
      </c>
      <c r="E33" s="11">
        <f>D33/C33</f>
        <v>0.4</v>
      </c>
      <c r="F33" t="str">
        <f>IF(C33&gt;=10, "Yes", "No")</f>
        <v>Yes</v>
      </c>
      <c r="G33">
        <f>IF(F33="No","N/A",COUNTIFS(B$2:B$409, B33, F$2:F$409, "Yes", E$2:E$409, "&gt;"&amp;E33)+1)</f>
        <v>30</v>
      </c>
    </row>
    <row r="34" spans="1:7" x14ac:dyDescent="0.3">
      <c r="A34" t="str">
        <v>Bloodseeker</v>
      </c>
      <c r="B34" t="str">
        <v>Off Lane</v>
      </c>
      <c r="C34">
        <f>COUNTIFS([3]!players[hero_name], A34,
[3]!players[lane_name], B34)</f>
        <v>1</v>
      </c>
      <c r="D34">
        <f>COUNTIFS([3]!players[hero_name], A34,
[3]!players[lane_name], B34,
[3]!players[win], 1)</f>
        <v>1</v>
      </c>
      <c r="E34" s="11">
        <f>D34/C34</f>
        <v>1</v>
      </c>
      <c r="F34" t="str">
        <f>IF(C34&gt;=10, "Yes", "No")</f>
        <v>No</v>
      </c>
      <c r="G34" t="str">
        <f>IF(F34="No","N/A",COUNTIFS(B$2:B$409, B34, F$2:F$409, "Yes", E$2:E$409, "&gt;"&amp;E34)+1)</f>
        <v>N/A</v>
      </c>
    </row>
    <row r="35" spans="1:7" x14ac:dyDescent="0.3">
      <c r="A35" t="str">
        <v>Bounty Hunter</v>
      </c>
      <c r="B35" t="str">
        <v>Roam</v>
      </c>
      <c r="C35">
        <f>COUNTIFS([3]!players[hero_name], A35,
[3]!players[lane_name], B35)</f>
        <v>14</v>
      </c>
      <c r="D35">
        <f>COUNTIFS([3]!players[hero_name], A35,
[3]!players[lane_name], B35,
[3]!players[win], 1)</f>
        <v>8</v>
      </c>
      <c r="E35" s="11">
        <f>D35/C35</f>
        <v>0.5714285714285714</v>
      </c>
      <c r="F35" t="str">
        <f>IF(C35&gt;=10, "Yes", "No")</f>
        <v>Yes</v>
      </c>
      <c r="G35">
        <f>IF(F35="No","N/A",COUNTIFS(B$2:B$409, B35, F$2:F$409, "Yes", E$2:E$409, "&gt;"&amp;E35)+1)</f>
        <v>5</v>
      </c>
    </row>
    <row r="36" spans="1:7" x14ac:dyDescent="0.3">
      <c r="A36" t="str">
        <v>Bounty Hunter</v>
      </c>
      <c r="B36" t="str">
        <v>Soft Support</v>
      </c>
      <c r="C36">
        <f>COUNTIFS([3]!players[hero_name], A36,
[3]!players[lane_name], B36)</f>
        <v>16</v>
      </c>
      <c r="D36">
        <f>COUNTIFS([3]!players[hero_name], A36,
[3]!players[lane_name], B36,
[3]!players[win], 1)</f>
        <v>12</v>
      </c>
      <c r="E36" s="11">
        <f>D36/C36</f>
        <v>0.75</v>
      </c>
      <c r="F36" t="str">
        <f>IF(C36&gt;=10, "Yes", "No")</f>
        <v>Yes</v>
      </c>
      <c r="G36">
        <f>IF(F36="No","N/A",COUNTIFS(B$2:B$409, B36, F$2:F$409, "Yes", E$2:E$409, "&gt;"&amp;E36)+1)</f>
        <v>1</v>
      </c>
    </row>
    <row r="37" spans="1:7" x14ac:dyDescent="0.3">
      <c r="A37" t="str">
        <v>Bounty Hunter</v>
      </c>
      <c r="B37" t="str">
        <v>Mid</v>
      </c>
      <c r="C37">
        <f>COUNTIFS([3]!players[hero_name], A37,
[3]!players[lane_name], B37)</f>
        <v>2</v>
      </c>
      <c r="D37">
        <f>COUNTIFS([3]!players[hero_name], A37,
[3]!players[lane_name], B37,
[3]!players[win], 1)</f>
        <v>0</v>
      </c>
      <c r="E37" s="11">
        <f>D37/C37</f>
        <v>0</v>
      </c>
      <c r="F37" t="str">
        <f>IF(C37&gt;=10, "Yes", "No")</f>
        <v>No</v>
      </c>
      <c r="G37" t="str">
        <f>IF(F37="No","N/A",COUNTIFS(B$2:B$409, B37, F$2:F$409, "Yes", E$2:E$409, "&gt;"&amp;E37)+1)</f>
        <v>N/A</v>
      </c>
    </row>
    <row r="38" spans="1:7" x14ac:dyDescent="0.3">
      <c r="A38" t="str">
        <v>Bounty Hunter</v>
      </c>
      <c r="B38" t="str">
        <v>Hard Support</v>
      </c>
      <c r="C38">
        <f>COUNTIFS([3]!players[hero_name], A38,
[3]!players[lane_name], B38)</f>
        <v>6</v>
      </c>
      <c r="D38">
        <f>COUNTIFS([3]!players[hero_name], A38,
[3]!players[lane_name], B38,
[3]!players[win], 1)</f>
        <v>2</v>
      </c>
      <c r="E38" s="11">
        <f>D38/C38</f>
        <v>0.33333333333333331</v>
      </c>
      <c r="F38" t="str">
        <f>IF(C38&gt;=10, "Yes", "No")</f>
        <v>No</v>
      </c>
      <c r="G38" t="str">
        <f>IF(F38="No","N/A",COUNTIFS(B$2:B$409, B38, F$2:F$409, "Yes", E$2:E$409, "&gt;"&amp;E38)+1)</f>
        <v>N/A</v>
      </c>
    </row>
    <row r="39" spans="1:7" x14ac:dyDescent="0.3">
      <c r="A39" t="str">
        <v>Bounty Hunter</v>
      </c>
      <c r="B39" t="str">
        <v>Off Lane</v>
      </c>
      <c r="C39">
        <f>COUNTIFS([3]!players[hero_name], A39,
[3]!players[lane_name], B39)</f>
        <v>3</v>
      </c>
      <c r="D39">
        <f>COUNTIFS([3]!players[hero_name], A39,
[3]!players[lane_name], B39,
[3]!players[win], 1)</f>
        <v>3</v>
      </c>
      <c r="E39" s="11">
        <f>D39/C39</f>
        <v>1</v>
      </c>
      <c r="F39" t="str">
        <f>IF(C39&gt;=10, "Yes", "No")</f>
        <v>No</v>
      </c>
      <c r="G39" t="str">
        <f>IF(F39="No","N/A",COUNTIFS(B$2:B$409, B39, F$2:F$409, "Yes", E$2:E$409, "&gt;"&amp;E39)+1)</f>
        <v>N/A</v>
      </c>
    </row>
    <row r="40" spans="1:7" x14ac:dyDescent="0.3">
      <c r="A40" t="str">
        <v>Brewmaster</v>
      </c>
      <c r="B40" t="str">
        <v>Off Lane</v>
      </c>
      <c r="C40">
        <f>COUNTIFS([3]!players[hero_name], A40,
[3]!players[lane_name], B40)</f>
        <v>111</v>
      </c>
      <c r="D40">
        <f>COUNTIFS([3]!players[hero_name], A40,
[3]!players[lane_name], B40,
[3]!players[win], 1)</f>
        <v>47</v>
      </c>
      <c r="E40" s="11">
        <f>D40/C40</f>
        <v>0.42342342342342343</v>
      </c>
      <c r="F40" t="str">
        <f>IF(C40&gt;=10, "Yes", "No")</f>
        <v>Yes</v>
      </c>
      <c r="G40">
        <f>IF(F40="No","N/A",COUNTIFS(B$2:B$409, B40, F$2:F$409, "Yes", E$2:E$409, "&gt;"&amp;E40)+1)</f>
        <v>31</v>
      </c>
    </row>
    <row r="41" spans="1:7" x14ac:dyDescent="0.3">
      <c r="A41" t="str">
        <v>Brewmaster</v>
      </c>
      <c r="B41" t="str">
        <v>Mid</v>
      </c>
      <c r="C41">
        <f>COUNTIFS([3]!players[hero_name], A41,
[3]!players[lane_name], B41)</f>
        <v>1</v>
      </c>
      <c r="D41">
        <f>COUNTIFS([3]!players[hero_name], A41,
[3]!players[lane_name], B41,
[3]!players[win], 1)</f>
        <v>0</v>
      </c>
      <c r="E41" s="11">
        <f>D41/C41</f>
        <v>0</v>
      </c>
      <c r="F41" t="str">
        <f>IF(C41&gt;=10, "Yes", "No")</f>
        <v>No</v>
      </c>
      <c r="G41" t="str">
        <f>IF(F41="No","N/A",COUNTIFS(B$2:B$409, B41, F$2:F$409, "Yes", E$2:E$409, "&gt;"&amp;E41)+1)</f>
        <v>N/A</v>
      </c>
    </row>
    <row r="42" spans="1:7" x14ac:dyDescent="0.3">
      <c r="A42" t="str">
        <v>Brewmaster</v>
      </c>
      <c r="B42" t="str">
        <v>Carry</v>
      </c>
      <c r="C42">
        <f>COUNTIFS([3]!players[hero_name], A42,
[3]!players[lane_name], B42)</f>
        <v>2</v>
      </c>
      <c r="D42">
        <f>COUNTIFS([3]!players[hero_name], A42,
[3]!players[lane_name], B42,
[3]!players[win], 1)</f>
        <v>1</v>
      </c>
      <c r="E42" s="11">
        <f>D42/C42</f>
        <v>0.5</v>
      </c>
      <c r="F42" t="str">
        <f>IF(C42&gt;=10, "Yes", "No")</f>
        <v>No</v>
      </c>
      <c r="G42" t="str">
        <f>IF(F42="No","N/A",COUNTIFS(B$2:B$409, B42, F$2:F$409, "Yes", E$2:E$409, "&gt;"&amp;E42)+1)</f>
        <v>N/A</v>
      </c>
    </row>
    <row r="43" spans="1:7" x14ac:dyDescent="0.3">
      <c r="A43" t="str">
        <v>Brewmaster</v>
      </c>
      <c r="B43" t="str">
        <v>Soft Support</v>
      </c>
      <c r="C43">
        <f>COUNTIFS([3]!players[hero_name], A43,
[3]!players[lane_name], B43)</f>
        <v>3</v>
      </c>
      <c r="D43">
        <f>COUNTIFS([3]!players[hero_name], A43,
[3]!players[lane_name], B43,
[3]!players[win], 1)</f>
        <v>2</v>
      </c>
      <c r="E43" s="11">
        <f>D43/C43</f>
        <v>0.66666666666666663</v>
      </c>
      <c r="F43" t="str">
        <f>IF(C43&gt;=10, "Yes", "No")</f>
        <v>No</v>
      </c>
      <c r="G43" t="str">
        <f>IF(F43="No","N/A",COUNTIFS(B$2:B$409, B43, F$2:F$409, "Yes", E$2:E$409, "&gt;"&amp;E43)+1)</f>
        <v>N/A</v>
      </c>
    </row>
    <row r="44" spans="1:7" x14ac:dyDescent="0.3">
      <c r="A44" t="str">
        <v>Bristleback</v>
      </c>
      <c r="B44" t="str">
        <v>Off Lane</v>
      </c>
      <c r="C44">
        <f>COUNTIFS([3]!players[hero_name], A44,
[3]!players[lane_name], B44)</f>
        <v>309</v>
      </c>
      <c r="D44">
        <f>COUNTIFS([3]!players[hero_name], A44,
[3]!players[lane_name], B44,
[3]!players[win], 1)</f>
        <v>147</v>
      </c>
      <c r="E44" s="11">
        <f>D44/C44</f>
        <v>0.47572815533980584</v>
      </c>
      <c r="F44" t="str">
        <f>IF(C44&gt;=10, "Yes", "No")</f>
        <v>Yes</v>
      </c>
      <c r="G44">
        <f>IF(F44="No","N/A",COUNTIFS(B$2:B$409, B44, F$2:F$409, "Yes", E$2:E$409, "&gt;"&amp;E44)+1)</f>
        <v>24</v>
      </c>
    </row>
    <row r="45" spans="1:7" x14ac:dyDescent="0.3">
      <c r="A45" t="str">
        <v>Bristleback</v>
      </c>
      <c r="B45" t="str">
        <v>Carry</v>
      </c>
      <c r="C45">
        <f>COUNTIFS([3]!players[hero_name], A45,
[3]!players[lane_name], B45)</f>
        <v>54</v>
      </c>
      <c r="D45">
        <f>COUNTIFS([3]!players[hero_name], A45,
[3]!players[lane_name], B45,
[3]!players[win], 1)</f>
        <v>21</v>
      </c>
      <c r="E45" s="11">
        <f>D45/C45</f>
        <v>0.3888888888888889</v>
      </c>
      <c r="F45" t="str">
        <f>IF(C45&gt;=10, "Yes", "No")</f>
        <v>Yes</v>
      </c>
      <c r="G45">
        <f>IF(F45="No","N/A",COUNTIFS(B$2:B$409, B45, F$2:F$409, "Yes", E$2:E$409, "&gt;"&amp;E45)+1)</f>
        <v>33</v>
      </c>
    </row>
    <row r="46" spans="1:7" x14ac:dyDescent="0.3">
      <c r="A46" t="str">
        <v>Bristleback</v>
      </c>
      <c r="B46" t="str">
        <v>Mid</v>
      </c>
      <c r="C46">
        <f>COUNTIFS([3]!players[hero_name], A46,
[3]!players[lane_name], B46)</f>
        <v>11</v>
      </c>
      <c r="D46">
        <f>COUNTIFS([3]!players[hero_name], A46,
[3]!players[lane_name], B46,
[3]!players[win], 1)</f>
        <v>8</v>
      </c>
      <c r="E46" s="11">
        <f>D46/C46</f>
        <v>0.72727272727272729</v>
      </c>
      <c r="F46" t="str">
        <f>IF(C46&gt;=10, "Yes", "No")</f>
        <v>Yes</v>
      </c>
      <c r="G46">
        <f>IF(F46="No","N/A",COUNTIFS(B$2:B$409, B46, F$2:F$409, "Yes", E$2:E$409, "&gt;"&amp;E46)+1)</f>
        <v>1</v>
      </c>
    </row>
    <row r="47" spans="1:7" x14ac:dyDescent="0.3">
      <c r="A47" t="str">
        <v>Bristleback</v>
      </c>
      <c r="B47" t="str">
        <v>Hard Support</v>
      </c>
      <c r="C47">
        <f>COUNTIFS([3]!players[hero_name], A47,
[3]!players[lane_name], B47)</f>
        <v>1</v>
      </c>
      <c r="D47">
        <f>COUNTIFS([3]!players[hero_name], A47,
[3]!players[lane_name], B47,
[3]!players[win], 1)</f>
        <v>1</v>
      </c>
      <c r="E47" s="11">
        <f>D47/C47</f>
        <v>1</v>
      </c>
      <c r="F47" t="str">
        <f>IF(C47&gt;=10, "Yes", "No")</f>
        <v>No</v>
      </c>
      <c r="G47" t="str">
        <f>IF(F47="No","N/A",COUNTIFS(B$2:B$409, B47, F$2:F$409, "Yes", E$2:E$409, "&gt;"&amp;E47)+1)</f>
        <v>N/A</v>
      </c>
    </row>
    <row r="48" spans="1:7" x14ac:dyDescent="0.3">
      <c r="A48" t="str">
        <v>Bristleback</v>
      </c>
      <c r="B48" t="str">
        <v>Soft Support</v>
      </c>
      <c r="C48">
        <f>COUNTIFS([3]!players[hero_name], A48,
[3]!players[lane_name], B48)</f>
        <v>1</v>
      </c>
      <c r="D48">
        <f>COUNTIFS([3]!players[hero_name], A48,
[3]!players[lane_name], B48,
[3]!players[win], 1)</f>
        <v>0</v>
      </c>
      <c r="E48" s="11">
        <f>D48/C48</f>
        <v>0</v>
      </c>
      <c r="F48" t="str">
        <f>IF(C48&gt;=10, "Yes", "No")</f>
        <v>No</v>
      </c>
      <c r="G48" t="str">
        <f>IF(F48="No","N/A",COUNTIFS(B$2:B$409, B48, F$2:F$409, "Yes", E$2:E$409, "&gt;"&amp;E48)+1)</f>
        <v>N/A</v>
      </c>
    </row>
    <row r="49" spans="1:7" x14ac:dyDescent="0.3">
      <c r="A49" t="str">
        <v>Broodmother</v>
      </c>
      <c r="B49" t="str">
        <v>Off Lane</v>
      </c>
      <c r="C49">
        <f>COUNTIFS([3]!players[hero_name], A49,
[3]!players[lane_name], B49)</f>
        <v>10</v>
      </c>
      <c r="D49">
        <f>COUNTIFS([3]!players[hero_name], A49,
[3]!players[lane_name], B49,
[3]!players[win], 1)</f>
        <v>5</v>
      </c>
      <c r="E49" s="11">
        <f>D49/C49</f>
        <v>0.5</v>
      </c>
      <c r="F49" t="str">
        <f>IF(C49&gt;=10, "Yes", "No")</f>
        <v>Yes</v>
      </c>
      <c r="G49">
        <f>IF(F49="No","N/A",COUNTIFS(B$2:B$409, B49, F$2:F$409, "Yes", E$2:E$409, "&gt;"&amp;E49)+1)</f>
        <v>21</v>
      </c>
    </row>
    <row r="50" spans="1:7" x14ac:dyDescent="0.3">
      <c r="A50" t="str">
        <v>Broodmother</v>
      </c>
      <c r="B50" t="str">
        <v>Carry</v>
      </c>
      <c r="C50">
        <f>COUNTIFS([3]!players[hero_name], A50,
[3]!players[lane_name], B50)</f>
        <v>10</v>
      </c>
      <c r="D50">
        <f>COUNTIFS([3]!players[hero_name], A50,
[3]!players[lane_name], B50,
[3]!players[win], 1)</f>
        <v>4</v>
      </c>
      <c r="E50" s="11">
        <f>D50/C50</f>
        <v>0.4</v>
      </c>
      <c r="F50" t="str">
        <f>IF(C50&gt;=10, "Yes", "No")</f>
        <v>Yes</v>
      </c>
      <c r="G50">
        <f>IF(F50="No","N/A",COUNTIFS(B$2:B$409, B50, F$2:F$409, "Yes", E$2:E$409, "&gt;"&amp;E50)+1)</f>
        <v>30</v>
      </c>
    </row>
    <row r="51" spans="1:7" x14ac:dyDescent="0.3">
      <c r="A51" t="str">
        <v>Broodmother</v>
      </c>
      <c r="B51" t="str">
        <v>Mid</v>
      </c>
      <c r="C51">
        <f>COUNTIFS([3]!players[hero_name], A51,
[3]!players[lane_name], B51)</f>
        <v>8</v>
      </c>
      <c r="D51">
        <f>COUNTIFS([3]!players[hero_name], A51,
[3]!players[lane_name], B51,
[3]!players[win], 1)</f>
        <v>4</v>
      </c>
      <c r="E51" s="11">
        <f>D51/C51</f>
        <v>0.5</v>
      </c>
      <c r="F51" t="str">
        <f>IF(C51&gt;=10, "Yes", "No")</f>
        <v>No</v>
      </c>
      <c r="G51" t="str">
        <f>IF(F51="No","N/A",COUNTIFS(B$2:B$409, B51, F$2:F$409, "Yes", E$2:E$409, "&gt;"&amp;E51)+1)</f>
        <v>N/A</v>
      </c>
    </row>
    <row r="52" spans="1:7" x14ac:dyDescent="0.3">
      <c r="A52" t="str">
        <v>Centaur Warrunner</v>
      </c>
      <c r="B52" t="str">
        <v>Soft Support</v>
      </c>
      <c r="C52">
        <f>COUNTIFS([3]!players[hero_name], A52,
[3]!players[lane_name], B52)</f>
        <v>14</v>
      </c>
      <c r="D52">
        <f>COUNTIFS([3]!players[hero_name], A52,
[3]!players[lane_name], B52,
[3]!players[win], 1)</f>
        <v>3</v>
      </c>
      <c r="E52" s="11">
        <f>D52/C52</f>
        <v>0.21428571428571427</v>
      </c>
      <c r="F52" t="str">
        <f>IF(C52&gt;=10, "Yes", "No")</f>
        <v>Yes</v>
      </c>
      <c r="G52">
        <f>IF(F52="No","N/A",COUNTIFS(B$2:B$409, B52, F$2:F$409, "Yes", E$2:E$409, "&gt;"&amp;E52)+1)</f>
        <v>41</v>
      </c>
    </row>
    <row r="53" spans="1:7" x14ac:dyDescent="0.3">
      <c r="A53" t="str">
        <v>Centaur Warrunner</v>
      </c>
      <c r="B53" t="str">
        <v>Off Lane</v>
      </c>
      <c r="C53">
        <f>COUNTIFS([3]!players[hero_name], A53,
[3]!players[lane_name], B53)</f>
        <v>135</v>
      </c>
      <c r="D53">
        <f>COUNTIFS([3]!players[hero_name], A53,
[3]!players[lane_name], B53,
[3]!players[win], 1)</f>
        <v>63</v>
      </c>
      <c r="E53" s="11">
        <f>D53/C53</f>
        <v>0.46666666666666667</v>
      </c>
      <c r="F53" t="str">
        <f>IF(C53&gt;=10, "Yes", "No")</f>
        <v>Yes</v>
      </c>
      <c r="G53">
        <f>IF(F53="No","N/A",COUNTIFS(B$2:B$409, B53, F$2:F$409, "Yes", E$2:E$409, "&gt;"&amp;E53)+1)</f>
        <v>27</v>
      </c>
    </row>
    <row r="54" spans="1:7" x14ac:dyDescent="0.3">
      <c r="A54" t="str">
        <v>Centaur Warrunner</v>
      </c>
      <c r="B54" t="str">
        <v>Hard Support</v>
      </c>
      <c r="C54">
        <f>COUNTIFS([3]!players[hero_name], A54,
[3]!players[lane_name], B54)</f>
        <v>1</v>
      </c>
      <c r="D54">
        <f>COUNTIFS([3]!players[hero_name], A54,
[3]!players[lane_name], B54,
[3]!players[win], 1)</f>
        <v>1</v>
      </c>
      <c r="E54" s="11">
        <f>D54/C54</f>
        <v>1</v>
      </c>
      <c r="F54" t="str">
        <f>IF(C54&gt;=10, "Yes", "No")</f>
        <v>No</v>
      </c>
      <c r="G54" t="str">
        <f>IF(F54="No","N/A",COUNTIFS(B$2:B$409, B54, F$2:F$409, "Yes", E$2:E$409, "&gt;"&amp;E54)+1)</f>
        <v>N/A</v>
      </c>
    </row>
    <row r="55" spans="1:7" x14ac:dyDescent="0.3">
      <c r="A55" t="str">
        <v>Centaur Warrunner</v>
      </c>
      <c r="B55" t="str">
        <v>Mid</v>
      </c>
      <c r="C55">
        <f>COUNTIFS([3]!players[hero_name], A55,
[3]!players[lane_name], B55)</f>
        <v>5</v>
      </c>
      <c r="D55">
        <f>COUNTIFS([3]!players[hero_name], A55,
[3]!players[lane_name], B55,
[3]!players[win], 1)</f>
        <v>1</v>
      </c>
      <c r="E55" s="11">
        <f>D55/C55</f>
        <v>0.2</v>
      </c>
      <c r="F55" t="str">
        <f>IF(C55&gt;=10, "Yes", "No")</f>
        <v>No</v>
      </c>
      <c r="G55" t="str">
        <f>IF(F55="No","N/A",COUNTIFS(B$2:B$409, B55, F$2:F$409, "Yes", E$2:E$409, "&gt;"&amp;E55)+1)</f>
        <v>N/A</v>
      </c>
    </row>
    <row r="56" spans="1:7" x14ac:dyDescent="0.3">
      <c r="A56" t="str">
        <v>Centaur Warrunner</v>
      </c>
      <c r="B56" t="str">
        <v>Carry</v>
      </c>
      <c r="C56">
        <f>COUNTIFS([3]!players[hero_name], A56,
[3]!players[lane_name], B56)</f>
        <v>2</v>
      </c>
      <c r="D56">
        <f>COUNTIFS([3]!players[hero_name], A56,
[3]!players[lane_name], B56,
[3]!players[win], 1)</f>
        <v>1</v>
      </c>
      <c r="E56" s="11">
        <f>D56/C56</f>
        <v>0.5</v>
      </c>
      <c r="F56" t="str">
        <f>IF(C56&gt;=10, "Yes", "No")</f>
        <v>No</v>
      </c>
      <c r="G56" t="str">
        <f>IF(F56="No","N/A",COUNTIFS(B$2:B$409, B56, F$2:F$409, "Yes", E$2:E$409, "&gt;"&amp;E56)+1)</f>
        <v>N/A</v>
      </c>
    </row>
    <row r="57" spans="1:7" x14ac:dyDescent="0.3">
      <c r="A57" t="str">
        <v>Chaos Knight</v>
      </c>
      <c r="B57" t="str">
        <v>Carry</v>
      </c>
      <c r="C57">
        <f>COUNTIFS([3]!players[hero_name], A57,
[3]!players[lane_name], B57)</f>
        <v>51</v>
      </c>
      <c r="D57">
        <f>COUNTIFS([3]!players[hero_name], A57,
[3]!players[lane_name], B57,
[3]!players[win], 1)</f>
        <v>22</v>
      </c>
      <c r="E57" s="11">
        <f>D57/C57</f>
        <v>0.43137254901960786</v>
      </c>
      <c r="F57" t="str">
        <f>IF(C57&gt;=10, "Yes", "No")</f>
        <v>Yes</v>
      </c>
      <c r="G57">
        <f>IF(F57="No","N/A",COUNTIFS(B$2:B$409, B57, F$2:F$409, "Yes", E$2:E$409, "&gt;"&amp;E57)+1)</f>
        <v>26</v>
      </c>
    </row>
    <row r="58" spans="1:7" x14ac:dyDescent="0.3">
      <c r="A58" t="str">
        <v>Chaos Knight</v>
      </c>
      <c r="B58" t="str">
        <v>Off Lane</v>
      </c>
      <c r="C58">
        <f>COUNTIFS([3]!players[hero_name], A58,
[3]!players[lane_name], B58)</f>
        <v>51</v>
      </c>
      <c r="D58">
        <f>COUNTIFS([3]!players[hero_name], A58,
[3]!players[lane_name], B58,
[3]!players[win], 1)</f>
        <v>27</v>
      </c>
      <c r="E58" s="11">
        <f>D58/C58</f>
        <v>0.52941176470588236</v>
      </c>
      <c r="F58" t="str">
        <f>IF(C58&gt;=10, "Yes", "No")</f>
        <v>Yes</v>
      </c>
      <c r="G58">
        <f>IF(F58="No","N/A",COUNTIFS(B$2:B$409, B58, F$2:F$409, "Yes", E$2:E$409, "&gt;"&amp;E58)+1)</f>
        <v>14</v>
      </c>
    </row>
    <row r="59" spans="1:7" x14ac:dyDescent="0.3">
      <c r="A59" t="str">
        <v>Chaos Knight</v>
      </c>
      <c r="B59" t="str">
        <v>Mid</v>
      </c>
      <c r="C59">
        <f>COUNTIFS([3]!players[hero_name], A59,
[3]!players[lane_name], B59)</f>
        <v>1</v>
      </c>
      <c r="D59">
        <f>COUNTIFS([3]!players[hero_name], A59,
[3]!players[lane_name], B59,
[3]!players[win], 1)</f>
        <v>0</v>
      </c>
      <c r="E59" s="11">
        <f>D59/C59</f>
        <v>0</v>
      </c>
      <c r="F59" t="str">
        <f>IF(C59&gt;=10, "Yes", "No")</f>
        <v>No</v>
      </c>
      <c r="G59" t="str">
        <f>IF(F59="No","N/A",COUNTIFS(B$2:B$409, B59, F$2:F$409, "Yes", E$2:E$409, "&gt;"&amp;E59)+1)</f>
        <v>N/A</v>
      </c>
    </row>
    <row r="60" spans="1:7" x14ac:dyDescent="0.3">
      <c r="A60" t="str">
        <v>Chaos Knight</v>
      </c>
      <c r="B60" t="str">
        <v>Soft Support</v>
      </c>
      <c r="C60">
        <f>COUNTIFS([3]!players[hero_name], A60,
[3]!players[lane_name], B60)</f>
        <v>5</v>
      </c>
      <c r="D60">
        <f>COUNTIFS([3]!players[hero_name], A60,
[3]!players[lane_name], B60,
[3]!players[win], 1)</f>
        <v>1</v>
      </c>
      <c r="E60" s="11">
        <f>D60/C60</f>
        <v>0.2</v>
      </c>
      <c r="F60" t="str">
        <f>IF(C60&gt;=10, "Yes", "No")</f>
        <v>No</v>
      </c>
      <c r="G60" t="str">
        <f>IF(F60="No","N/A",COUNTIFS(B$2:B$409, B60, F$2:F$409, "Yes", E$2:E$409, "&gt;"&amp;E60)+1)</f>
        <v>N/A</v>
      </c>
    </row>
    <row r="61" spans="1:7" x14ac:dyDescent="0.3">
      <c r="A61" t="str">
        <v>Chaos Knight</v>
      </c>
      <c r="B61" t="str">
        <v>Hard Support</v>
      </c>
      <c r="C61">
        <f>COUNTIFS([3]!players[hero_name], A61,
[3]!players[lane_name], B61)</f>
        <v>1</v>
      </c>
      <c r="D61">
        <f>COUNTIFS([3]!players[hero_name], A61,
[3]!players[lane_name], B61,
[3]!players[win], 1)</f>
        <v>0</v>
      </c>
      <c r="E61" s="11">
        <f>D61/C61</f>
        <v>0</v>
      </c>
      <c r="F61" t="str">
        <f>IF(C61&gt;=10, "Yes", "No")</f>
        <v>No</v>
      </c>
      <c r="G61" t="str">
        <f>IF(F61="No","N/A",COUNTIFS(B$2:B$409, B61, F$2:F$409, "Yes", E$2:E$409, "&gt;"&amp;E61)+1)</f>
        <v>N/A</v>
      </c>
    </row>
    <row r="62" spans="1:7" x14ac:dyDescent="0.3">
      <c r="A62" t="str">
        <v>Chen</v>
      </c>
      <c r="B62" t="str">
        <v>Hard Support</v>
      </c>
      <c r="C62">
        <f>COUNTIFS([3]!players[hero_name], A62,
[3]!players[lane_name], B62)</f>
        <v>15</v>
      </c>
      <c r="D62">
        <f>COUNTIFS([3]!players[hero_name], A62,
[3]!players[lane_name], B62,
[3]!players[win], 1)</f>
        <v>9</v>
      </c>
      <c r="E62" s="11">
        <f>D62/C62</f>
        <v>0.6</v>
      </c>
      <c r="F62" t="str">
        <f>IF(C62&gt;=10, "Yes", "No")</f>
        <v>Yes</v>
      </c>
      <c r="G62">
        <f>IF(F62="No","N/A",COUNTIFS(B$2:B$409, B62, F$2:F$409, "Yes", E$2:E$409, "&gt;"&amp;E62)+1)</f>
        <v>7</v>
      </c>
    </row>
    <row r="63" spans="1:7" x14ac:dyDescent="0.3">
      <c r="A63" t="str">
        <v>Chen</v>
      </c>
      <c r="B63" t="str">
        <v>Soft Support</v>
      </c>
      <c r="C63">
        <f>COUNTIFS([3]!players[hero_name], A63,
[3]!players[lane_name], B63)</f>
        <v>46</v>
      </c>
      <c r="D63">
        <f>COUNTIFS([3]!players[hero_name], A63,
[3]!players[lane_name], B63,
[3]!players[win], 1)</f>
        <v>27</v>
      </c>
      <c r="E63" s="11">
        <f>D63/C63</f>
        <v>0.58695652173913049</v>
      </c>
      <c r="F63" t="str">
        <f>IF(C63&gt;=10, "Yes", "No")</f>
        <v>Yes</v>
      </c>
      <c r="G63">
        <f>IF(F63="No","N/A",COUNTIFS(B$2:B$409, B63, F$2:F$409, "Yes", E$2:E$409, "&gt;"&amp;E63)+1)</f>
        <v>8</v>
      </c>
    </row>
    <row r="64" spans="1:7" x14ac:dyDescent="0.3">
      <c r="A64" t="str">
        <v>Chen</v>
      </c>
      <c r="B64" t="str">
        <v>Roam</v>
      </c>
      <c r="C64">
        <f>COUNTIFS([3]!players[hero_name], A64,
[3]!players[lane_name], B64)</f>
        <v>4</v>
      </c>
      <c r="D64">
        <f>COUNTIFS([3]!players[hero_name], A64,
[3]!players[lane_name], B64,
[3]!players[win], 1)</f>
        <v>2</v>
      </c>
      <c r="E64" s="11">
        <f>D64/C64</f>
        <v>0.5</v>
      </c>
      <c r="F64" t="str">
        <f>IF(C64&gt;=10, "Yes", "No")</f>
        <v>No</v>
      </c>
      <c r="G64" t="str">
        <f>IF(F64="No","N/A",COUNTIFS(B$2:B$409, B64, F$2:F$409, "Yes", E$2:E$409, "&gt;"&amp;E64)+1)</f>
        <v>N/A</v>
      </c>
    </row>
    <row r="65" spans="1:7" x14ac:dyDescent="0.3">
      <c r="A65" t="str">
        <v>Chen</v>
      </c>
      <c r="B65" t="str">
        <v>Off Lane</v>
      </c>
      <c r="C65">
        <f>COUNTIFS([3]!players[hero_name], A65,
[3]!players[lane_name], B65)</f>
        <v>1</v>
      </c>
      <c r="D65">
        <f>COUNTIFS([3]!players[hero_name], A65,
[3]!players[lane_name], B65,
[3]!players[win], 1)</f>
        <v>0</v>
      </c>
      <c r="E65" s="11">
        <f>D65/C65</f>
        <v>0</v>
      </c>
      <c r="F65" t="str">
        <f>IF(C65&gt;=10, "Yes", "No")</f>
        <v>No</v>
      </c>
      <c r="G65" t="str">
        <f>IF(F65="No","N/A",COUNTIFS(B$2:B$409, B65, F$2:F$409, "Yes", E$2:E$409, "&gt;"&amp;E65)+1)</f>
        <v>N/A</v>
      </c>
    </row>
    <row r="66" spans="1:7" x14ac:dyDescent="0.3">
      <c r="A66" t="str">
        <v>Chen</v>
      </c>
      <c r="B66" t="str">
        <v>Carry</v>
      </c>
      <c r="C66">
        <f>COUNTIFS([3]!players[hero_name], A66,
[3]!players[lane_name], B66)</f>
        <v>1</v>
      </c>
      <c r="D66">
        <f>COUNTIFS([3]!players[hero_name], A66,
[3]!players[lane_name], B66,
[3]!players[win], 1)</f>
        <v>0</v>
      </c>
      <c r="E66" s="11">
        <f>D66/C66</f>
        <v>0</v>
      </c>
      <c r="F66" t="str">
        <f>IF(C66&gt;=10, "Yes", "No")</f>
        <v>No</v>
      </c>
      <c r="G66" t="str">
        <f>IF(F66="No","N/A",COUNTIFS(B$2:B$409, B66, F$2:F$409, "Yes", E$2:E$409, "&gt;"&amp;E66)+1)</f>
        <v>N/A</v>
      </c>
    </row>
    <row r="67" spans="1:7" x14ac:dyDescent="0.3">
      <c r="A67" t="str">
        <v>Clinkz</v>
      </c>
      <c r="B67" t="str">
        <v>Mid</v>
      </c>
      <c r="C67">
        <f>COUNTIFS([3]!players[hero_name], A67,
[3]!players[lane_name], B67)</f>
        <v>13</v>
      </c>
      <c r="D67">
        <f>COUNTIFS([3]!players[hero_name], A67,
[3]!players[lane_name], B67,
[3]!players[win], 1)</f>
        <v>8</v>
      </c>
      <c r="E67" s="11">
        <f>D67/C67</f>
        <v>0.61538461538461542</v>
      </c>
      <c r="F67" t="str">
        <f>IF(C67&gt;=10, "Yes", "No")</f>
        <v>Yes</v>
      </c>
      <c r="G67">
        <f>IF(F67="No","N/A",COUNTIFS(B$2:B$409, B67, F$2:F$409, "Yes", E$2:E$409, "&gt;"&amp;E67)+1)</f>
        <v>3</v>
      </c>
    </row>
    <row r="68" spans="1:7" x14ac:dyDescent="0.3">
      <c r="A68" t="str">
        <v>Clinkz</v>
      </c>
      <c r="B68" t="str">
        <v>Carry</v>
      </c>
      <c r="C68">
        <f>COUNTIFS([3]!players[hero_name], A68,
[3]!players[lane_name], B68)</f>
        <v>101</v>
      </c>
      <c r="D68">
        <f>COUNTIFS([3]!players[hero_name], A68,
[3]!players[lane_name], B68,
[3]!players[win], 1)</f>
        <v>52</v>
      </c>
      <c r="E68" s="11">
        <f>D68/C68</f>
        <v>0.51485148514851486</v>
      </c>
      <c r="F68" t="str">
        <f>IF(C68&gt;=10, "Yes", "No")</f>
        <v>Yes</v>
      </c>
      <c r="G68">
        <f>IF(F68="No","N/A",COUNTIFS(B$2:B$409, B68, F$2:F$409, "Yes", E$2:E$409, "&gt;"&amp;E68)+1)</f>
        <v>13</v>
      </c>
    </row>
    <row r="69" spans="1:7" x14ac:dyDescent="0.3">
      <c r="A69" t="str">
        <v>Clinkz</v>
      </c>
      <c r="B69" t="str">
        <v>Soft Support</v>
      </c>
      <c r="C69">
        <f>COUNTIFS([3]!players[hero_name], A69,
[3]!players[lane_name], B69)</f>
        <v>2</v>
      </c>
      <c r="D69">
        <f>COUNTIFS([3]!players[hero_name], A69,
[3]!players[lane_name], B69,
[3]!players[win], 1)</f>
        <v>0</v>
      </c>
      <c r="E69" s="11">
        <f>D69/C69</f>
        <v>0</v>
      </c>
      <c r="F69" t="str">
        <f>IF(C69&gt;=10, "Yes", "No")</f>
        <v>No</v>
      </c>
      <c r="G69" t="str">
        <f>IF(F69="No","N/A",COUNTIFS(B$2:B$409, B69, F$2:F$409, "Yes", E$2:E$409, "&gt;"&amp;E69)+1)</f>
        <v>N/A</v>
      </c>
    </row>
    <row r="70" spans="1:7" x14ac:dyDescent="0.3">
      <c r="A70" t="str">
        <v>Clinkz</v>
      </c>
      <c r="B70" t="str">
        <v>Off Lane</v>
      </c>
      <c r="C70">
        <f>COUNTIFS([3]!players[hero_name], A70,
[3]!players[lane_name], B70)</f>
        <v>1</v>
      </c>
      <c r="D70">
        <f>COUNTIFS([3]!players[hero_name], A70,
[3]!players[lane_name], B70,
[3]!players[win], 1)</f>
        <v>0</v>
      </c>
      <c r="E70" s="11">
        <f>D70/C70</f>
        <v>0</v>
      </c>
      <c r="F70" t="str">
        <f>IF(C70&gt;=10, "Yes", "No")</f>
        <v>No</v>
      </c>
      <c r="G70" t="str">
        <f>IF(F70="No","N/A",COUNTIFS(B$2:B$409, B70, F$2:F$409, "Yes", E$2:E$409, "&gt;"&amp;E70)+1)</f>
        <v>N/A</v>
      </c>
    </row>
    <row r="71" spans="1:7" x14ac:dyDescent="0.3">
      <c r="A71" t="str">
        <v>Clockwerk</v>
      </c>
      <c r="B71" t="str">
        <v>Soft Support</v>
      </c>
      <c r="C71">
        <f>COUNTIFS([3]!players[hero_name], A71,
[3]!players[lane_name], B71)</f>
        <v>28</v>
      </c>
      <c r="D71">
        <f>COUNTIFS([3]!players[hero_name], A71,
[3]!players[lane_name], B71,
[3]!players[win], 1)</f>
        <v>14</v>
      </c>
      <c r="E71" s="11">
        <f>D71/C71</f>
        <v>0.5</v>
      </c>
      <c r="F71" t="str">
        <f>IF(C71&gt;=10, "Yes", "No")</f>
        <v>Yes</v>
      </c>
      <c r="G71">
        <f>IF(F71="No","N/A",COUNTIFS(B$2:B$409, B71, F$2:F$409, "Yes", E$2:E$409, "&gt;"&amp;E71)+1)</f>
        <v>22</v>
      </c>
    </row>
    <row r="72" spans="1:7" x14ac:dyDescent="0.3">
      <c r="A72" t="str">
        <v>Clockwerk</v>
      </c>
      <c r="B72" t="str">
        <v>Off Lane</v>
      </c>
      <c r="C72">
        <f>COUNTIFS([3]!players[hero_name], A72,
[3]!players[lane_name], B72)</f>
        <v>9</v>
      </c>
      <c r="D72">
        <f>COUNTIFS([3]!players[hero_name], A72,
[3]!players[lane_name], B72,
[3]!players[win], 1)</f>
        <v>6</v>
      </c>
      <c r="E72" s="11">
        <f>D72/C72</f>
        <v>0.66666666666666663</v>
      </c>
      <c r="F72" t="str">
        <f>IF(C72&gt;=10, "Yes", "No")</f>
        <v>No</v>
      </c>
      <c r="G72" t="str">
        <f>IF(F72="No","N/A",COUNTIFS(B$2:B$409, B72, F$2:F$409, "Yes", E$2:E$409, "&gt;"&amp;E72)+1)</f>
        <v>N/A</v>
      </c>
    </row>
    <row r="73" spans="1:7" x14ac:dyDescent="0.3">
      <c r="A73" t="str">
        <v>Clockwerk</v>
      </c>
      <c r="B73" t="str">
        <v>Roam</v>
      </c>
      <c r="C73">
        <f>COUNTIFS([3]!players[hero_name], A73,
[3]!players[lane_name], B73)</f>
        <v>19</v>
      </c>
      <c r="D73">
        <f>COUNTIFS([3]!players[hero_name], A73,
[3]!players[lane_name], B73,
[3]!players[win], 1)</f>
        <v>9</v>
      </c>
      <c r="E73" s="11">
        <f>D73/C73</f>
        <v>0.47368421052631576</v>
      </c>
      <c r="F73" t="str">
        <f>IF(C73&gt;=10, "Yes", "No")</f>
        <v>Yes</v>
      </c>
      <c r="G73">
        <f>IF(F73="No","N/A",COUNTIFS(B$2:B$409, B73, F$2:F$409, "Yes", E$2:E$409, "&gt;"&amp;E73)+1)</f>
        <v>17</v>
      </c>
    </row>
    <row r="74" spans="1:7" x14ac:dyDescent="0.3">
      <c r="A74" t="str">
        <v>Clockwerk</v>
      </c>
      <c r="B74" t="str">
        <v>Hard Support</v>
      </c>
      <c r="C74">
        <f>COUNTIFS([3]!players[hero_name], A74,
[3]!players[lane_name], B74)</f>
        <v>67</v>
      </c>
      <c r="D74">
        <f>COUNTIFS([3]!players[hero_name], A74,
[3]!players[lane_name], B74,
[3]!players[win], 1)</f>
        <v>40</v>
      </c>
      <c r="E74" s="11">
        <f>D74/C74</f>
        <v>0.59701492537313428</v>
      </c>
      <c r="F74" t="str">
        <f>IF(C74&gt;=10, "Yes", "No")</f>
        <v>Yes</v>
      </c>
      <c r="G74">
        <f>IF(F74="No","N/A",COUNTIFS(B$2:B$409, B74, F$2:F$409, "Yes", E$2:E$409, "&gt;"&amp;E74)+1)</f>
        <v>9</v>
      </c>
    </row>
    <row r="75" spans="1:7" x14ac:dyDescent="0.3">
      <c r="A75" t="str">
        <v>Crystal Maiden</v>
      </c>
      <c r="B75" t="str">
        <v>Hard Support</v>
      </c>
      <c r="C75">
        <f>COUNTIFS([3]!players[hero_name], A75,
[3]!players[lane_name], B75)</f>
        <v>110</v>
      </c>
      <c r="D75">
        <f>COUNTIFS([3]!players[hero_name], A75,
[3]!players[lane_name], B75,
[3]!players[win], 1)</f>
        <v>61</v>
      </c>
      <c r="E75" s="11">
        <f>D75/C75</f>
        <v>0.55454545454545456</v>
      </c>
      <c r="F75" t="str">
        <f>IF(C75&gt;=10, "Yes", "No")</f>
        <v>Yes</v>
      </c>
      <c r="G75">
        <f>IF(F75="No","N/A",COUNTIFS(B$2:B$409, B75, F$2:F$409, "Yes", E$2:E$409, "&gt;"&amp;E75)+1)</f>
        <v>10</v>
      </c>
    </row>
    <row r="76" spans="1:7" x14ac:dyDescent="0.3">
      <c r="A76" t="str">
        <v>Crystal Maiden</v>
      </c>
      <c r="B76" t="str">
        <v>Soft Support</v>
      </c>
      <c r="C76">
        <f>COUNTIFS([3]!players[hero_name], A76,
[3]!players[lane_name], B76)</f>
        <v>71</v>
      </c>
      <c r="D76">
        <f>COUNTIFS([3]!players[hero_name], A76,
[3]!players[lane_name], B76,
[3]!players[win], 1)</f>
        <v>35</v>
      </c>
      <c r="E76" s="11">
        <f>D76/C76</f>
        <v>0.49295774647887325</v>
      </c>
      <c r="F76" t="str">
        <f>IF(C76&gt;=10, "Yes", "No")</f>
        <v>Yes</v>
      </c>
      <c r="G76">
        <f>IF(F76="No","N/A",COUNTIFS(B$2:B$409, B76, F$2:F$409, "Yes", E$2:E$409, "&gt;"&amp;E76)+1)</f>
        <v>26</v>
      </c>
    </row>
    <row r="77" spans="1:7" x14ac:dyDescent="0.3">
      <c r="A77" t="str">
        <v>Crystal Maiden</v>
      </c>
      <c r="B77" t="str">
        <v>Roam</v>
      </c>
      <c r="C77">
        <f>COUNTIFS([3]!players[hero_name], A77,
[3]!players[lane_name], B77)</f>
        <v>11</v>
      </c>
      <c r="D77">
        <f>COUNTIFS([3]!players[hero_name], A77,
[3]!players[lane_name], B77,
[3]!players[win], 1)</f>
        <v>7</v>
      </c>
      <c r="E77" s="11">
        <f>D77/C77</f>
        <v>0.63636363636363635</v>
      </c>
      <c r="F77" t="str">
        <f>IF(C77&gt;=10, "Yes", "No")</f>
        <v>Yes</v>
      </c>
      <c r="G77">
        <f>IF(F77="No","N/A",COUNTIFS(B$2:B$409, B77, F$2:F$409, "Yes", E$2:E$409, "&gt;"&amp;E77)+1)</f>
        <v>3</v>
      </c>
    </row>
    <row r="78" spans="1:7" x14ac:dyDescent="0.3">
      <c r="A78" t="str">
        <v>Crystal Maiden</v>
      </c>
      <c r="B78" t="str">
        <v>Carry</v>
      </c>
      <c r="C78">
        <f>COUNTIFS([3]!players[hero_name], A78,
[3]!players[lane_name], B78)</f>
        <v>2</v>
      </c>
      <c r="D78">
        <f>COUNTIFS([3]!players[hero_name], A78,
[3]!players[lane_name], B78,
[3]!players[win], 1)</f>
        <v>1</v>
      </c>
      <c r="E78" s="11">
        <f>D78/C78</f>
        <v>0.5</v>
      </c>
      <c r="F78" t="str">
        <f>IF(C78&gt;=10, "Yes", "No")</f>
        <v>No</v>
      </c>
      <c r="G78" t="str">
        <f>IF(F78="No","N/A",COUNTIFS(B$2:B$409, B78, F$2:F$409, "Yes", E$2:E$409, "&gt;"&amp;E78)+1)</f>
        <v>N/A</v>
      </c>
    </row>
    <row r="79" spans="1:7" x14ac:dyDescent="0.3">
      <c r="A79" t="str">
        <v>Dark Seer</v>
      </c>
      <c r="B79" t="str">
        <v>Off Lane</v>
      </c>
      <c r="C79">
        <f>COUNTIFS([3]!players[hero_name], A79,
[3]!players[lane_name], B79)</f>
        <v>42</v>
      </c>
      <c r="D79">
        <f>COUNTIFS([3]!players[hero_name], A79,
[3]!players[lane_name], B79,
[3]!players[win], 1)</f>
        <v>15</v>
      </c>
      <c r="E79" s="11">
        <f>D79/C79</f>
        <v>0.35714285714285715</v>
      </c>
      <c r="F79" t="str">
        <f>IF(C79&gt;=10, "Yes", "No")</f>
        <v>Yes</v>
      </c>
      <c r="G79">
        <f>IF(F79="No","N/A",COUNTIFS(B$2:B$409, B79, F$2:F$409, "Yes", E$2:E$409, "&gt;"&amp;E79)+1)</f>
        <v>37</v>
      </c>
    </row>
    <row r="80" spans="1:7" x14ac:dyDescent="0.3">
      <c r="A80" t="str">
        <v>Dark Seer</v>
      </c>
      <c r="B80" t="str">
        <v>Soft Support</v>
      </c>
      <c r="C80">
        <f>COUNTIFS([3]!players[hero_name], A80,
[3]!players[lane_name], B80)</f>
        <v>3</v>
      </c>
      <c r="D80">
        <f>COUNTIFS([3]!players[hero_name], A80,
[3]!players[lane_name], B80,
[3]!players[win], 1)</f>
        <v>2</v>
      </c>
      <c r="E80" s="11">
        <f>D80/C80</f>
        <v>0.66666666666666663</v>
      </c>
      <c r="F80" t="str">
        <f>IF(C80&gt;=10, "Yes", "No")</f>
        <v>No</v>
      </c>
      <c r="G80" t="str">
        <f>IF(F80="No","N/A",COUNTIFS(B$2:B$409, B80, F$2:F$409, "Yes", E$2:E$409, "&gt;"&amp;E80)+1)</f>
        <v>N/A</v>
      </c>
    </row>
    <row r="81" spans="1:7" x14ac:dyDescent="0.3">
      <c r="A81" t="str">
        <v>Dark Seer</v>
      </c>
      <c r="B81" t="str">
        <v>Carry</v>
      </c>
      <c r="C81">
        <f>COUNTIFS([3]!players[hero_name], A81,
[3]!players[lane_name], B81)</f>
        <v>1</v>
      </c>
      <c r="D81">
        <f>COUNTIFS([3]!players[hero_name], A81,
[3]!players[lane_name], B81,
[3]!players[win], 1)</f>
        <v>1</v>
      </c>
      <c r="E81" s="11">
        <f>D81/C81</f>
        <v>1</v>
      </c>
      <c r="F81" t="str">
        <f>IF(C81&gt;=10, "Yes", "No")</f>
        <v>No</v>
      </c>
      <c r="G81" t="str">
        <f>IF(F81="No","N/A",COUNTIFS(B$2:B$409, B81, F$2:F$409, "Yes", E$2:E$409, "&gt;"&amp;E81)+1)</f>
        <v>N/A</v>
      </c>
    </row>
    <row r="82" spans="1:7" x14ac:dyDescent="0.3">
      <c r="A82" t="str">
        <v>Dark Willow</v>
      </c>
      <c r="B82" t="str">
        <v>Soft Support</v>
      </c>
      <c r="C82">
        <f>COUNTIFS([3]!players[hero_name], A82,
[3]!players[lane_name], B82)</f>
        <v>60</v>
      </c>
      <c r="D82">
        <f>COUNTIFS([3]!players[hero_name], A82,
[3]!players[lane_name], B82,
[3]!players[win], 1)</f>
        <v>17</v>
      </c>
      <c r="E82" s="11">
        <f>D82/C82</f>
        <v>0.28333333333333333</v>
      </c>
      <c r="F82" t="str">
        <f>IF(C82&gt;=10, "Yes", "No")</f>
        <v>Yes</v>
      </c>
      <c r="G82">
        <f>IF(F82="No","N/A",COUNTIFS(B$2:B$409, B82, F$2:F$409, "Yes", E$2:E$409, "&gt;"&amp;E82)+1)</f>
        <v>40</v>
      </c>
    </row>
    <row r="83" spans="1:7" x14ac:dyDescent="0.3">
      <c r="A83" t="str">
        <v>Dark Willow</v>
      </c>
      <c r="B83" t="str">
        <v>Hard Support</v>
      </c>
      <c r="C83">
        <f>COUNTIFS([3]!players[hero_name], A83,
[3]!players[lane_name], B83)</f>
        <v>69</v>
      </c>
      <c r="D83">
        <f>COUNTIFS([3]!players[hero_name], A83,
[3]!players[lane_name], B83,
[3]!players[win], 1)</f>
        <v>30</v>
      </c>
      <c r="E83" s="11">
        <f>D83/C83</f>
        <v>0.43478260869565216</v>
      </c>
      <c r="F83" t="str">
        <f>IF(C83&gt;=10, "Yes", "No")</f>
        <v>Yes</v>
      </c>
      <c r="G83">
        <f>IF(F83="No","N/A",COUNTIFS(B$2:B$409, B83, F$2:F$409, "Yes", E$2:E$409, "&gt;"&amp;E83)+1)</f>
        <v>29</v>
      </c>
    </row>
    <row r="84" spans="1:7" x14ac:dyDescent="0.3">
      <c r="A84" t="str">
        <v>Dark Willow</v>
      </c>
      <c r="B84" t="str">
        <v>Roam</v>
      </c>
      <c r="C84">
        <f>COUNTIFS([3]!players[hero_name], A84,
[3]!players[lane_name], B84)</f>
        <v>18</v>
      </c>
      <c r="D84">
        <f>COUNTIFS([3]!players[hero_name], A84,
[3]!players[lane_name], B84,
[3]!players[win], 1)</f>
        <v>10</v>
      </c>
      <c r="E84" s="11">
        <f>D84/C84</f>
        <v>0.55555555555555558</v>
      </c>
      <c r="F84" t="str">
        <f>IF(C84&gt;=10, "Yes", "No")</f>
        <v>Yes</v>
      </c>
      <c r="G84">
        <f>IF(F84="No","N/A",COUNTIFS(B$2:B$409, B84, F$2:F$409, "Yes", E$2:E$409, "&gt;"&amp;E84)+1)</f>
        <v>7</v>
      </c>
    </row>
    <row r="85" spans="1:7" x14ac:dyDescent="0.3">
      <c r="A85" t="str">
        <v>Dark Willow</v>
      </c>
      <c r="B85" t="str">
        <v>Carry</v>
      </c>
      <c r="C85">
        <f>COUNTIFS([3]!players[hero_name], A85,
[3]!players[lane_name], B85)</f>
        <v>1</v>
      </c>
      <c r="D85">
        <f>COUNTIFS([3]!players[hero_name], A85,
[3]!players[lane_name], B85,
[3]!players[win], 1)</f>
        <v>1</v>
      </c>
      <c r="E85" s="11">
        <f>D85/C85</f>
        <v>1</v>
      </c>
      <c r="F85" t="str">
        <f>IF(C85&gt;=10, "Yes", "No")</f>
        <v>No</v>
      </c>
      <c r="G85" t="str">
        <f>IF(F85="No","N/A",COUNTIFS(B$2:B$409, B85, F$2:F$409, "Yes", E$2:E$409, "&gt;"&amp;E85)+1)</f>
        <v>N/A</v>
      </c>
    </row>
    <row r="86" spans="1:7" x14ac:dyDescent="0.3">
      <c r="A86" t="str">
        <v>Dark Willow</v>
      </c>
      <c r="B86" t="str">
        <v>Mid</v>
      </c>
      <c r="C86">
        <f>COUNTIFS([3]!players[hero_name], A86,
[3]!players[lane_name], B86)</f>
        <v>1</v>
      </c>
      <c r="D86">
        <f>COUNTIFS([3]!players[hero_name], A86,
[3]!players[lane_name], B86,
[3]!players[win], 1)</f>
        <v>1</v>
      </c>
      <c r="E86" s="11">
        <f>D86/C86</f>
        <v>1</v>
      </c>
      <c r="F86" t="str">
        <f>IF(C86&gt;=10, "Yes", "No")</f>
        <v>No</v>
      </c>
      <c r="G86" t="str">
        <f>IF(F86="No","N/A",COUNTIFS(B$2:B$409, B86, F$2:F$409, "Yes", E$2:E$409, "&gt;"&amp;E86)+1)</f>
        <v>N/A</v>
      </c>
    </row>
    <row r="87" spans="1:7" x14ac:dyDescent="0.3">
      <c r="A87" t="str">
        <v>Dawnbreaker</v>
      </c>
      <c r="B87" t="str">
        <v>Off Lane</v>
      </c>
      <c r="C87">
        <f>COUNTIFS([3]!players[hero_name], A87,
[3]!players[lane_name], B87)</f>
        <v>231</v>
      </c>
      <c r="D87">
        <f>COUNTIFS([3]!players[hero_name], A87,
[3]!players[lane_name], B87,
[3]!players[win], 1)</f>
        <v>120</v>
      </c>
      <c r="E87" s="11">
        <f>D87/C87</f>
        <v>0.51948051948051943</v>
      </c>
      <c r="F87" t="str">
        <f>IF(C87&gt;=10, "Yes", "No")</f>
        <v>Yes</v>
      </c>
      <c r="G87">
        <f>IF(F87="No","N/A",COUNTIFS(B$2:B$409, B87, F$2:F$409, "Yes", E$2:E$409, "&gt;"&amp;E87)+1)</f>
        <v>18</v>
      </c>
    </row>
    <row r="88" spans="1:7" x14ac:dyDescent="0.3">
      <c r="A88" t="str">
        <v>Dawnbreaker</v>
      </c>
      <c r="B88" t="str">
        <v>Carry</v>
      </c>
      <c r="C88">
        <f>COUNTIFS([3]!players[hero_name], A88,
[3]!players[lane_name], B88)</f>
        <v>12</v>
      </c>
      <c r="D88">
        <f>COUNTIFS([3]!players[hero_name], A88,
[3]!players[lane_name], B88,
[3]!players[win], 1)</f>
        <v>6</v>
      </c>
      <c r="E88" s="11">
        <f>D88/C88</f>
        <v>0.5</v>
      </c>
      <c r="F88" t="str">
        <f>IF(C88&gt;=10, "Yes", "No")</f>
        <v>Yes</v>
      </c>
      <c r="G88">
        <f>IF(F88="No","N/A",COUNTIFS(B$2:B$409, B88, F$2:F$409, "Yes", E$2:E$409, "&gt;"&amp;E88)+1)</f>
        <v>18</v>
      </c>
    </row>
    <row r="89" spans="1:7" x14ac:dyDescent="0.3">
      <c r="A89" t="str">
        <v>Dawnbreaker</v>
      </c>
      <c r="B89" t="str">
        <v>Soft Support</v>
      </c>
      <c r="C89">
        <f>COUNTIFS([3]!players[hero_name], A89,
[3]!players[lane_name], B89)</f>
        <v>5</v>
      </c>
      <c r="D89">
        <f>COUNTIFS([3]!players[hero_name], A89,
[3]!players[lane_name], B89,
[3]!players[win], 1)</f>
        <v>2</v>
      </c>
      <c r="E89" s="11">
        <f>D89/C89</f>
        <v>0.4</v>
      </c>
      <c r="F89" t="str">
        <f>IF(C89&gt;=10, "Yes", "No")</f>
        <v>No</v>
      </c>
      <c r="G89" t="str">
        <f>IF(F89="No","N/A",COUNTIFS(B$2:B$409, B89, F$2:F$409, "Yes", E$2:E$409, "&gt;"&amp;E89)+1)</f>
        <v>N/A</v>
      </c>
    </row>
    <row r="90" spans="1:7" x14ac:dyDescent="0.3">
      <c r="A90" t="str">
        <v>Dawnbreaker</v>
      </c>
      <c r="B90" t="str">
        <v>Mid</v>
      </c>
      <c r="C90">
        <f>COUNTIFS([3]!players[hero_name], A90,
[3]!players[lane_name], B90)</f>
        <v>7</v>
      </c>
      <c r="D90">
        <f>COUNTIFS([3]!players[hero_name], A90,
[3]!players[lane_name], B90,
[3]!players[win], 1)</f>
        <v>2</v>
      </c>
      <c r="E90" s="11">
        <f>D90/C90</f>
        <v>0.2857142857142857</v>
      </c>
      <c r="F90" t="str">
        <f>IF(C90&gt;=10, "Yes", "No")</f>
        <v>No</v>
      </c>
      <c r="G90" t="str">
        <f>IF(F90="No","N/A",COUNTIFS(B$2:B$409, B90, F$2:F$409, "Yes", E$2:E$409, "&gt;"&amp;E90)+1)</f>
        <v>N/A</v>
      </c>
    </row>
    <row r="91" spans="1:7" x14ac:dyDescent="0.3">
      <c r="A91" t="str">
        <v>Dawnbreaker</v>
      </c>
      <c r="B91" t="str">
        <v>Roam</v>
      </c>
      <c r="C91">
        <f>COUNTIFS([3]!players[hero_name], A91,
[3]!players[lane_name], B91)</f>
        <v>1</v>
      </c>
      <c r="D91">
        <f>COUNTIFS([3]!players[hero_name], A91,
[3]!players[lane_name], B91,
[3]!players[win], 1)</f>
        <v>0</v>
      </c>
      <c r="E91" s="11">
        <f>D91/C91</f>
        <v>0</v>
      </c>
      <c r="F91" t="str">
        <f>IF(C91&gt;=10, "Yes", "No")</f>
        <v>No</v>
      </c>
      <c r="G91" t="str">
        <f>IF(F91="No","N/A",COUNTIFS(B$2:B$409, B91, F$2:F$409, "Yes", E$2:E$409, "&gt;"&amp;E91)+1)</f>
        <v>N/A</v>
      </c>
    </row>
    <row r="92" spans="1:7" x14ac:dyDescent="0.3">
      <c r="A92" t="str">
        <v>Dawnbreaker</v>
      </c>
      <c r="B92" t="str">
        <v>Hard Support</v>
      </c>
      <c r="C92">
        <f>COUNTIFS([3]!players[hero_name], A92,
[3]!players[lane_name], B92)</f>
        <v>1</v>
      </c>
      <c r="D92">
        <f>COUNTIFS([3]!players[hero_name], A92,
[3]!players[lane_name], B92,
[3]!players[win], 1)</f>
        <v>0</v>
      </c>
      <c r="E92" s="11">
        <f>D92/C92</f>
        <v>0</v>
      </c>
      <c r="F92" t="str">
        <f>IF(C92&gt;=10, "Yes", "No")</f>
        <v>No</v>
      </c>
      <c r="G92" t="str">
        <f>IF(F92="No","N/A",COUNTIFS(B$2:B$409, B92, F$2:F$409, "Yes", E$2:E$409, "&gt;"&amp;E92)+1)</f>
        <v>N/A</v>
      </c>
    </row>
    <row r="93" spans="1:7" x14ac:dyDescent="0.3">
      <c r="A93" t="str">
        <v>Dazzle</v>
      </c>
      <c r="B93" t="str">
        <v>Hard Support</v>
      </c>
      <c r="C93">
        <f>COUNTIFS([3]!players[hero_name], A93,
[3]!players[lane_name], B93)</f>
        <v>39</v>
      </c>
      <c r="D93">
        <f>COUNTIFS([3]!players[hero_name], A93,
[3]!players[lane_name], B93,
[3]!players[win], 1)</f>
        <v>17</v>
      </c>
      <c r="E93" s="11">
        <f>D93/C93</f>
        <v>0.4358974358974359</v>
      </c>
      <c r="F93" t="str">
        <f>IF(C93&gt;=10, "Yes", "No")</f>
        <v>Yes</v>
      </c>
      <c r="G93">
        <f>IF(F93="No","N/A",COUNTIFS(B$2:B$409, B93, F$2:F$409, "Yes", E$2:E$409, "&gt;"&amp;E93)+1)</f>
        <v>28</v>
      </c>
    </row>
    <row r="94" spans="1:7" x14ac:dyDescent="0.3">
      <c r="A94" t="str">
        <v>Dazzle</v>
      </c>
      <c r="B94" t="str">
        <v>Roam</v>
      </c>
      <c r="C94">
        <f>COUNTIFS([3]!players[hero_name], A94,
[3]!players[lane_name], B94)</f>
        <v>13</v>
      </c>
      <c r="D94">
        <f>COUNTIFS([3]!players[hero_name], A94,
[3]!players[lane_name], B94,
[3]!players[win], 1)</f>
        <v>6</v>
      </c>
      <c r="E94" s="11">
        <f>D94/C94</f>
        <v>0.46153846153846156</v>
      </c>
      <c r="F94" t="str">
        <f>IF(C94&gt;=10, "Yes", "No")</f>
        <v>Yes</v>
      </c>
      <c r="G94">
        <f>IF(F94="No","N/A",COUNTIFS(B$2:B$409, B94, F$2:F$409, "Yes", E$2:E$409, "&gt;"&amp;E94)+1)</f>
        <v>20</v>
      </c>
    </row>
    <row r="95" spans="1:7" x14ac:dyDescent="0.3">
      <c r="A95" t="str">
        <v>Dazzle</v>
      </c>
      <c r="B95" t="str">
        <v>Soft Support</v>
      </c>
      <c r="C95">
        <f>COUNTIFS([3]!players[hero_name], A95,
[3]!players[lane_name], B95)</f>
        <v>22</v>
      </c>
      <c r="D95">
        <f>COUNTIFS([3]!players[hero_name], A95,
[3]!players[lane_name], B95,
[3]!players[win], 1)</f>
        <v>13</v>
      </c>
      <c r="E95" s="11">
        <f>D95/C95</f>
        <v>0.59090909090909094</v>
      </c>
      <c r="F95" t="str">
        <f>IF(C95&gt;=10, "Yes", "No")</f>
        <v>Yes</v>
      </c>
      <c r="G95">
        <f>IF(F95="No","N/A",COUNTIFS(B$2:B$409, B95, F$2:F$409, "Yes", E$2:E$409, "&gt;"&amp;E95)+1)</f>
        <v>7</v>
      </c>
    </row>
    <row r="96" spans="1:7" x14ac:dyDescent="0.3">
      <c r="A96" t="str">
        <v>Dazzle</v>
      </c>
      <c r="B96" t="str">
        <v>Mid</v>
      </c>
      <c r="C96">
        <f>COUNTIFS([3]!players[hero_name], A96,
[3]!players[lane_name], B96)</f>
        <v>3</v>
      </c>
      <c r="D96">
        <f>COUNTIFS([3]!players[hero_name], A96,
[3]!players[lane_name], B96,
[3]!players[win], 1)</f>
        <v>1</v>
      </c>
      <c r="E96" s="11">
        <f>D96/C96</f>
        <v>0.33333333333333331</v>
      </c>
      <c r="F96" t="str">
        <f>IF(C96&gt;=10, "Yes", "No")</f>
        <v>No</v>
      </c>
      <c r="G96" t="str">
        <f>IF(F96="No","N/A",COUNTIFS(B$2:B$409, B96, F$2:F$409, "Yes", E$2:E$409, "&gt;"&amp;E96)+1)</f>
        <v>N/A</v>
      </c>
    </row>
    <row r="97" spans="1:7" x14ac:dyDescent="0.3">
      <c r="A97" t="str">
        <v>Death Prophet</v>
      </c>
      <c r="B97" t="str">
        <v>Off Lane</v>
      </c>
      <c r="C97">
        <f>COUNTIFS([3]!players[hero_name], A97,
[3]!players[lane_name], B97)</f>
        <v>46</v>
      </c>
      <c r="D97">
        <f>COUNTIFS([3]!players[hero_name], A97,
[3]!players[lane_name], B97,
[3]!players[win], 1)</f>
        <v>24</v>
      </c>
      <c r="E97" s="11">
        <f>D97/C97</f>
        <v>0.52173913043478259</v>
      </c>
      <c r="F97" t="str">
        <f>IF(C97&gt;=10, "Yes", "No")</f>
        <v>Yes</v>
      </c>
      <c r="G97">
        <f>IF(F97="No","N/A",COUNTIFS(B$2:B$409, B97, F$2:F$409, "Yes", E$2:E$409, "&gt;"&amp;E97)+1)</f>
        <v>16</v>
      </c>
    </row>
    <row r="98" spans="1:7" x14ac:dyDescent="0.3">
      <c r="A98" t="str">
        <v>Death Prophet</v>
      </c>
      <c r="B98" t="str">
        <v>Mid</v>
      </c>
      <c r="C98">
        <f>COUNTIFS([3]!players[hero_name], A98,
[3]!players[lane_name], B98)</f>
        <v>56</v>
      </c>
      <c r="D98">
        <f>COUNTIFS([3]!players[hero_name], A98,
[3]!players[lane_name], B98,
[3]!players[win], 1)</f>
        <v>28</v>
      </c>
      <c r="E98" s="11">
        <f>D98/C98</f>
        <v>0.5</v>
      </c>
      <c r="F98" t="str">
        <f>IF(C98&gt;=10, "Yes", "No")</f>
        <v>Yes</v>
      </c>
      <c r="G98">
        <f>IF(F98="No","N/A",COUNTIFS(B$2:B$409, B98, F$2:F$409, "Yes", E$2:E$409, "&gt;"&amp;E98)+1)</f>
        <v>21</v>
      </c>
    </row>
    <row r="99" spans="1:7" x14ac:dyDescent="0.3">
      <c r="A99" t="str">
        <v>Death Prophet</v>
      </c>
      <c r="B99" t="str">
        <v>Soft Support</v>
      </c>
      <c r="C99">
        <f>COUNTIFS([3]!players[hero_name], A99,
[3]!players[lane_name], B99)</f>
        <v>4</v>
      </c>
      <c r="D99">
        <f>COUNTIFS([3]!players[hero_name], A99,
[3]!players[lane_name], B99,
[3]!players[win], 1)</f>
        <v>3</v>
      </c>
      <c r="E99" s="11">
        <f>D99/C99</f>
        <v>0.75</v>
      </c>
      <c r="F99" t="str">
        <f>IF(C99&gt;=10, "Yes", "No")</f>
        <v>No</v>
      </c>
      <c r="G99" t="str">
        <f>IF(F99="No","N/A",COUNTIFS(B$2:B$409, B99, F$2:F$409, "Yes", E$2:E$409, "&gt;"&amp;E99)+1)</f>
        <v>N/A</v>
      </c>
    </row>
    <row r="100" spans="1:7" x14ac:dyDescent="0.3">
      <c r="A100" t="str">
        <v>Death Prophet</v>
      </c>
      <c r="B100" t="str">
        <v>Roam</v>
      </c>
      <c r="C100">
        <f>COUNTIFS([3]!players[hero_name], A100,
[3]!players[lane_name], B100)</f>
        <v>1</v>
      </c>
      <c r="D100">
        <f>COUNTIFS([3]!players[hero_name], A100,
[3]!players[lane_name], B100,
[3]!players[win], 1)</f>
        <v>1</v>
      </c>
      <c r="E100" s="11">
        <f>D100/C100</f>
        <v>1</v>
      </c>
      <c r="F100" t="str">
        <f>IF(C100&gt;=10, "Yes", "No")</f>
        <v>No</v>
      </c>
      <c r="G100" t="str">
        <f>IF(F100="No","N/A",COUNTIFS(B$2:B$409, B100, F$2:F$409, "Yes", E$2:E$409, "&gt;"&amp;E100)+1)</f>
        <v>N/A</v>
      </c>
    </row>
    <row r="101" spans="1:7" x14ac:dyDescent="0.3">
      <c r="A101" t="str">
        <v>Disruptor</v>
      </c>
      <c r="B101" t="str">
        <v>Hard Support</v>
      </c>
      <c r="C101">
        <f>COUNTIFS([3]!players[hero_name], A101,
[3]!players[lane_name], B101)</f>
        <v>298</v>
      </c>
      <c r="D101">
        <f>COUNTIFS([3]!players[hero_name], A101,
[3]!players[lane_name], B101,
[3]!players[win], 1)</f>
        <v>136</v>
      </c>
      <c r="E101" s="11">
        <f>D101/C101</f>
        <v>0.4563758389261745</v>
      </c>
      <c r="F101" t="str">
        <f>IF(C101&gt;=10, "Yes", "No")</f>
        <v>Yes</v>
      </c>
      <c r="G101">
        <f>IF(F101="No","N/A",COUNTIFS(B$2:B$409, B101, F$2:F$409, "Yes", E$2:E$409, "&gt;"&amp;E101)+1)</f>
        <v>25</v>
      </c>
    </row>
    <row r="102" spans="1:7" x14ac:dyDescent="0.3">
      <c r="A102" t="str">
        <v>Disruptor</v>
      </c>
      <c r="B102" t="str">
        <v>Soft Support</v>
      </c>
      <c r="C102">
        <f>COUNTIFS([3]!players[hero_name], A102,
[3]!players[lane_name], B102)</f>
        <v>108</v>
      </c>
      <c r="D102">
        <f>COUNTIFS([3]!players[hero_name], A102,
[3]!players[lane_name], B102,
[3]!players[win], 1)</f>
        <v>50</v>
      </c>
      <c r="E102" s="11">
        <f>D102/C102</f>
        <v>0.46296296296296297</v>
      </c>
      <c r="F102" t="str">
        <f>IF(C102&gt;=10, "Yes", "No")</f>
        <v>Yes</v>
      </c>
      <c r="G102">
        <f>IF(F102="No","N/A",COUNTIFS(B$2:B$409, B102, F$2:F$409, "Yes", E$2:E$409, "&gt;"&amp;E102)+1)</f>
        <v>32</v>
      </c>
    </row>
    <row r="103" spans="1:7" x14ac:dyDescent="0.3">
      <c r="A103" t="str">
        <v>Disruptor</v>
      </c>
      <c r="B103" t="str">
        <v>Roam</v>
      </c>
      <c r="C103">
        <f>COUNTIFS([3]!players[hero_name], A103,
[3]!players[lane_name], B103)</f>
        <v>43</v>
      </c>
      <c r="D103">
        <f>COUNTIFS([3]!players[hero_name], A103,
[3]!players[lane_name], B103,
[3]!players[win], 1)</f>
        <v>20</v>
      </c>
      <c r="E103" s="11">
        <f>D103/C103</f>
        <v>0.46511627906976744</v>
      </c>
      <c r="F103" t="str">
        <f>IF(C103&gt;=10, "Yes", "No")</f>
        <v>Yes</v>
      </c>
      <c r="G103">
        <f>IF(F103="No","N/A",COUNTIFS(B$2:B$409, B103, F$2:F$409, "Yes", E$2:E$409, "&gt;"&amp;E103)+1)</f>
        <v>19</v>
      </c>
    </row>
    <row r="104" spans="1:7" x14ac:dyDescent="0.3">
      <c r="A104" t="str">
        <v>Disruptor</v>
      </c>
      <c r="B104" t="str">
        <v>Off Lane</v>
      </c>
      <c r="C104">
        <f>COUNTIFS([3]!players[hero_name], A104,
[3]!players[lane_name], B104)</f>
        <v>1</v>
      </c>
      <c r="D104">
        <f>COUNTIFS([3]!players[hero_name], A104,
[3]!players[lane_name], B104,
[3]!players[win], 1)</f>
        <v>0</v>
      </c>
      <c r="E104" s="11">
        <f>D104/C104</f>
        <v>0</v>
      </c>
      <c r="F104" t="str">
        <f>IF(C104&gt;=10, "Yes", "No")</f>
        <v>No</v>
      </c>
      <c r="G104" t="str">
        <f>IF(F104="No","N/A",COUNTIFS(B$2:B$409, B104, F$2:F$409, "Yes", E$2:E$409, "&gt;"&amp;E104)+1)</f>
        <v>N/A</v>
      </c>
    </row>
    <row r="105" spans="1:7" x14ac:dyDescent="0.3">
      <c r="A105" t="str">
        <v>Doom</v>
      </c>
      <c r="B105" t="str">
        <v>Off Lane</v>
      </c>
      <c r="C105">
        <f>COUNTIFS([3]!players[hero_name], A105,
[3]!players[lane_name], B105)</f>
        <v>252</v>
      </c>
      <c r="D105">
        <f>COUNTIFS([3]!players[hero_name], A105,
[3]!players[lane_name], B105,
[3]!players[win], 1)</f>
        <v>138</v>
      </c>
      <c r="E105" s="11">
        <f>D105/C105</f>
        <v>0.54761904761904767</v>
      </c>
      <c r="F105" t="str">
        <f>IF(C105&gt;=10, "Yes", "No")</f>
        <v>Yes</v>
      </c>
      <c r="G105">
        <f>IF(F105="No","N/A",COUNTIFS(B$2:B$409, B105, F$2:F$409, "Yes", E$2:E$409, "&gt;"&amp;E105)+1)</f>
        <v>11</v>
      </c>
    </row>
    <row r="106" spans="1:7" x14ac:dyDescent="0.3">
      <c r="A106" t="str">
        <v>Doom</v>
      </c>
      <c r="B106" t="str">
        <v>Carry</v>
      </c>
      <c r="C106">
        <f>COUNTIFS([3]!players[hero_name], A106,
[3]!players[lane_name], B106)</f>
        <v>63</v>
      </c>
      <c r="D106">
        <f>COUNTIFS([3]!players[hero_name], A106,
[3]!players[lane_name], B106,
[3]!players[win], 1)</f>
        <v>27</v>
      </c>
      <c r="E106" s="11">
        <f>D106/C106</f>
        <v>0.42857142857142855</v>
      </c>
      <c r="F106" t="str">
        <f>IF(C106&gt;=10, "Yes", "No")</f>
        <v>Yes</v>
      </c>
      <c r="G106">
        <f>IF(F106="No","N/A",COUNTIFS(B$2:B$409, B106, F$2:F$409, "Yes", E$2:E$409, "&gt;"&amp;E106)+1)</f>
        <v>27</v>
      </c>
    </row>
    <row r="107" spans="1:7" x14ac:dyDescent="0.3">
      <c r="A107" t="str">
        <v>Doom</v>
      </c>
      <c r="B107" t="str">
        <v>Soft Support</v>
      </c>
      <c r="C107">
        <f>COUNTIFS([3]!players[hero_name], A107,
[3]!players[lane_name], B107)</f>
        <v>2</v>
      </c>
      <c r="D107">
        <f>COUNTIFS([3]!players[hero_name], A107,
[3]!players[lane_name], B107,
[3]!players[win], 1)</f>
        <v>1</v>
      </c>
      <c r="E107" s="11">
        <f>D107/C107</f>
        <v>0.5</v>
      </c>
      <c r="F107" t="str">
        <f>IF(C107&gt;=10, "Yes", "No")</f>
        <v>No</v>
      </c>
      <c r="G107" t="str">
        <f>IF(F107="No","N/A",COUNTIFS(B$2:B$409, B107, F$2:F$409, "Yes", E$2:E$409, "&gt;"&amp;E107)+1)</f>
        <v>N/A</v>
      </c>
    </row>
    <row r="108" spans="1:7" x14ac:dyDescent="0.3">
      <c r="A108" t="str">
        <v>Doom</v>
      </c>
      <c r="B108" t="str">
        <v>Mid</v>
      </c>
      <c r="C108">
        <f>COUNTIFS([3]!players[hero_name], A108,
[3]!players[lane_name], B108)</f>
        <v>6</v>
      </c>
      <c r="D108">
        <f>COUNTIFS([3]!players[hero_name], A108,
[3]!players[lane_name], B108,
[3]!players[win], 1)</f>
        <v>3</v>
      </c>
      <c r="E108" s="11">
        <f>D108/C108</f>
        <v>0.5</v>
      </c>
      <c r="F108" t="str">
        <f>IF(C108&gt;=10, "Yes", "No")</f>
        <v>No</v>
      </c>
      <c r="G108" t="str">
        <f>IF(F108="No","N/A",COUNTIFS(B$2:B$409, B108, F$2:F$409, "Yes", E$2:E$409, "&gt;"&amp;E108)+1)</f>
        <v>N/A</v>
      </c>
    </row>
    <row r="109" spans="1:7" x14ac:dyDescent="0.3">
      <c r="A109" t="str">
        <v>Doom</v>
      </c>
      <c r="B109" t="str">
        <v>Hard Support</v>
      </c>
      <c r="C109">
        <f>COUNTIFS([3]!players[hero_name], A109,
[3]!players[lane_name], B109)</f>
        <v>1</v>
      </c>
      <c r="D109">
        <f>COUNTIFS([3]!players[hero_name], A109,
[3]!players[lane_name], B109,
[3]!players[win], 1)</f>
        <v>1</v>
      </c>
      <c r="E109" s="11">
        <f>D109/C109</f>
        <v>1</v>
      </c>
      <c r="F109" t="str">
        <f>IF(C109&gt;=10, "Yes", "No")</f>
        <v>No</v>
      </c>
      <c r="G109" t="str">
        <f>IF(F109="No","N/A",COUNTIFS(B$2:B$409, B109, F$2:F$409, "Yes", E$2:E$409, "&gt;"&amp;E109)+1)</f>
        <v>N/A</v>
      </c>
    </row>
    <row r="110" spans="1:7" x14ac:dyDescent="0.3">
      <c r="A110" t="str">
        <v>Dragon Knight</v>
      </c>
      <c r="B110" t="str">
        <v>Carry</v>
      </c>
      <c r="C110">
        <f>COUNTIFS([3]!players[hero_name], A110,
[3]!players[lane_name], B110)</f>
        <v>52</v>
      </c>
      <c r="D110">
        <f>COUNTIFS([3]!players[hero_name], A110,
[3]!players[lane_name], B110,
[3]!players[win], 1)</f>
        <v>27</v>
      </c>
      <c r="E110" s="11">
        <f>D110/C110</f>
        <v>0.51923076923076927</v>
      </c>
      <c r="F110" t="str">
        <f>IF(C110&gt;=10, "Yes", "No")</f>
        <v>Yes</v>
      </c>
      <c r="G110">
        <f>IF(F110="No","N/A",COUNTIFS(B$2:B$409, B110, F$2:F$409, "Yes", E$2:E$409, "&gt;"&amp;E110)+1)</f>
        <v>11</v>
      </c>
    </row>
    <row r="111" spans="1:7" x14ac:dyDescent="0.3">
      <c r="A111" t="str">
        <v>Dragon Knight</v>
      </c>
      <c r="B111" t="str">
        <v>Off Lane</v>
      </c>
      <c r="C111">
        <f>COUNTIFS([3]!players[hero_name], A111,
[3]!players[lane_name], B111)</f>
        <v>34</v>
      </c>
      <c r="D111">
        <f>COUNTIFS([3]!players[hero_name], A111,
[3]!players[lane_name], B111,
[3]!players[win], 1)</f>
        <v>16</v>
      </c>
      <c r="E111" s="11">
        <f>D111/C111</f>
        <v>0.47058823529411764</v>
      </c>
      <c r="F111" t="str">
        <f>IF(C111&gt;=10, "Yes", "No")</f>
        <v>Yes</v>
      </c>
      <c r="G111">
        <f>IF(F111="No","N/A",COUNTIFS(B$2:B$409, B111, F$2:F$409, "Yes", E$2:E$409, "&gt;"&amp;E111)+1)</f>
        <v>26</v>
      </c>
    </row>
    <row r="112" spans="1:7" x14ac:dyDescent="0.3">
      <c r="A112" t="str">
        <v>Dragon Knight</v>
      </c>
      <c r="B112" t="str">
        <v>Mid</v>
      </c>
      <c r="C112">
        <f>COUNTIFS([3]!players[hero_name], A112,
[3]!players[lane_name], B112)</f>
        <v>40</v>
      </c>
      <c r="D112">
        <f>COUNTIFS([3]!players[hero_name], A112,
[3]!players[lane_name], B112,
[3]!players[win], 1)</f>
        <v>24</v>
      </c>
      <c r="E112" s="11">
        <f>D112/C112</f>
        <v>0.6</v>
      </c>
      <c r="F112" t="str">
        <f>IF(C112&gt;=10, "Yes", "No")</f>
        <v>Yes</v>
      </c>
      <c r="G112">
        <f>IF(F112="No","N/A",COUNTIFS(B$2:B$409, B112, F$2:F$409, "Yes", E$2:E$409, "&gt;"&amp;E112)+1)</f>
        <v>7</v>
      </c>
    </row>
    <row r="113" spans="1:7" x14ac:dyDescent="0.3">
      <c r="A113" t="str">
        <v>Dragon Knight</v>
      </c>
      <c r="B113" t="str">
        <v>Soft Support</v>
      </c>
      <c r="C113">
        <f>COUNTIFS([3]!players[hero_name], A113,
[3]!players[lane_name], B113)</f>
        <v>3</v>
      </c>
      <c r="D113">
        <f>COUNTIFS([3]!players[hero_name], A113,
[3]!players[lane_name], B113,
[3]!players[win], 1)</f>
        <v>0</v>
      </c>
      <c r="E113" s="11">
        <f>D113/C113</f>
        <v>0</v>
      </c>
      <c r="F113" t="str">
        <f>IF(C113&gt;=10, "Yes", "No")</f>
        <v>No</v>
      </c>
      <c r="G113" t="str">
        <f>IF(F113="No","N/A",COUNTIFS(B$2:B$409, B113, F$2:F$409, "Yes", E$2:E$409, "&gt;"&amp;E113)+1)</f>
        <v>N/A</v>
      </c>
    </row>
    <row r="114" spans="1:7" x14ac:dyDescent="0.3">
      <c r="A114" t="str">
        <v>Drow Ranger</v>
      </c>
      <c r="B114" t="str">
        <v>Carry</v>
      </c>
      <c r="C114">
        <f>COUNTIFS([3]!players[hero_name], A114,
[3]!players[lane_name], B114)</f>
        <v>55</v>
      </c>
      <c r="D114">
        <f>COUNTIFS([3]!players[hero_name], A114,
[3]!players[lane_name], B114,
[3]!players[win], 1)</f>
        <v>22</v>
      </c>
      <c r="E114" s="11">
        <f>D114/C114</f>
        <v>0.4</v>
      </c>
      <c r="F114" t="str">
        <f>IF(C114&gt;=10, "Yes", "No")</f>
        <v>Yes</v>
      </c>
      <c r="G114">
        <f>IF(F114="No","N/A",COUNTIFS(B$2:B$409, B114, F$2:F$409, "Yes", E$2:E$409, "&gt;"&amp;E114)+1)</f>
        <v>30</v>
      </c>
    </row>
    <row r="115" spans="1:7" x14ac:dyDescent="0.3">
      <c r="A115" t="str">
        <v>Drow Ranger</v>
      </c>
      <c r="B115" t="str">
        <v>Mid</v>
      </c>
      <c r="C115">
        <f>COUNTIFS([3]!players[hero_name], A115,
[3]!players[lane_name], B115)</f>
        <v>4</v>
      </c>
      <c r="D115">
        <f>COUNTIFS([3]!players[hero_name], A115,
[3]!players[lane_name], B115,
[3]!players[win], 1)</f>
        <v>2</v>
      </c>
      <c r="E115" s="11">
        <f>D115/C115</f>
        <v>0.5</v>
      </c>
      <c r="F115" t="str">
        <f>IF(C115&gt;=10, "Yes", "No")</f>
        <v>No</v>
      </c>
      <c r="G115" t="str">
        <f>IF(F115="No","N/A",COUNTIFS(B$2:B$409, B115, F$2:F$409, "Yes", E$2:E$409, "&gt;"&amp;E115)+1)</f>
        <v>N/A</v>
      </c>
    </row>
    <row r="116" spans="1:7" x14ac:dyDescent="0.3">
      <c r="A116" t="str">
        <v>Drow Ranger</v>
      </c>
      <c r="B116" t="str">
        <v>Hard Support</v>
      </c>
      <c r="C116">
        <f>COUNTIFS([3]!players[hero_name], A116,
[3]!players[lane_name], B116)</f>
        <v>1</v>
      </c>
      <c r="D116">
        <f>COUNTIFS([3]!players[hero_name], A116,
[3]!players[lane_name], B116,
[3]!players[win], 1)</f>
        <v>1</v>
      </c>
      <c r="E116" s="11">
        <f>D116/C116</f>
        <v>1</v>
      </c>
      <c r="F116" t="str">
        <f>IF(C116&gt;=10, "Yes", "No")</f>
        <v>No</v>
      </c>
      <c r="G116" t="str">
        <f>IF(F116="No","N/A",COUNTIFS(B$2:B$409, B116, F$2:F$409, "Yes", E$2:E$409, "&gt;"&amp;E116)+1)</f>
        <v>N/A</v>
      </c>
    </row>
    <row r="117" spans="1:7" x14ac:dyDescent="0.3">
      <c r="A117" t="str">
        <v>Earth Spirit</v>
      </c>
      <c r="B117" t="str">
        <v>Mid</v>
      </c>
      <c r="C117">
        <f>COUNTIFS([3]!players[hero_name], A117,
[3]!players[lane_name], B117)</f>
        <v>36</v>
      </c>
      <c r="D117">
        <f>COUNTIFS([3]!players[hero_name], A117,
[3]!players[lane_name], B117,
[3]!players[win], 1)</f>
        <v>12</v>
      </c>
      <c r="E117" s="11">
        <f>D117/C117</f>
        <v>0.33333333333333331</v>
      </c>
      <c r="F117" t="str">
        <f>IF(C117&gt;=10, "Yes", "No")</f>
        <v>Yes</v>
      </c>
      <c r="G117">
        <f>IF(F117="No","N/A",COUNTIFS(B$2:B$409, B117, F$2:F$409, "Yes", E$2:E$409, "&gt;"&amp;E117)+1)</f>
        <v>38</v>
      </c>
    </row>
    <row r="118" spans="1:7" x14ac:dyDescent="0.3">
      <c r="A118" t="str">
        <v>Earth Spirit</v>
      </c>
      <c r="B118" t="str">
        <v>Hard Support</v>
      </c>
      <c r="C118">
        <f>COUNTIFS([3]!players[hero_name], A118,
[3]!players[lane_name], B118)</f>
        <v>13</v>
      </c>
      <c r="D118">
        <f>COUNTIFS([3]!players[hero_name], A118,
[3]!players[lane_name], B118,
[3]!players[win], 1)</f>
        <v>7</v>
      </c>
      <c r="E118" s="11">
        <f>D118/C118</f>
        <v>0.53846153846153844</v>
      </c>
      <c r="F118" t="str">
        <f>IF(C118&gt;=10, "Yes", "No")</f>
        <v>Yes</v>
      </c>
      <c r="G118">
        <f>IF(F118="No","N/A",COUNTIFS(B$2:B$409, B118, F$2:F$409, "Yes", E$2:E$409, "&gt;"&amp;E118)+1)</f>
        <v>13</v>
      </c>
    </row>
    <row r="119" spans="1:7" x14ac:dyDescent="0.3">
      <c r="A119" t="str">
        <v>Earth Spirit</v>
      </c>
      <c r="B119" t="str">
        <v>Soft Support</v>
      </c>
      <c r="C119">
        <f>COUNTIFS([3]!players[hero_name], A119,
[3]!players[lane_name], B119)</f>
        <v>26</v>
      </c>
      <c r="D119">
        <f>COUNTIFS([3]!players[hero_name], A119,
[3]!players[lane_name], B119,
[3]!players[win], 1)</f>
        <v>19</v>
      </c>
      <c r="E119" s="11">
        <f>D119/C119</f>
        <v>0.73076923076923073</v>
      </c>
      <c r="F119" t="str">
        <f>IF(C119&gt;=10, "Yes", "No")</f>
        <v>Yes</v>
      </c>
      <c r="G119">
        <f>IF(F119="No","N/A",COUNTIFS(B$2:B$409, B119, F$2:F$409, "Yes", E$2:E$409, "&gt;"&amp;E119)+1)</f>
        <v>2</v>
      </c>
    </row>
    <row r="120" spans="1:7" x14ac:dyDescent="0.3">
      <c r="A120" t="str">
        <v>Earth Spirit</v>
      </c>
      <c r="B120" t="str">
        <v>Roam</v>
      </c>
      <c r="C120">
        <f>COUNTIFS([3]!players[hero_name], A120,
[3]!players[lane_name], B120)</f>
        <v>11</v>
      </c>
      <c r="D120">
        <f>COUNTIFS([3]!players[hero_name], A120,
[3]!players[lane_name], B120,
[3]!players[win], 1)</f>
        <v>5</v>
      </c>
      <c r="E120" s="11">
        <f>D120/C120</f>
        <v>0.45454545454545453</v>
      </c>
      <c r="F120" t="str">
        <f>IF(C120&gt;=10, "Yes", "No")</f>
        <v>Yes</v>
      </c>
      <c r="G120">
        <f>IF(F120="No","N/A",COUNTIFS(B$2:B$409, B120, F$2:F$409, "Yes", E$2:E$409, "&gt;"&amp;E120)+1)</f>
        <v>21</v>
      </c>
    </row>
    <row r="121" spans="1:7" x14ac:dyDescent="0.3">
      <c r="A121" t="str">
        <v>Earthshaker</v>
      </c>
      <c r="B121" t="str">
        <v>Mid</v>
      </c>
      <c r="C121">
        <f>COUNTIFS([3]!players[hero_name], A121,
[3]!players[lane_name], B121)</f>
        <v>21</v>
      </c>
      <c r="D121">
        <f>COUNTIFS([3]!players[hero_name], A121,
[3]!players[lane_name], B121,
[3]!players[win], 1)</f>
        <v>8</v>
      </c>
      <c r="E121" s="11">
        <f>D121/C121</f>
        <v>0.38095238095238093</v>
      </c>
      <c r="F121" t="str">
        <f>IF(C121&gt;=10, "Yes", "No")</f>
        <v>Yes</v>
      </c>
      <c r="G121">
        <f>IF(F121="No","N/A",COUNTIFS(B$2:B$409, B121, F$2:F$409, "Yes", E$2:E$409, "&gt;"&amp;E121)+1)</f>
        <v>36</v>
      </c>
    </row>
    <row r="122" spans="1:7" x14ac:dyDescent="0.3">
      <c r="A122" t="str">
        <v>Earthshaker</v>
      </c>
      <c r="B122" t="str">
        <v>Soft Support</v>
      </c>
      <c r="C122">
        <f>COUNTIFS([3]!players[hero_name], A122,
[3]!players[lane_name], B122)</f>
        <v>6</v>
      </c>
      <c r="D122">
        <f>COUNTIFS([3]!players[hero_name], A122,
[3]!players[lane_name], B122,
[3]!players[win], 1)</f>
        <v>2</v>
      </c>
      <c r="E122" s="11">
        <f>D122/C122</f>
        <v>0.33333333333333331</v>
      </c>
      <c r="F122" t="str">
        <f>IF(C122&gt;=10, "Yes", "No")</f>
        <v>No</v>
      </c>
      <c r="G122" t="str">
        <f>IF(F122="No","N/A",COUNTIFS(B$2:B$409, B122, F$2:F$409, "Yes", E$2:E$409, "&gt;"&amp;E122)+1)</f>
        <v>N/A</v>
      </c>
    </row>
    <row r="123" spans="1:7" x14ac:dyDescent="0.3">
      <c r="A123" t="str">
        <v>Earthshaker</v>
      </c>
      <c r="B123" t="str">
        <v>Off Lane</v>
      </c>
      <c r="C123">
        <f>COUNTIFS([3]!players[hero_name], A123,
[3]!players[lane_name], B123)</f>
        <v>13</v>
      </c>
      <c r="D123">
        <f>COUNTIFS([3]!players[hero_name], A123,
[3]!players[lane_name], B123,
[3]!players[win], 1)</f>
        <v>6</v>
      </c>
      <c r="E123" s="11">
        <f>D123/C123</f>
        <v>0.46153846153846156</v>
      </c>
      <c r="F123" t="str">
        <f>IF(C123&gt;=10, "Yes", "No")</f>
        <v>Yes</v>
      </c>
      <c r="G123">
        <f>IF(F123="No","N/A",COUNTIFS(B$2:B$409, B123, F$2:F$409, "Yes", E$2:E$409, "&gt;"&amp;E123)+1)</f>
        <v>28</v>
      </c>
    </row>
    <row r="124" spans="1:7" x14ac:dyDescent="0.3">
      <c r="A124" t="str">
        <v>Earthshaker</v>
      </c>
      <c r="B124" t="str">
        <v>Hard Support</v>
      </c>
      <c r="C124">
        <f>COUNTIFS([3]!players[hero_name], A124,
[3]!players[lane_name], B124)</f>
        <v>5</v>
      </c>
      <c r="D124">
        <f>COUNTIFS([3]!players[hero_name], A124,
[3]!players[lane_name], B124,
[3]!players[win], 1)</f>
        <v>1</v>
      </c>
      <c r="E124" s="11">
        <f>D124/C124</f>
        <v>0.2</v>
      </c>
      <c r="F124" t="str">
        <f>IF(C124&gt;=10, "Yes", "No")</f>
        <v>No</v>
      </c>
      <c r="G124" t="str">
        <f>IF(F124="No","N/A",COUNTIFS(B$2:B$409, B124, F$2:F$409, "Yes", E$2:E$409, "&gt;"&amp;E124)+1)</f>
        <v>N/A</v>
      </c>
    </row>
    <row r="125" spans="1:7" x14ac:dyDescent="0.3">
      <c r="A125" t="str">
        <v>Earthshaker</v>
      </c>
      <c r="B125" t="str">
        <v>Roam</v>
      </c>
      <c r="C125">
        <f>COUNTIFS([3]!players[hero_name], A125,
[3]!players[lane_name], B125)</f>
        <v>2</v>
      </c>
      <c r="D125">
        <f>COUNTIFS([3]!players[hero_name], A125,
[3]!players[lane_name], B125,
[3]!players[win], 1)</f>
        <v>2</v>
      </c>
      <c r="E125" s="11">
        <f>D125/C125</f>
        <v>1</v>
      </c>
      <c r="F125" t="str">
        <f>IF(C125&gt;=10, "Yes", "No")</f>
        <v>No</v>
      </c>
      <c r="G125" t="str">
        <f>IF(F125="No","N/A",COUNTIFS(B$2:B$409, B125, F$2:F$409, "Yes", E$2:E$409, "&gt;"&amp;E125)+1)</f>
        <v>N/A</v>
      </c>
    </row>
    <row r="126" spans="1:7" x14ac:dyDescent="0.3">
      <c r="A126" t="str">
        <v>Elder Titan</v>
      </c>
      <c r="B126" t="str">
        <v>Hard Support</v>
      </c>
      <c r="C126">
        <f>COUNTIFS([3]!players[hero_name], A126,
[3]!players[lane_name], B126)</f>
        <v>8</v>
      </c>
      <c r="D126">
        <f>COUNTIFS([3]!players[hero_name], A126,
[3]!players[lane_name], B126,
[3]!players[win], 1)</f>
        <v>3</v>
      </c>
      <c r="E126" s="11">
        <f>D126/C126</f>
        <v>0.375</v>
      </c>
      <c r="F126" t="str">
        <f>IF(C126&gt;=10, "Yes", "No")</f>
        <v>No</v>
      </c>
      <c r="G126" t="str">
        <f>IF(F126="No","N/A",COUNTIFS(B$2:B$409, B126, F$2:F$409, "Yes", E$2:E$409, "&gt;"&amp;E126)+1)</f>
        <v>N/A</v>
      </c>
    </row>
    <row r="127" spans="1:7" x14ac:dyDescent="0.3">
      <c r="A127" t="str">
        <v>Elder Titan</v>
      </c>
      <c r="B127" t="str">
        <v>Off Lane</v>
      </c>
      <c r="C127">
        <f>COUNTIFS([3]!players[hero_name], A127,
[3]!players[lane_name], B127)</f>
        <v>4</v>
      </c>
      <c r="D127">
        <f>COUNTIFS([3]!players[hero_name], A127,
[3]!players[lane_name], B127,
[3]!players[win], 1)</f>
        <v>1</v>
      </c>
      <c r="E127" s="11">
        <f>D127/C127</f>
        <v>0.25</v>
      </c>
      <c r="F127" t="str">
        <f>IF(C127&gt;=10, "Yes", "No")</f>
        <v>No</v>
      </c>
      <c r="G127" t="str">
        <f>IF(F127="No","N/A",COUNTIFS(B$2:B$409, B127, F$2:F$409, "Yes", E$2:E$409, "&gt;"&amp;E127)+1)</f>
        <v>N/A</v>
      </c>
    </row>
    <row r="128" spans="1:7" x14ac:dyDescent="0.3">
      <c r="A128" t="str">
        <v>Elder Titan</v>
      </c>
      <c r="B128" t="str">
        <v>Soft Support</v>
      </c>
      <c r="C128">
        <f>COUNTIFS([3]!players[hero_name], A128,
[3]!players[lane_name], B128)</f>
        <v>3</v>
      </c>
      <c r="D128">
        <f>COUNTIFS([3]!players[hero_name], A128,
[3]!players[lane_name], B128,
[3]!players[win], 1)</f>
        <v>0</v>
      </c>
      <c r="E128" s="11">
        <f>D128/C128</f>
        <v>0</v>
      </c>
      <c r="F128" t="str">
        <f>IF(C128&gt;=10, "Yes", "No")</f>
        <v>No</v>
      </c>
      <c r="G128" t="str">
        <f>IF(F128="No","N/A",COUNTIFS(B$2:B$409, B128, F$2:F$409, "Yes", E$2:E$409, "&gt;"&amp;E128)+1)</f>
        <v>N/A</v>
      </c>
    </row>
    <row r="129" spans="1:7" x14ac:dyDescent="0.3">
      <c r="A129" t="str">
        <v>Elder Titan</v>
      </c>
      <c r="B129" t="str">
        <v>Carry</v>
      </c>
      <c r="C129">
        <f>COUNTIFS([3]!players[hero_name], A129,
[3]!players[lane_name], B129)</f>
        <v>1</v>
      </c>
      <c r="D129">
        <f>COUNTIFS([3]!players[hero_name], A129,
[3]!players[lane_name], B129,
[3]!players[win], 1)</f>
        <v>0</v>
      </c>
      <c r="E129" s="11">
        <f>D129/C129</f>
        <v>0</v>
      </c>
      <c r="F129" t="str">
        <f>IF(C129&gt;=10, "Yes", "No")</f>
        <v>No</v>
      </c>
      <c r="G129" t="str">
        <f>IF(F129="No","N/A",COUNTIFS(B$2:B$409, B129, F$2:F$409, "Yes", E$2:E$409, "&gt;"&amp;E129)+1)</f>
        <v>N/A</v>
      </c>
    </row>
    <row r="130" spans="1:7" x14ac:dyDescent="0.3">
      <c r="A130" t="str">
        <v>Ember Spirit</v>
      </c>
      <c r="B130" t="str">
        <v>Mid</v>
      </c>
      <c r="C130">
        <f>COUNTIFS([3]!players[hero_name], A130,
[3]!players[lane_name], B130)</f>
        <v>387</v>
      </c>
      <c r="D130">
        <f>COUNTIFS([3]!players[hero_name], A130,
[3]!players[lane_name], B130,
[3]!players[win], 1)</f>
        <v>191</v>
      </c>
      <c r="E130" s="11">
        <f>D130/C130</f>
        <v>0.49354005167958659</v>
      </c>
      <c r="F130" t="str">
        <f>IF(C130&gt;=10, "Yes", "No")</f>
        <v>Yes</v>
      </c>
      <c r="G130">
        <f>IF(F130="No","N/A",COUNTIFS(B$2:B$409, B130, F$2:F$409, "Yes", E$2:E$409, "&gt;"&amp;E130)+1)</f>
        <v>24</v>
      </c>
    </row>
    <row r="131" spans="1:7" x14ac:dyDescent="0.3">
      <c r="A131" t="str">
        <v>Ember Spirit</v>
      </c>
      <c r="B131" t="str">
        <v>Carry</v>
      </c>
      <c r="C131">
        <f>COUNTIFS([3]!players[hero_name], A131,
[3]!players[lane_name], B131)</f>
        <v>4</v>
      </c>
      <c r="D131">
        <f>COUNTIFS([3]!players[hero_name], A131,
[3]!players[lane_name], B131,
[3]!players[win], 1)</f>
        <v>3</v>
      </c>
      <c r="E131" s="11">
        <f>D131/C131</f>
        <v>0.75</v>
      </c>
      <c r="F131" t="str">
        <f>IF(C131&gt;=10, "Yes", "No")</f>
        <v>No</v>
      </c>
      <c r="G131" t="str">
        <f>IF(F131="No","N/A",COUNTIFS(B$2:B$409, B131, F$2:F$409, "Yes", E$2:E$409, "&gt;"&amp;E131)+1)</f>
        <v>N/A</v>
      </c>
    </row>
    <row r="132" spans="1:7" x14ac:dyDescent="0.3">
      <c r="A132" t="str">
        <v>Ember Spirit</v>
      </c>
      <c r="B132" t="str">
        <v>Off Lane</v>
      </c>
      <c r="C132">
        <f>COUNTIFS([3]!players[hero_name], A132,
[3]!players[lane_name], B132)</f>
        <v>11</v>
      </c>
      <c r="D132">
        <f>COUNTIFS([3]!players[hero_name], A132,
[3]!players[lane_name], B132,
[3]!players[win], 1)</f>
        <v>4</v>
      </c>
      <c r="E132" s="11">
        <f>D132/C132</f>
        <v>0.36363636363636365</v>
      </c>
      <c r="F132" t="str">
        <f>IF(C132&gt;=10, "Yes", "No")</f>
        <v>Yes</v>
      </c>
      <c r="G132">
        <f>IF(F132="No","N/A",COUNTIFS(B$2:B$409, B132, F$2:F$409, "Yes", E$2:E$409, "&gt;"&amp;E132)+1)</f>
        <v>36</v>
      </c>
    </row>
    <row r="133" spans="1:7" x14ac:dyDescent="0.3">
      <c r="A133" t="str">
        <v>Ember Spirit</v>
      </c>
      <c r="B133" t="str">
        <v>Soft Support</v>
      </c>
      <c r="C133">
        <f>COUNTIFS([3]!players[hero_name], A133,
[3]!players[lane_name], B133)</f>
        <v>3</v>
      </c>
      <c r="D133">
        <f>COUNTIFS([3]!players[hero_name], A133,
[3]!players[lane_name], B133,
[3]!players[win], 1)</f>
        <v>2</v>
      </c>
      <c r="E133" s="11">
        <f>D133/C133</f>
        <v>0.66666666666666663</v>
      </c>
      <c r="F133" t="str">
        <f>IF(C133&gt;=10, "Yes", "No")</f>
        <v>No</v>
      </c>
      <c r="G133" t="str">
        <f>IF(F133="No","N/A",COUNTIFS(B$2:B$409, B133, F$2:F$409, "Yes", E$2:E$409, "&gt;"&amp;E133)+1)</f>
        <v>N/A</v>
      </c>
    </row>
    <row r="134" spans="1:7" x14ac:dyDescent="0.3">
      <c r="A134" t="str">
        <v>Enchantress</v>
      </c>
      <c r="B134" t="str">
        <v>Hard Support</v>
      </c>
      <c r="C134">
        <f>COUNTIFS([3]!players[hero_name], A134,
[3]!players[lane_name], B134)</f>
        <v>69</v>
      </c>
      <c r="D134">
        <f>COUNTIFS([3]!players[hero_name], A134,
[3]!players[lane_name], B134,
[3]!players[win], 1)</f>
        <v>31</v>
      </c>
      <c r="E134" s="11">
        <f>D134/C134</f>
        <v>0.44927536231884058</v>
      </c>
      <c r="F134" t="str">
        <f>IF(C134&gt;=10, "Yes", "No")</f>
        <v>Yes</v>
      </c>
      <c r="G134">
        <f>IF(F134="No","N/A",COUNTIFS(B$2:B$409, B134, F$2:F$409, "Yes", E$2:E$409, "&gt;"&amp;E134)+1)</f>
        <v>27</v>
      </c>
    </row>
    <row r="135" spans="1:7" x14ac:dyDescent="0.3">
      <c r="A135" t="str">
        <v>Enchantress</v>
      </c>
      <c r="B135" t="str">
        <v>Roam</v>
      </c>
      <c r="C135">
        <f>COUNTIFS([3]!players[hero_name], A135,
[3]!players[lane_name], B135)</f>
        <v>62</v>
      </c>
      <c r="D135">
        <f>COUNTIFS([3]!players[hero_name], A135,
[3]!players[lane_name], B135,
[3]!players[win], 1)</f>
        <v>33</v>
      </c>
      <c r="E135" s="11">
        <f>D135/C135</f>
        <v>0.532258064516129</v>
      </c>
      <c r="F135" t="str">
        <f>IF(C135&gt;=10, "Yes", "No")</f>
        <v>Yes</v>
      </c>
      <c r="G135">
        <f>IF(F135="No","N/A",COUNTIFS(B$2:B$409, B135, F$2:F$409, "Yes", E$2:E$409, "&gt;"&amp;E135)+1)</f>
        <v>10</v>
      </c>
    </row>
    <row r="136" spans="1:7" x14ac:dyDescent="0.3">
      <c r="A136" t="str">
        <v>Enchantress</v>
      </c>
      <c r="B136" t="str">
        <v>Soft Support</v>
      </c>
      <c r="C136">
        <f>COUNTIFS([3]!players[hero_name], A136,
[3]!players[lane_name], B136)</f>
        <v>87</v>
      </c>
      <c r="D136">
        <f>COUNTIFS([3]!players[hero_name], A136,
[3]!players[lane_name], B136,
[3]!players[win], 1)</f>
        <v>49</v>
      </c>
      <c r="E136" s="11">
        <f>D136/C136</f>
        <v>0.56321839080459768</v>
      </c>
      <c r="F136" t="str">
        <f>IF(C136&gt;=10, "Yes", "No")</f>
        <v>Yes</v>
      </c>
      <c r="G136">
        <f>IF(F136="No","N/A",COUNTIFS(B$2:B$409, B136, F$2:F$409, "Yes", E$2:E$409, "&gt;"&amp;E136)+1)</f>
        <v>14</v>
      </c>
    </row>
    <row r="137" spans="1:7" x14ac:dyDescent="0.3">
      <c r="A137" t="str">
        <v>Enchantress</v>
      </c>
      <c r="B137" t="str">
        <v>Off Lane</v>
      </c>
      <c r="C137">
        <f>COUNTIFS([3]!players[hero_name], A137,
[3]!players[lane_name], B137)</f>
        <v>1</v>
      </c>
      <c r="D137">
        <f>COUNTIFS([3]!players[hero_name], A137,
[3]!players[lane_name], B137,
[3]!players[win], 1)</f>
        <v>0</v>
      </c>
      <c r="E137" s="11">
        <f>D137/C137</f>
        <v>0</v>
      </c>
      <c r="F137" t="str">
        <f>IF(C137&gt;=10, "Yes", "No")</f>
        <v>No</v>
      </c>
      <c r="G137" t="str">
        <f>IF(F137="No","N/A",COUNTIFS(B$2:B$409, B137, F$2:F$409, "Yes", E$2:E$409, "&gt;"&amp;E137)+1)</f>
        <v>N/A</v>
      </c>
    </row>
    <row r="138" spans="1:7" x14ac:dyDescent="0.3">
      <c r="A138" t="str">
        <v>Enchantress</v>
      </c>
      <c r="B138" t="str">
        <v>Carry</v>
      </c>
      <c r="C138">
        <f>COUNTIFS([3]!players[hero_name], A138,
[3]!players[lane_name], B138)</f>
        <v>1</v>
      </c>
      <c r="D138">
        <f>COUNTIFS([3]!players[hero_name], A138,
[3]!players[lane_name], B138,
[3]!players[win], 1)</f>
        <v>0</v>
      </c>
      <c r="E138" s="11">
        <f>D138/C138</f>
        <v>0</v>
      </c>
      <c r="F138" t="str">
        <f>IF(C138&gt;=10, "Yes", "No")</f>
        <v>No</v>
      </c>
      <c r="G138" t="str">
        <f>IF(F138="No","N/A",COUNTIFS(B$2:B$409, B138, F$2:F$409, "Yes", E$2:E$409, "&gt;"&amp;E138)+1)</f>
        <v>N/A</v>
      </c>
    </row>
    <row r="139" spans="1:7" x14ac:dyDescent="0.3">
      <c r="A139" t="str">
        <v>Enigma</v>
      </c>
      <c r="B139" t="str">
        <v>Off Lane</v>
      </c>
      <c r="C139">
        <f>COUNTIFS([3]!players[hero_name], A139,
[3]!players[lane_name], B139)</f>
        <v>24</v>
      </c>
      <c r="D139">
        <f>COUNTIFS([3]!players[hero_name], A139,
[3]!players[lane_name], B139,
[3]!players[win], 1)</f>
        <v>14</v>
      </c>
      <c r="E139" s="11">
        <f>D139/C139</f>
        <v>0.58333333333333337</v>
      </c>
      <c r="F139" t="str">
        <f>IF(C139&gt;=10, "Yes", "No")</f>
        <v>Yes</v>
      </c>
      <c r="G139">
        <f>IF(F139="No","N/A",COUNTIFS(B$2:B$409, B139, F$2:F$409, "Yes", E$2:E$409, "&gt;"&amp;E139)+1)</f>
        <v>5</v>
      </c>
    </row>
    <row r="140" spans="1:7" x14ac:dyDescent="0.3">
      <c r="A140" t="str">
        <v>Enigma</v>
      </c>
      <c r="B140" t="str">
        <v>Hard Support</v>
      </c>
      <c r="C140">
        <f>COUNTIFS([3]!players[hero_name], A140,
[3]!players[lane_name], B140)</f>
        <v>2</v>
      </c>
      <c r="D140">
        <f>COUNTIFS([3]!players[hero_name], A140,
[3]!players[lane_name], B140,
[3]!players[win], 1)</f>
        <v>2</v>
      </c>
      <c r="E140" s="11">
        <f>D140/C140</f>
        <v>1</v>
      </c>
      <c r="F140" t="str">
        <f>IF(C140&gt;=10, "Yes", "No")</f>
        <v>No</v>
      </c>
      <c r="G140" t="str">
        <f>IF(F140="No","N/A",COUNTIFS(B$2:B$409, B140, F$2:F$409, "Yes", E$2:E$409, "&gt;"&amp;E140)+1)</f>
        <v>N/A</v>
      </c>
    </row>
    <row r="141" spans="1:7" x14ac:dyDescent="0.3">
      <c r="A141" t="str">
        <v>Enigma</v>
      </c>
      <c r="B141" t="str">
        <v>Soft Support</v>
      </c>
      <c r="C141">
        <f>COUNTIFS([3]!players[hero_name], A141,
[3]!players[lane_name], B141)</f>
        <v>3</v>
      </c>
      <c r="D141">
        <f>COUNTIFS([3]!players[hero_name], A141,
[3]!players[lane_name], B141,
[3]!players[win], 1)</f>
        <v>2</v>
      </c>
      <c r="E141" s="11">
        <f>D141/C141</f>
        <v>0.66666666666666663</v>
      </c>
      <c r="F141" t="str">
        <f>IF(C141&gt;=10, "Yes", "No")</f>
        <v>No</v>
      </c>
      <c r="G141" t="str">
        <f>IF(F141="No","N/A",COUNTIFS(B$2:B$409, B141, F$2:F$409, "Yes", E$2:E$409, "&gt;"&amp;E141)+1)</f>
        <v>N/A</v>
      </c>
    </row>
    <row r="142" spans="1:7" x14ac:dyDescent="0.3">
      <c r="A142" t="str">
        <v>Enigma</v>
      </c>
      <c r="B142" t="str">
        <v>Roam</v>
      </c>
      <c r="C142">
        <f>COUNTIFS([3]!players[hero_name], A142,
[3]!players[lane_name], B142)</f>
        <v>1</v>
      </c>
      <c r="D142">
        <f>COUNTIFS([3]!players[hero_name], A142,
[3]!players[lane_name], B142,
[3]!players[win], 1)</f>
        <v>1</v>
      </c>
      <c r="E142" s="11">
        <f>D142/C142</f>
        <v>1</v>
      </c>
      <c r="F142" t="str">
        <f>IF(C142&gt;=10, "Yes", "No")</f>
        <v>No</v>
      </c>
      <c r="G142" t="str">
        <f>IF(F142="No","N/A",COUNTIFS(B$2:B$409, B142, F$2:F$409, "Yes", E$2:E$409, "&gt;"&amp;E142)+1)</f>
        <v>N/A</v>
      </c>
    </row>
    <row r="143" spans="1:7" x14ac:dyDescent="0.3">
      <c r="A143" t="str">
        <v>Enigma</v>
      </c>
      <c r="B143" t="str">
        <v>Carry</v>
      </c>
      <c r="C143">
        <f>COUNTIFS([3]!players[hero_name], A143,
[3]!players[lane_name], B143)</f>
        <v>1</v>
      </c>
      <c r="D143">
        <f>COUNTIFS([3]!players[hero_name], A143,
[3]!players[lane_name], B143,
[3]!players[win], 1)</f>
        <v>1</v>
      </c>
      <c r="E143" s="11">
        <f>D143/C143</f>
        <v>1</v>
      </c>
      <c r="F143" t="str">
        <f>IF(C143&gt;=10, "Yes", "No")</f>
        <v>No</v>
      </c>
      <c r="G143" t="str">
        <f>IF(F143="No","N/A",COUNTIFS(B$2:B$409, B143, F$2:F$409, "Yes", E$2:E$409, "&gt;"&amp;E143)+1)</f>
        <v>N/A</v>
      </c>
    </row>
    <row r="144" spans="1:7" x14ac:dyDescent="0.3">
      <c r="A144" t="str">
        <v>Enigma</v>
      </c>
      <c r="B144" t="str">
        <v>Mid</v>
      </c>
      <c r="C144">
        <f>COUNTIFS([3]!players[hero_name], A144,
[3]!players[lane_name], B144)</f>
        <v>1</v>
      </c>
      <c r="D144">
        <f>COUNTIFS([3]!players[hero_name], A144,
[3]!players[lane_name], B144,
[3]!players[win], 1)</f>
        <v>1</v>
      </c>
      <c r="E144" s="11">
        <f>D144/C144</f>
        <v>1</v>
      </c>
      <c r="F144" t="str">
        <f>IF(C144&gt;=10, "Yes", "No")</f>
        <v>No</v>
      </c>
      <c r="G144" t="str">
        <f>IF(F144="No","N/A",COUNTIFS(B$2:B$409, B144, F$2:F$409, "Yes", E$2:E$409, "&gt;"&amp;E144)+1)</f>
        <v>N/A</v>
      </c>
    </row>
    <row r="145" spans="1:7" x14ac:dyDescent="0.3">
      <c r="A145" t="str">
        <v>Faceless Void</v>
      </c>
      <c r="B145" t="str">
        <v>Carry</v>
      </c>
      <c r="C145">
        <f>COUNTIFS([3]!players[hero_name], A145,
[3]!players[lane_name], B145)</f>
        <v>137</v>
      </c>
      <c r="D145">
        <f>COUNTIFS([3]!players[hero_name], A145,
[3]!players[lane_name], B145,
[3]!players[win], 1)</f>
        <v>69</v>
      </c>
      <c r="E145" s="11">
        <f>D145/C145</f>
        <v>0.5036496350364964</v>
      </c>
      <c r="F145" t="str">
        <f>IF(C145&gt;=10, "Yes", "No")</f>
        <v>Yes</v>
      </c>
      <c r="G145">
        <f>IF(F145="No","N/A",COUNTIFS(B$2:B$409, B145, F$2:F$409, "Yes", E$2:E$409, "&gt;"&amp;E145)+1)</f>
        <v>16</v>
      </c>
    </row>
    <row r="146" spans="1:7" x14ac:dyDescent="0.3">
      <c r="A146" t="str">
        <v>Faceless Void</v>
      </c>
      <c r="B146" t="str">
        <v>Hard Support</v>
      </c>
      <c r="C146">
        <f>COUNTIFS([3]!players[hero_name], A146,
[3]!players[lane_name], B146)</f>
        <v>1</v>
      </c>
      <c r="D146">
        <f>COUNTIFS([3]!players[hero_name], A146,
[3]!players[lane_name], B146,
[3]!players[win], 1)</f>
        <v>1</v>
      </c>
      <c r="E146" s="11">
        <f>D146/C146</f>
        <v>1</v>
      </c>
      <c r="F146" t="str">
        <f>IF(C146&gt;=10, "Yes", "No")</f>
        <v>No</v>
      </c>
      <c r="G146" t="str">
        <f>IF(F146="No","N/A",COUNTIFS(B$2:B$409, B146, F$2:F$409, "Yes", E$2:E$409, "&gt;"&amp;E146)+1)</f>
        <v>N/A</v>
      </c>
    </row>
    <row r="147" spans="1:7" x14ac:dyDescent="0.3">
      <c r="A147" t="str">
        <v>Faceless Void</v>
      </c>
      <c r="B147" t="str">
        <v>Mid</v>
      </c>
      <c r="C147">
        <f>COUNTIFS([3]!players[hero_name], A147,
[3]!players[lane_name], B147)</f>
        <v>1</v>
      </c>
      <c r="D147">
        <f>COUNTIFS([3]!players[hero_name], A147,
[3]!players[lane_name], B147,
[3]!players[win], 1)</f>
        <v>0</v>
      </c>
      <c r="E147" s="11">
        <f>D147/C147</f>
        <v>0</v>
      </c>
      <c r="F147" t="str">
        <f>IF(C147&gt;=10, "Yes", "No")</f>
        <v>No</v>
      </c>
      <c r="G147" t="str">
        <f>IF(F147="No","N/A",COUNTIFS(B$2:B$409, B147, F$2:F$409, "Yes", E$2:E$409, "&gt;"&amp;E147)+1)</f>
        <v>N/A</v>
      </c>
    </row>
    <row r="148" spans="1:7" x14ac:dyDescent="0.3">
      <c r="A148" t="str">
        <v>Faceless Void</v>
      </c>
      <c r="B148" t="str">
        <v>Off Lane</v>
      </c>
      <c r="C148">
        <f>COUNTIFS([3]!players[hero_name], A148,
[3]!players[lane_name], B148)</f>
        <v>6</v>
      </c>
      <c r="D148">
        <f>COUNTIFS([3]!players[hero_name], A148,
[3]!players[lane_name], B148,
[3]!players[win], 1)</f>
        <v>1</v>
      </c>
      <c r="E148" s="11">
        <f>D148/C148</f>
        <v>0.16666666666666666</v>
      </c>
      <c r="F148" t="str">
        <f>IF(C148&gt;=10, "Yes", "No")</f>
        <v>No</v>
      </c>
      <c r="G148" t="str">
        <f>IF(F148="No","N/A",COUNTIFS(B$2:B$409, B148, F$2:F$409, "Yes", E$2:E$409, "&gt;"&amp;E148)+1)</f>
        <v>N/A</v>
      </c>
    </row>
    <row r="149" spans="1:7" x14ac:dyDescent="0.3">
      <c r="A149" t="str">
        <v>Faceless Void</v>
      </c>
      <c r="B149" t="str">
        <v>Soft Support</v>
      </c>
      <c r="C149">
        <f>COUNTIFS([3]!players[hero_name], A149,
[3]!players[lane_name], B149)</f>
        <v>1</v>
      </c>
      <c r="D149">
        <f>COUNTIFS([3]!players[hero_name], A149,
[3]!players[lane_name], B149,
[3]!players[win], 1)</f>
        <v>0</v>
      </c>
      <c r="E149" s="11">
        <f>D149/C149</f>
        <v>0</v>
      </c>
      <c r="F149" t="str">
        <f>IF(C149&gt;=10, "Yes", "No")</f>
        <v>No</v>
      </c>
      <c r="G149" t="str">
        <f>IF(F149="No","N/A",COUNTIFS(B$2:B$409, B149, F$2:F$409, "Yes", E$2:E$409, "&gt;"&amp;E149)+1)</f>
        <v>N/A</v>
      </c>
    </row>
    <row r="150" spans="1:7" x14ac:dyDescent="0.3">
      <c r="A150" t="str">
        <v>Grimstroke</v>
      </c>
      <c r="B150" t="str">
        <v>Soft Support</v>
      </c>
      <c r="C150">
        <f>COUNTIFS([3]!players[hero_name], A150,
[3]!players[lane_name], B150)</f>
        <v>91</v>
      </c>
      <c r="D150">
        <f>COUNTIFS([3]!players[hero_name], A150,
[3]!players[lane_name], B150,
[3]!players[win], 1)</f>
        <v>52</v>
      </c>
      <c r="E150" s="11">
        <f>D150/C150</f>
        <v>0.5714285714285714</v>
      </c>
      <c r="F150" t="str">
        <f>IF(C150&gt;=10, "Yes", "No")</f>
        <v>Yes</v>
      </c>
      <c r="G150">
        <f>IF(F150="No","N/A",COUNTIFS(B$2:B$409, B150, F$2:F$409, "Yes", E$2:E$409, "&gt;"&amp;E150)+1)</f>
        <v>9</v>
      </c>
    </row>
    <row r="151" spans="1:7" x14ac:dyDescent="0.3">
      <c r="A151" t="str">
        <v>Grimstroke</v>
      </c>
      <c r="B151" t="str">
        <v>Hard Support</v>
      </c>
      <c r="C151">
        <f>COUNTIFS([3]!players[hero_name], A151,
[3]!players[lane_name], B151)</f>
        <v>106</v>
      </c>
      <c r="D151">
        <f>COUNTIFS([3]!players[hero_name], A151,
[3]!players[lane_name], B151,
[3]!players[win], 1)</f>
        <v>52</v>
      </c>
      <c r="E151" s="11">
        <f>D151/C151</f>
        <v>0.49056603773584906</v>
      </c>
      <c r="F151" t="str">
        <f>IF(C151&gt;=10, "Yes", "No")</f>
        <v>Yes</v>
      </c>
      <c r="G151">
        <f>IF(F151="No","N/A",COUNTIFS(B$2:B$409, B151, F$2:F$409, "Yes", E$2:E$409, "&gt;"&amp;E151)+1)</f>
        <v>20</v>
      </c>
    </row>
    <row r="152" spans="1:7" x14ac:dyDescent="0.3">
      <c r="A152" t="str">
        <v>Grimstroke</v>
      </c>
      <c r="B152" t="str">
        <v>Off Lane</v>
      </c>
      <c r="C152">
        <f>COUNTIFS([3]!players[hero_name], A152,
[3]!players[lane_name], B152)</f>
        <v>2</v>
      </c>
      <c r="D152">
        <f>COUNTIFS([3]!players[hero_name], A152,
[3]!players[lane_name], B152,
[3]!players[win], 1)</f>
        <v>0</v>
      </c>
      <c r="E152" s="11">
        <f>D152/C152</f>
        <v>0</v>
      </c>
      <c r="F152" t="str">
        <f>IF(C152&gt;=10, "Yes", "No")</f>
        <v>No</v>
      </c>
      <c r="G152" t="str">
        <f>IF(F152="No","N/A",COUNTIFS(B$2:B$409, B152, F$2:F$409, "Yes", E$2:E$409, "&gt;"&amp;E152)+1)</f>
        <v>N/A</v>
      </c>
    </row>
    <row r="153" spans="1:7" x14ac:dyDescent="0.3">
      <c r="A153" t="str">
        <v>Grimstroke</v>
      </c>
      <c r="B153" t="str">
        <v>Roam</v>
      </c>
      <c r="C153">
        <f>COUNTIFS([3]!players[hero_name], A153,
[3]!players[lane_name], B153)</f>
        <v>34</v>
      </c>
      <c r="D153">
        <f>COUNTIFS([3]!players[hero_name], A153,
[3]!players[lane_name], B153,
[3]!players[win], 1)</f>
        <v>13</v>
      </c>
      <c r="E153" s="11">
        <f>D153/C153</f>
        <v>0.38235294117647056</v>
      </c>
      <c r="F153" t="str">
        <f>IF(C153&gt;=10, "Yes", "No")</f>
        <v>Yes</v>
      </c>
      <c r="G153">
        <f>IF(F153="No","N/A",COUNTIFS(B$2:B$409, B153, F$2:F$409, "Yes", E$2:E$409, "&gt;"&amp;E153)+1)</f>
        <v>24</v>
      </c>
    </row>
    <row r="154" spans="1:7" x14ac:dyDescent="0.3">
      <c r="A154" t="str">
        <v>Grimstroke</v>
      </c>
      <c r="B154" t="str">
        <v>Mid</v>
      </c>
      <c r="C154">
        <f>COUNTIFS([3]!players[hero_name], A154,
[3]!players[lane_name], B154)</f>
        <v>2</v>
      </c>
      <c r="D154">
        <f>COUNTIFS([3]!players[hero_name], A154,
[3]!players[lane_name], B154,
[3]!players[win], 1)</f>
        <v>1</v>
      </c>
      <c r="E154" s="11">
        <f>D154/C154</f>
        <v>0.5</v>
      </c>
      <c r="F154" t="str">
        <f>IF(C154&gt;=10, "Yes", "No")</f>
        <v>No</v>
      </c>
      <c r="G154" t="str">
        <f>IF(F154="No","N/A",COUNTIFS(B$2:B$409, B154, F$2:F$409, "Yes", E$2:E$409, "&gt;"&amp;E154)+1)</f>
        <v>N/A</v>
      </c>
    </row>
    <row r="155" spans="1:7" x14ac:dyDescent="0.3">
      <c r="A155" t="str">
        <v>Gyrocopter</v>
      </c>
      <c r="B155" t="str">
        <v>Carry</v>
      </c>
      <c r="C155">
        <f>COUNTIFS([3]!players[hero_name], A155,
[3]!players[lane_name], B155)</f>
        <v>129</v>
      </c>
      <c r="D155">
        <f>COUNTIFS([3]!players[hero_name], A155,
[3]!players[lane_name], B155,
[3]!players[win], 1)</f>
        <v>62</v>
      </c>
      <c r="E155" s="11">
        <f>D155/C155</f>
        <v>0.48062015503875971</v>
      </c>
      <c r="F155" t="str">
        <f>IF(C155&gt;=10, "Yes", "No")</f>
        <v>Yes</v>
      </c>
      <c r="G155">
        <f>IF(F155="No","N/A",COUNTIFS(B$2:B$409, B155, F$2:F$409, "Yes", E$2:E$409, "&gt;"&amp;E155)+1)</f>
        <v>21</v>
      </c>
    </row>
    <row r="156" spans="1:7" x14ac:dyDescent="0.3">
      <c r="A156" t="str">
        <v>Gyrocopter</v>
      </c>
      <c r="B156" t="str">
        <v>Soft Support</v>
      </c>
      <c r="C156">
        <f>COUNTIFS([3]!players[hero_name], A156,
[3]!players[lane_name], B156)</f>
        <v>4</v>
      </c>
      <c r="D156">
        <f>COUNTIFS([3]!players[hero_name], A156,
[3]!players[lane_name], B156,
[3]!players[win], 1)</f>
        <v>1</v>
      </c>
      <c r="E156" s="11">
        <f>D156/C156</f>
        <v>0.25</v>
      </c>
      <c r="F156" t="str">
        <f>IF(C156&gt;=10, "Yes", "No")</f>
        <v>No</v>
      </c>
      <c r="G156" t="str">
        <f>IF(F156="No","N/A",COUNTIFS(B$2:B$409, B156, F$2:F$409, "Yes", E$2:E$409, "&gt;"&amp;E156)+1)</f>
        <v>N/A</v>
      </c>
    </row>
    <row r="157" spans="1:7" x14ac:dyDescent="0.3">
      <c r="A157" t="str">
        <v>Gyrocopter</v>
      </c>
      <c r="B157" t="str">
        <v>Roam</v>
      </c>
      <c r="C157">
        <f>COUNTIFS([3]!players[hero_name], A157,
[3]!players[lane_name], B157)</f>
        <v>1</v>
      </c>
      <c r="D157">
        <f>COUNTIFS([3]!players[hero_name], A157,
[3]!players[lane_name], B157,
[3]!players[win], 1)</f>
        <v>0</v>
      </c>
      <c r="E157" s="11">
        <f>D157/C157</f>
        <v>0</v>
      </c>
      <c r="F157" t="str">
        <f>IF(C157&gt;=10, "Yes", "No")</f>
        <v>No</v>
      </c>
      <c r="G157" t="str">
        <f>IF(F157="No","N/A",COUNTIFS(B$2:B$409, B157, F$2:F$409, "Yes", E$2:E$409, "&gt;"&amp;E157)+1)</f>
        <v>N/A</v>
      </c>
    </row>
    <row r="158" spans="1:7" x14ac:dyDescent="0.3">
      <c r="A158" t="str">
        <v>Gyrocopter</v>
      </c>
      <c r="B158" t="str">
        <v>Hard Support</v>
      </c>
      <c r="C158">
        <f>COUNTIFS([3]!players[hero_name], A158,
[3]!players[lane_name], B158)</f>
        <v>1</v>
      </c>
      <c r="D158">
        <f>COUNTIFS([3]!players[hero_name], A158,
[3]!players[lane_name], B158,
[3]!players[win], 1)</f>
        <v>0</v>
      </c>
      <c r="E158" s="11">
        <f>D158/C158</f>
        <v>0</v>
      </c>
      <c r="F158" t="str">
        <f>IF(C158&gt;=10, "Yes", "No")</f>
        <v>No</v>
      </c>
      <c r="G158" t="str">
        <f>IF(F158="No","N/A",COUNTIFS(B$2:B$409, B158, F$2:F$409, "Yes", E$2:E$409, "&gt;"&amp;E158)+1)</f>
        <v>N/A</v>
      </c>
    </row>
    <row r="159" spans="1:7" x14ac:dyDescent="0.3">
      <c r="A159" t="str">
        <v>Hoodwink</v>
      </c>
      <c r="B159" t="str">
        <v>Soft Support</v>
      </c>
      <c r="C159">
        <f>COUNTIFS([3]!players[hero_name], A159,
[3]!players[lane_name], B159)</f>
        <v>236</v>
      </c>
      <c r="D159">
        <f>COUNTIFS([3]!players[hero_name], A159,
[3]!players[lane_name], B159,
[3]!players[win], 1)</f>
        <v>119</v>
      </c>
      <c r="E159" s="11">
        <f>D159/C159</f>
        <v>0.50423728813559321</v>
      </c>
      <c r="F159" t="str">
        <f>IF(C159&gt;=10, "Yes", "No")</f>
        <v>Yes</v>
      </c>
      <c r="G159">
        <f>IF(F159="No","N/A",COUNTIFS(B$2:B$409, B159, F$2:F$409, "Yes", E$2:E$409, "&gt;"&amp;E159)+1)</f>
        <v>21</v>
      </c>
    </row>
    <row r="160" spans="1:7" x14ac:dyDescent="0.3">
      <c r="A160" t="str">
        <v>Hoodwink</v>
      </c>
      <c r="B160" t="str">
        <v>Mid</v>
      </c>
      <c r="C160">
        <f>COUNTIFS([3]!players[hero_name], A160,
[3]!players[lane_name], B160)</f>
        <v>1</v>
      </c>
      <c r="D160">
        <f>COUNTIFS([3]!players[hero_name], A160,
[3]!players[lane_name], B160,
[3]!players[win], 1)</f>
        <v>1</v>
      </c>
      <c r="E160" s="11">
        <f>D160/C160</f>
        <v>1</v>
      </c>
      <c r="F160" t="str">
        <f>IF(C160&gt;=10, "Yes", "No")</f>
        <v>No</v>
      </c>
      <c r="G160" t="str">
        <f>IF(F160="No","N/A",COUNTIFS(B$2:B$409, B160, F$2:F$409, "Yes", E$2:E$409, "&gt;"&amp;E160)+1)</f>
        <v>N/A</v>
      </c>
    </row>
    <row r="161" spans="1:7" x14ac:dyDescent="0.3">
      <c r="A161" t="str">
        <v>Hoodwink</v>
      </c>
      <c r="B161" t="str">
        <v>Roam</v>
      </c>
      <c r="C161">
        <f>COUNTIFS([3]!players[hero_name], A161,
[3]!players[lane_name], B161)</f>
        <v>139</v>
      </c>
      <c r="D161">
        <f>COUNTIFS([3]!players[hero_name], A161,
[3]!players[lane_name], B161,
[3]!players[win], 1)</f>
        <v>76</v>
      </c>
      <c r="E161" s="11">
        <f>D161/C161</f>
        <v>0.5467625899280576</v>
      </c>
      <c r="F161" t="str">
        <f>IF(C161&gt;=10, "Yes", "No")</f>
        <v>Yes</v>
      </c>
      <c r="G161">
        <f>IF(F161="No","N/A",COUNTIFS(B$2:B$409, B161, F$2:F$409, "Yes", E$2:E$409, "&gt;"&amp;E161)+1)</f>
        <v>8</v>
      </c>
    </row>
    <row r="162" spans="1:7" x14ac:dyDescent="0.3">
      <c r="A162" t="str">
        <v>Hoodwink</v>
      </c>
      <c r="B162" t="str">
        <v>Hard Support</v>
      </c>
      <c r="C162">
        <f>COUNTIFS([3]!players[hero_name], A162,
[3]!players[lane_name], B162)</f>
        <v>159</v>
      </c>
      <c r="D162">
        <f>COUNTIFS([3]!players[hero_name], A162,
[3]!players[lane_name], B162,
[3]!players[win], 1)</f>
        <v>86</v>
      </c>
      <c r="E162" s="11">
        <f>D162/C162</f>
        <v>0.54088050314465408</v>
      </c>
      <c r="F162" t="str">
        <f>IF(C162&gt;=10, "Yes", "No")</f>
        <v>Yes</v>
      </c>
      <c r="G162">
        <f>IF(F162="No","N/A",COUNTIFS(B$2:B$409, B162, F$2:F$409, "Yes", E$2:E$409, "&gt;"&amp;E162)+1)</f>
        <v>12</v>
      </c>
    </row>
    <row r="163" spans="1:7" x14ac:dyDescent="0.3">
      <c r="A163" t="str">
        <v>Hoodwink</v>
      </c>
      <c r="B163" t="str">
        <v>Off Lane</v>
      </c>
      <c r="C163">
        <f>COUNTIFS([3]!players[hero_name], A163,
[3]!players[lane_name], B163)</f>
        <v>5</v>
      </c>
      <c r="D163">
        <f>COUNTIFS([3]!players[hero_name], A163,
[3]!players[lane_name], B163,
[3]!players[win], 1)</f>
        <v>2</v>
      </c>
      <c r="E163" s="11">
        <f>D163/C163</f>
        <v>0.4</v>
      </c>
      <c r="F163" t="str">
        <f>IF(C163&gt;=10, "Yes", "No")</f>
        <v>No</v>
      </c>
      <c r="G163" t="str">
        <f>IF(F163="No","N/A",COUNTIFS(B$2:B$409, B163, F$2:F$409, "Yes", E$2:E$409, "&gt;"&amp;E163)+1)</f>
        <v>N/A</v>
      </c>
    </row>
    <row r="164" spans="1:7" x14ac:dyDescent="0.3">
      <c r="A164" t="str">
        <v>Hoodwink</v>
      </c>
      <c r="B164" t="str">
        <v>Carry</v>
      </c>
      <c r="C164">
        <f>COUNTIFS([3]!players[hero_name], A164,
[3]!players[lane_name], B164)</f>
        <v>3</v>
      </c>
      <c r="D164">
        <f>COUNTIFS([3]!players[hero_name], A164,
[3]!players[lane_name], B164,
[3]!players[win], 1)</f>
        <v>1</v>
      </c>
      <c r="E164" s="11">
        <f>D164/C164</f>
        <v>0.33333333333333331</v>
      </c>
      <c r="F164" t="str">
        <f>IF(C164&gt;=10, "Yes", "No")</f>
        <v>No</v>
      </c>
      <c r="G164" t="str">
        <f>IF(F164="No","N/A",COUNTIFS(B$2:B$409, B164, F$2:F$409, "Yes", E$2:E$409, "&gt;"&amp;E164)+1)</f>
        <v>N/A</v>
      </c>
    </row>
    <row r="165" spans="1:7" x14ac:dyDescent="0.3">
      <c r="A165" t="str">
        <v>Huskar</v>
      </c>
      <c r="B165" t="str">
        <v>Mid</v>
      </c>
      <c r="C165">
        <f>COUNTIFS([3]!players[hero_name], A165,
[3]!players[lane_name], B165)</f>
        <v>99</v>
      </c>
      <c r="D165">
        <f>COUNTIFS([3]!players[hero_name], A165,
[3]!players[lane_name], B165,
[3]!players[win], 1)</f>
        <v>60</v>
      </c>
      <c r="E165" s="11">
        <f>D165/C165</f>
        <v>0.60606060606060608</v>
      </c>
      <c r="F165" t="str">
        <f>IF(C165&gt;=10, "Yes", "No")</f>
        <v>Yes</v>
      </c>
      <c r="G165">
        <f>IF(F165="No","N/A",COUNTIFS(B$2:B$409, B165, F$2:F$409, "Yes", E$2:E$409, "&gt;"&amp;E165)+1)</f>
        <v>5</v>
      </c>
    </row>
    <row r="166" spans="1:7" x14ac:dyDescent="0.3">
      <c r="A166" t="str">
        <v>Huskar</v>
      </c>
      <c r="B166" t="str">
        <v>Carry</v>
      </c>
      <c r="C166">
        <f>COUNTIFS([3]!players[hero_name], A166,
[3]!players[lane_name], B166)</f>
        <v>6</v>
      </c>
      <c r="D166">
        <f>COUNTIFS([3]!players[hero_name], A166,
[3]!players[lane_name], B166,
[3]!players[win], 1)</f>
        <v>3</v>
      </c>
      <c r="E166" s="11">
        <f>D166/C166</f>
        <v>0.5</v>
      </c>
      <c r="F166" t="str">
        <f>IF(C166&gt;=10, "Yes", "No")</f>
        <v>No</v>
      </c>
      <c r="G166" t="str">
        <f>IF(F166="No","N/A",COUNTIFS(B$2:B$409, B166, F$2:F$409, "Yes", E$2:E$409, "&gt;"&amp;E166)+1)</f>
        <v>N/A</v>
      </c>
    </row>
    <row r="167" spans="1:7" x14ac:dyDescent="0.3">
      <c r="A167" t="str">
        <v>Huskar</v>
      </c>
      <c r="B167" t="str">
        <v>Off Lane</v>
      </c>
      <c r="C167">
        <f>COUNTIFS([3]!players[hero_name], A167,
[3]!players[lane_name], B167)</f>
        <v>3</v>
      </c>
      <c r="D167">
        <f>COUNTIFS([3]!players[hero_name], A167,
[3]!players[lane_name], B167,
[3]!players[win], 1)</f>
        <v>3</v>
      </c>
      <c r="E167" s="11">
        <f>D167/C167</f>
        <v>1</v>
      </c>
      <c r="F167" t="str">
        <f>IF(C167&gt;=10, "Yes", "No")</f>
        <v>No</v>
      </c>
      <c r="G167" t="str">
        <f>IF(F167="No","N/A",COUNTIFS(B$2:B$409, B167, F$2:F$409, "Yes", E$2:E$409, "&gt;"&amp;E167)+1)</f>
        <v>N/A</v>
      </c>
    </row>
    <row r="168" spans="1:7" x14ac:dyDescent="0.3">
      <c r="A168" t="str">
        <v>Huskar</v>
      </c>
      <c r="B168" t="str">
        <v>Soft Support</v>
      </c>
      <c r="C168">
        <f>COUNTIFS([3]!players[hero_name], A168,
[3]!players[lane_name], B168)</f>
        <v>2</v>
      </c>
      <c r="D168">
        <f>COUNTIFS([3]!players[hero_name], A168,
[3]!players[lane_name], B168,
[3]!players[win], 1)</f>
        <v>1</v>
      </c>
      <c r="E168" s="11">
        <f>D168/C168</f>
        <v>0.5</v>
      </c>
      <c r="F168" t="str">
        <f>IF(C168&gt;=10, "Yes", "No")</f>
        <v>No</v>
      </c>
      <c r="G168" t="str">
        <f>IF(F168="No","N/A",COUNTIFS(B$2:B$409, B168, F$2:F$409, "Yes", E$2:E$409, "&gt;"&amp;E168)+1)</f>
        <v>N/A</v>
      </c>
    </row>
    <row r="169" spans="1:7" x14ac:dyDescent="0.3">
      <c r="A169" t="str">
        <v>Huskar</v>
      </c>
      <c r="B169" t="str">
        <v>Roam</v>
      </c>
      <c r="C169">
        <f>COUNTIFS([3]!players[hero_name], A169,
[3]!players[lane_name], B169)</f>
        <v>1</v>
      </c>
      <c r="D169">
        <f>COUNTIFS([3]!players[hero_name], A169,
[3]!players[lane_name], B169,
[3]!players[win], 1)</f>
        <v>1</v>
      </c>
      <c r="E169" s="11">
        <f>D169/C169</f>
        <v>1</v>
      </c>
      <c r="F169" t="str">
        <f>IF(C169&gt;=10, "Yes", "No")</f>
        <v>No</v>
      </c>
      <c r="G169" t="str">
        <f>IF(F169="No","N/A",COUNTIFS(B$2:B$409, B169, F$2:F$409, "Yes", E$2:E$409, "&gt;"&amp;E169)+1)</f>
        <v>N/A</v>
      </c>
    </row>
    <row r="170" spans="1:7" x14ac:dyDescent="0.3">
      <c r="A170" t="str">
        <v>Invoker</v>
      </c>
      <c r="B170" t="str">
        <v>Soft Support</v>
      </c>
      <c r="C170">
        <f>COUNTIFS([3]!players[hero_name], A170,
[3]!players[lane_name], B170)</f>
        <v>15</v>
      </c>
      <c r="D170">
        <f>COUNTIFS([3]!players[hero_name], A170,
[3]!players[lane_name], B170,
[3]!players[win], 1)</f>
        <v>7</v>
      </c>
      <c r="E170" s="11">
        <f>D170/C170</f>
        <v>0.46666666666666667</v>
      </c>
      <c r="F170" t="str">
        <f>IF(C170&gt;=10, "Yes", "No")</f>
        <v>Yes</v>
      </c>
      <c r="G170">
        <f>IF(F170="No","N/A",COUNTIFS(B$2:B$409, B170, F$2:F$409, "Yes", E$2:E$409, "&gt;"&amp;E170)+1)</f>
        <v>31</v>
      </c>
    </row>
    <row r="171" spans="1:7" x14ac:dyDescent="0.3">
      <c r="A171" t="str">
        <v>Invoker</v>
      </c>
      <c r="B171" t="str">
        <v>Mid</v>
      </c>
      <c r="C171">
        <f>COUNTIFS([3]!players[hero_name], A171,
[3]!players[lane_name], B171)</f>
        <v>200</v>
      </c>
      <c r="D171">
        <f>COUNTIFS([3]!players[hero_name], A171,
[3]!players[lane_name], B171,
[3]!players[win], 1)</f>
        <v>92</v>
      </c>
      <c r="E171" s="11">
        <f>D171/C171</f>
        <v>0.46</v>
      </c>
      <c r="F171" t="str">
        <f>IF(C171&gt;=10, "Yes", "No")</f>
        <v>Yes</v>
      </c>
      <c r="G171">
        <f>IF(F171="No","N/A",COUNTIFS(B$2:B$409, B171, F$2:F$409, "Yes", E$2:E$409, "&gt;"&amp;E171)+1)</f>
        <v>31</v>
      </c>
    </row>
    <row r="172" spans="1:7" x14ac:dyDescent="0.3">
      <c r="A172" t="str">
        <v>Invoker</v>
      </c>
      <c r="B172" t="str">
        <v>Hard Support</v>
      </c>
      <c r="C172">
        <f>COUNTIFS([3]!players[hero_name], A172,
[3]!players[lane_name], B172)</f>
        <v>5</v>
      </c>
      <c r="D172">
        <f>COUNTIFS([3]!players[hero_name], A172,
[3]!players[lane_name], B172,
[3]!players[win], 1)</f>
        <v>3</v>
      </c>
      <c r="E172" s="11">
        <f>D172/C172</f>
        <v>0.6</v>
      </c>
      <c r="F172" t="str">
        <f>IF(C172&gt;=10, "Yes", "No")</f>
        <v>No</v>
      </c>
      <c r="G172" t="str">
        <f>IF(F172="No","N/A",COUNTIFS(B$2:B$409, B172, F$2:F$409, "Yes", E$2:E$409, "&gt;"&amp;E172)+1)</f>
        <v>N/A</v>
      </c>
    </row>
    <row r="173" spans="1:7" x14ac:dyDescent="0.3">
      <c r="A173" t="str">
        <v>Io</v>
      </c>
      <c r="B173" t="str">
        <v>Hard Support</v>
      </c>
      <c r="C173">
        <f>COUNTIFS([3]!players[hero_name], A173,
[3]!players[lane_name], B173)</f>
        <v>68</v>
      </c>
      <c r="D173">
        <f>COUNTIFS([3]!players[hero_name], A173,
[3]!players[lane_name], B173,
[3]!players[win], 1)</f>
        <v>37</v>
      </c>
      <c r="E173" s="11">
        <f>D173/C173</f>
        <v>0.54411764705882348</v>
      </c>
      <c r="F173" t="str">
        <f>IF(C173&gt;=10, "Yes", "No")</f>
        <v>Yes</v>
      </c>
      <c r="G173">
        <f>IF(F173="No","N/A",COUNTIFS(B$2:B$409, B173, F$2:F$409, "Yes", E$2:E$409, "&gt;"&amp;E173)+1)</f>
        <v>11</v>
      </c>
    </row>
    <row r="174" spans="1:7" x14ac:dyDescent="0.3">
      <c r="A174" t="str">
        <v>Io</v>
      </c>
      <c r="B174" t="str">
        <v>Soft Support</v>
      </c>
      <c r="C174">
        <f>COUNTIFS([3]!players[hero_name], A174,
[3]!players[lane_name], B174)</f>
        <v>60</v>
      </c>
      <c r="D174">
        <f>COUNTIFS([3]!players[hero_name], A174,
[3]!players[lane_name], B174,
[3]!players[win], 1)</f>
        <v>34</v>
      </c>
      <c r="E174" s="11">
        <f>D174/C174</f>
        <v>0.56666666666666665</v>
      </c>
      <c r="F174" t="str">
        <f>IF(C174&gt;=10, "Yes", "No")</f>
        <v>Yes</v>
      </c>
      <c r="G174">
        <f>IF(F174="No","N/A",COUNTIFS(B$2:B$409, B174, F$2:F$409, "Yes", E$2:E$409, "&gt;"&amp;E174)+1)</f>
        <v>13</v>
      </c>
    </row>
    <row r="175" spans="1:7" x14ac:dyDescent="0.3">
      <c r="A175" t="str">
        <v>Io</v>
      </c>
      <c r="B175" t="str">
        <v>Mid</v>
      </c>
      <c r="C175">
        <f>COUNTIFS([3]!players[hero_name], A175,
[3]!players[lane_name], B175)</f>
        <v>1</v>
      </c>
      <c r="D175">
        <f>COUNTIFS([3]!players[hero_name], A175,
[3]!players[lane_name], B175,
[3]!players[win], 1)</f>
        <v>0</v>
      </c>
      <c r="E175" s="11">
        <f>D175/C175</f>
        <v>0</v>
      </c>
      <c r="F175" t="str">
        <f>IF(C175&gt;=10, "Yes", "No")</f>
        <v>No</v>
      </c>
      <c r="G175" t="str">
        <f>IF(F175="No","N/A",COUNTIFS(B$2:B$409, B175, F$2:F$409, "Yes", E$2:E$409, "&gt;"&amp;E175)+1)</f>
        <v>N/A</v>
      </c>
    </row>
    <row r="176" spans="1:7" x14ac:dyDescent="0.3">
      <c r="A176" t="str">
        <v>Io</v>
      </c>
      <c r="B176" t="str">
        <v>Roam</v>
      </c>
      <c r="C176">
        <f>COUNTIFS([3]!players[hero_name], A176,
[3]!players[lane_name], B176)</f>
        <v>8</v>
      </c>
      <c r="D176">
        <f>COUNTIFS([3]!players[hero_name], A176,
[3]!players[lane_name], B176,
[3]!players[win], 1)</f>
        <v>5</v>
      </c>
      <c r="E176" s="11">
        <f>D176/C176</f>
        <v>0.625</v>
      </c>
      <c r="F176" t="str">
        <f>IF(C176&gt;=10, "Yes", "No")</f>
        <v>No</v>
      </c>
      <c r="G176" t="str">
        <f>IF(F176="No","N/A",COUNTIFS(B$2:B$409, B176, F$2:F$409, "Yes", E$2:E$409, "&gt;"&amp;E176)+1)</f>
        <v>N/A</v>
      </c>
    </row>
    <row r="177" spans="1:7" x14ac:dyDescent="0.3">
      <c r="A177" t="str">
        <v>Io</v>
      </c>
      <c r="B177" t="str">
        <v>Off Lane</v>
      </c>
      <c r="C177">
        <f>COUNTIFS([3]!players[hero_name], A177,
[3]!players[lane_name], B177)</f>
        <v>1</v>
      </c>
      <c r="D177">
        <f>COUNTIFS([3]!players[hero_name], A177,
[3]!players[lane_name], B177,
[3]!players[win], 1)</f>
        <v>0</v>
      </c>
      <c r="E177" s="11">
        <f>D177/C177</f>
        <v>0</v>
      </c>
      <c r="F177" t="str">
        <f>IF(C177&gt;=10, "Yes", "No")</f>
        <v>No</v>
      </c>
      <c r="G177" t="str">
        <f>IF(F177="No","N/A",COUNTIFS(B$2:B$409, B177, F$2:F$409, "Yes", E$2:E$409, "&gt;"&amp;E177)+1)</f>
        <v>N/A</v>
      </c>
    </row>
    <row r="178" spans="1:7" x14ac:dyDescent="0.3">
      <c r="A178" t="str">
        <v>Io</v>
      </c>
      <c r="B178" t="str">
        <v>Carry</v>
      </c>
      <c r="C178">
        <f>COUNTIFS([3]!players[hero_name], A178,
[3]!players[lane_name], B178)</f>
        <v>1</v>
      </c>
      <c r="D178">
        <f>COUNTIFS([3]!players[hero_name], A178,
[3]!players[lane_name], B178,
[3]!players[win], 1)</f>
        <v>1</v>
      </c>
      <c r="E178" s="11">
        <f>D178/C178</f>
        <v>1</v>
      </c>
      <c r="F178" t="str">
        <f>IF(C178&gt;=10, "Yes", "No")</f>
        <v>No</v>
      </c>
      <c r="G178" t="str">
        <f>IF(F178="No","N/A",COUNTIFS(B$2:B$409, B178, F$2:F$409, "Yes", E$2:E$409, "&gt;"&amp;E178)+1)</f>
        <v>N/A</v>
      </c>
    </row>
    <row r="179" spans="1:7" x14ac:dyDescent="0.3">
      <c r="A179" t="str">
        <v>Jakiro</v>
      </c>
      <c r="B179" t="str">
        <v>Hard Support</v>
      </c>
      <c r="C179">
        <f>COUNTIFS([3]!players[hero_name], A179,
[3]!players[lane_name], B179)</f>
        <v>208</v>
      </c>
      <c r="D179">
        <f>COUNTIFS([3]!players[hero_name], A179,
[3]!players[lane_name], B179,
[3]!players[win], 1)</f>
        <v>107</v>
      </c>
      <c r="E179" s="11">
        <f>D179/C179</f>
        <v>0.51442307692307687</v>
      </c>
      <c r="F179" t="str">
        <f>IF(C179&gt;=10, "Yes", "No")</f>
        <v>Yes</v>
      </c>
      <c r="G179">
        <f>IF(F179="No","N/A",COUNTIFS(B$2:B$409, B179, F$2:F$409, "Yes", E$2:E$409, "&gt;"&amp;E179)+1)</f>
        <v>17</v>
      </c>
    </row>
    <row r="180" spans="1:7" x14ac:dyDescent="0.3">
      <c r="A180" t="str">
        <v>Jakiro</v>
      </c>
      <c r="B180" t="str">
        <v>Soft Support</v>
      </c>
      <c r="C180">
        <f>COUNTIFS([3]!players[hero_name], A180,
[3]!players[lane_name], B180)</f>
        <v>159</v>
      </c>
      <c r="D180">
        <f>COUNTIFS([3]!players[hero_name], A180,
[3]!players[lane_name], B180,
[3]!players[win], 1)</f>
        <v>78</v>
      </c>
      <c r="E180" s="11">
        <f>D180/C180</f>
        <v>0.49056603773584906</v>
      </c>
      <c r="F180" t="str">
        <f>IF(C180&gt;=10, "Yes", "No")</f>
        <v>Yes</v>
      </c>
      <c r="G180">
        <f>IF(F180="No","N/A",COUNTIFS(B$2:B$409, B180, F$2:F$409, "Yes", E$2:E$409, "&gt;"&amp;E180)+1)</f>
        <v>27</v>
      </c>
    </row>
    <row r="181" spans="1:7" x14ac:dyDescent="0.3">
      <c r="A181" t="str">
        <v>Jakiro</v>
      </c>
      <c r="B181" t="str">
        <v>Roam</v>
      </c>
      <c r="C181">
        <f>COUNTIFS([3]!players[hero_name], A181,
[3]!players[lane_name], B181)</f>
        <v>57</v>
      </c>
      <c r="D181">
        <f>COUNTIFS([3]!players[hero_name], A181,
[3]!players[lane_name], B181,
[3]!players[win], 1)</f>
        <v>29</v>
      </c>
      <c r="E181" s="11">
        <f>D181/C181</f>
        <v>0.50877192982456143</v>
      </c>
      <c r="F181" t="str">
        <f>IF(C181&gt;=10, "Yes", "No")</f>
        <v>Yes</v>
      </c>
      <c r="G181">
        <f>IF(F181="No","N/A",COUNTIFS(B$2:B$409, B181, F$2:F$409, "Yes", E$2:E$409, "&gt;"&amp;E181)+1)</f>
        <v>11</v>
      </c>
    </row>
    <row r="182" spans="1:7" x14ac:dyDescent="0.3">
      <c r="A182" t="str">
        <v>Jakiro</v>
      </c>
      <c r="B182" t="str">
        <v>Carry</v>
      </c>
      <c r="C182">
        <f>COUNTIFS([3]!players[hero_name], A182,
[3]!players[lane_name], B182)</f>
        <v>1</v>
      </c>
      <c r="D182">
        <f>COUNTIFS([3]!players[hero_name], A182,
[3]!players[lane_name], B182,
[3]!players[win], 1)</f>
        <v>0</v>
      </c>
      <c r="E182" s="11">
        <f>D182/C182</f>
        <v>0</v>
      </c>
      <c r="F182" t="str">
        <f>IF(C182&gt;=10, "Yes", "No")</f>
        <v>No</v>
      </c>
      <c r="G182" t="str">
        <f>IF(F182="No","N/A",COUNTIFS(B$2:B$409, B182, F$2:F$409, "Yes", E$2:E$409, "&gt;"&amp;E182)+1)</f>
        <v>N/A</v>
      </c>
    </row>
    <row r="183" spans="1:7" x14ac:dyDescent="0.3">
      <c r="A183" t="str">
        <v>Jakiro</v>
      </c>
      <c r="B183" t="str">
        <v>Off Lane</v>
      </c>
      <c r="C183">
        <f>COUNTIFS([3]!players[hero_name], A183,
[3]!players[lane_name], B183)</f>
        <v>3</v>
      </c>
      <c r="D183">
        <f>COUNTIFS([3]!players[hero_name], A183,
[3]!players[lane_name], B183,
[3]!players[win], 1)</f>
        <v>1</v>
      </c>
      <c r="E183" s="11">
        <f>D183/C183</f>
        <v>0.33333333333333331</v>
      </c>
      <c r="F183" t="str">
        <f>IF(C183&gt;=10, "Yes", "No")</f>
        <v>No</v>
      </c>
      <c r="G183" t="str">
        <f>IF(F183="No","N/A",COUNTIFS(B$2:B$409, B183, F$2:F$409, "Yes", E$2:E$409, "&gt;"&amp;E183)+1)</f>
        <v>N/A</v>
      </c>
    </row>
    <row r="184" spans="1:7" x14ac:dyDescent="0.3">
      <c r="A184" t="str">
        <v>Jakiro</v>
      </c>
      <c r="B184" t="str">
        <v>Mid</v>
      </c>
      <c r="C184">
        <f>COUNTIFS([3]!players[hero_name], A184,
[3]!players[lane_name], B184)</f>
        <v>1</v>
      </c>
      <c r="D184">
        <f>COUNTIFS([3]!players[hero_name], A184,
[3]!players[lane_name], B184,
[3]!players[win], 1)</f>
        <v>0</v>
      </c>
      <c r="E184" s="11">
        <f>D184/C184</f>
        <v>0</v>
      </c>
      <c r="F184" t="str">
        <f>IF(C184&gt;=10, "Yes", "No")</f>
        <v>No</v>
      </c>
      <c r="G184" t="str">
        <f>IF(F184="No","N/A",COUNTIFS(B$2:B$409, B184, F$2:F$409, "Yes", E$2:E$409, "&gt;"&amp;E184)+1)</f>
        <v>N/A</v>
      </c>
    </row>
    <row r="185" spans="1:7" x14ac:dyDescent="0.3">
      <c r="A185" t="str">
        <v>Juggernaut</v>
      </c>
      <c r="B185" t="str">
        <v>Carry</v>
      </c>
      <c r="C185">
        <f>COUNTIFS([3]!players[hero_name], A185,
[3]!players[lane_name], B185)</f>
        <v>92</v>
      </c>
      <c r="D185">
        <f>COUNTIFS([3]!players[hero_name], A185,
[3]!players[lane_name], B185,
[3]!players[win], 1)</f>
        <v>53</v>
      </c>
      <c r="E185" s="11">
        <f>D185/C185</f>
        <v>0.57608695652173914</v>
      </c>
      <c r="F185" t="str">
        <f>IF(C185&gt;=10, "Yes", "No")</f>
        <v>Yes</v>
      </c>
      <c r="G185">
        <f>IF(F185="No","N/A",COUNTIFS(B$2:B$409, B185, F$2:F$409, "Yes", E$2:E$409, "&gt;"&amp;E185)+1)</f>
        <v>8</v>
      </c>
    </row>
    <row r="186" spans="1:7" x14ac:dyDescent="0.3">
      <c r="A186" t="str">
        <v>Keeper of the Light</v>
      </c>
      <c r="B186" t="str">
        <v>Soft Support</v>
      </c>
      <c r="C186">
        <f>COUNTIFS([3]!players[hero_name], A186,
[3]!players[lane_name], B186)</f>
        <v>54</v>
      </c>
      <c r="D186">
        <f>COUNTIFS([3]!players[hero_name], A186,
[3]!players[lane_name], B186,
[3]!players[win], 1)</f>
        <v>27</v>
      </c>
      <c r="E186" s="11">
        <f>D186/C186</f>
        <v>0.5</v>
      </c>
      <c r="F186" t="str">
        <f>IF(C186&gt;=10, "Yes", "No")</f>
        <v>Yes</v>
      </c>
      <c r="G186">
        <f>IF(F186="No","N/A",COUNTIFS(B$2:B$409, B186, F$2:F$409, "Yes", E$2:E$409, "&gt;"&amp;E186)+1)</f>
        <v>22</v>
      </c>
    </row>
    <row r="187" spans="1:7" x14ac:dyDescent="0.3">
      <c r="A187" t="str">
        <v>Keeper of the Light</v>
      </c>
      <c r="B187" t="str">
        <v>Mid</v>
      </c>
      <c r="C187">
        <f>COUNTIFS([3]!players[hero_name], A187,
[3]!players[lane_name], B187)</f>
        <v>76</v>
      </c>
      <c r="D187">
        <f>COUNTIFS([3]!players[hero_name], A187,
[3]!players[lane_name], B187,
[3]!players[win], 1)</f>
        <v>40</v>
      </c>
      <c r="E187" s="11">
        <f>D187/C187</f>
        <v>0.52631578947368418</v>
      </c>
      <c r="F187" t="str">
        <f>IF(C187&gt;=10, "Yes", "No")</f>
        <v>Yes</v>
      </c>
      <c r="G187">
        <f>IF(F187="No","N/A",COUNTIFS(B$2:B$409, B187, F$2:F$409, "Yes", E$2:E$409, "&gt;"&amp;E187)+1)</f>
        <v>18</v>
      </c>
    </row>
    <row r="188" spans="1:7" x14ac:dyDescent="0.3">
      <c r="A188" t="str">
        <v>Keeper of the Light</v>
      </c>
      <c r="B188" t="str">
        <v>Roam</v>
      </c>
      <c r="C188">
        <f>COUNTIFS([3]!players[hero_name], A188,
[3]!players[lane_name], B188)</f>
        <v>18</v>
      </c>
      <c r="D188">
        <f>COUNTIFS([3]!players[hero_name], A188,
[3]!players[lane_name], B188,
[3]!players[win], 1)</f>
        <v>9</v>
      </c>
      <c r="E188" s="11">
        <f>D188/C188</f>
        <v>0.5</v>
      </c>
      <c r="F188" t="str">
        <f>IF(C188&gt;=10, "Yes", "No")</f>
        <v>Yes</v>
      </c>
      <c r="G188">
        <f>IF(F188="No","N/A",COUNTIFS(B$2:B$409, B188, F$2:F$409, "Yes", E$2:E$409, "&gt;"&amp;E188)+1)</f>
        <v>12</v>
      </c>
    </row>
    <row r="189" spans="1:7" x14ac:dyDescent="0.3">
      <c r="A189" t="str">
        <v>Keeper of the Light</v>
      </c>
      <c r="B189" t="str">
        <v>Hard Support</v>
      </c>
      <c r="C189">
        <f>COUNTIFS([3]!players[hero_name], A189,
[3]!players[lane_name], B189)</f>
        <v>15</v>
      </c>
      <c r="D189">
        <f>COUNTIFS([3]!players[hero_name], A189,
[3]!players[lane_name], B189,
[3]!players[win], 1)</f>
        <v>11</v>
      </c>
      <c r="E189" s="11">
        <f>D189/C189</f>
        <v>0.73333333333333328</v>
      </c>
      <c r="F189" t="str">
        <f>IF(C189&gt;=10, "Yes", "No")</f>
        <v>Yes</v>
      </c>
      <c r="G189">
        <f>IF(F189="No","N/A",COUNTIFS(B$2:B$409, B189, F$2:F$409, "Yes", E$2:E$409, "&gt;"&amp;E189)+1)</f>
        <v>2</v>
      </c>
    </row>
    <row r="190" spans="1:7" x14ac:dyDescent="0.3">
      <c r="A190" t="str">
        <v>Keeper of the Light</v>
      </c>
      <c r="B190" t="str">
        <v>Off Lane</v>
      </c>
      <c r="C190">
        <f>COUNTIFS([3]!players[hero_name], A190,
[3]!players[lane_name], B190)</f>
        <v>5</v>
      </c>
      <c r="D190">
        <f>COUNTIFS([3]!players[hero_name], A190,
[3]!players[lane_name], B190,
[3]!players[win], 1)</f>
        <v>3</v>
      </c>
      <c r="E190" s="11">
        <f>D190/C190</f>
        <v>0.6</v>
      </c>
      <c r="F190" t="str">
        <f>IF(C190&gt;=10, "Yes", "No")</f>
        <v>No</v>
      </c>
      <c r="G190" t="str">
        <f>IF(F190="No","N/A",COUNTIFS(B$2:B$409, B190, F$2:F$409, "Yes", E$2:E$409, "&gt;"&amp;E190)+1)</f>
        <v>N/A</v>
      </c>
    </row>
    <row r="191" spans="1:7" x14ac:dyDescent="0.3">
      <c r="A191" t="str">
        <v>Kez</v>
      </c>
      <c r="B191" t="str">
        <v>Carry</v>
      </c>
      <c r="C191">
        <f>COUNTIFS([3]!players[hero_name], A191,
[3]!players[lane_name], B191)</f>
        <v>115</v>
      </c>
      <c r="D191">
        <f>COUNTIFS([3]!players[hero_name], A191,
[3]!players[lane_name], B191,
[3]!players[win], 1)</f>
        <v>67</v>
      </c>
      <c r="E191" s="11">
        <f>D191/C191</f>
        <v>0.58260869565217388</v>
      </c>
      <c r="F191" t="str">
        <f>IF(C191&gt;=10, "Yes", "No")</f>
        <v>Yes</v>
      </c>
      <c r="G191">
        <f>IF(F191="No","N/A",COUNTIFS(B$2:B$409, B191, F$2:F$409, "Yes", E$2:E$409, "&gt;"&amp;E191)+1)</f>
        <v>6</v>
      </c>
    </row>
    <row r="192" spans="1:7" x14ac:dyDescent="0.3">
      <c r="A192" t="str">
        <v>Kez</v>
      </c>
      <c r="B192" t="str">
        <v>Mid</v>
      </c>
      <c r="C192">
        <f>COUNTIFS([3]!players[hero_name], A192,
[3]!players[lane_name], B192)</f>
        <v>46</v>
      </c>
      <c r="D192">
        <f>COUNTIFS([3]!players[hero_name], A192,
[3]!players[lane_name], B192,
[3]!players[win], 1)</f>
        <v>27</v>
      </c>
      <c r="E192" s="11">
        <f>D192/C192</f>
        <v>0.58695652173913049</v>
      </c>
      <c r="F192" t="str">
        <f>IF(C192&gt;=10, "Yes", "No")</f>
        <v>Yes</v>
      </c>
      <c r="G192">
        <f>IF(F192="No","N/A",COUNTIFS(B$2:B$409, B192, F$2:F$409, "Yes", E$2:E$409, "&gt;"&amp;E192)+1)</f>
        <v>8</v>
      </c>
    </row>
    <row r="193" spans="1:7" x14ac:dyDescent="0.3">
      <c r="A193" t="str">
        <v>Kez</v>
      </c>
      <c r="B193" t="str">
        <v>Off Lane</v>
      </c>
      <c r="C193">
        <f>COUNTIFS([3]!players[hero_name], A193,
[3]!players[lane_name], B193)</f>
        <v>2</v>
      </c>
      <c r="D193">
        <f>COUNTIFS([3]!players[hero_name], A193,
[3]!players[lane_name], B193,
[3]!players[win], 1)</f>
        <v>2</v>
      </c>
      <c r="E193" s="11">
        <f>D193/C193</f>
        <v>1</v>
      </c>
      <c r="F193" t="str">
        <f>IF(C193&gt;=10, "Yes", "No")</f>
        <v>No</v>
      </c>
      <c r="G193" t="str">
        <f>IF(F193="No","N/A",COUNTIFS(B$2:B$409, B193, F$2:F$409, "Yes", E$2:E$409, "&gt;"&amp;E193)+1)</f>
        <v>N/A</v>
      </c>
    </row>
    <row r="194" spans="1:7" x14ac:dyDescent="0.3">
      <c r="A194" t="str">
        <v>Kunkka</v>
      </c>
      <c r="B194" t="str">
        <v>Off Lane</v>
      </c>
      <c r="C194">
        <f>COUNTIFS([3]!players[hero_name], A194,
[3]!players[lane_name], B194)</f>
        <v>58</v>
      </c>
      <c r="D194">
        <f>COUNTIFS([3]!players[hero_name], A194,
[3]!players[lane_name], B194,
[3]!players[win], 1)</f>
        <v>33</v>
      </c>
      <c r="E194" s="11">
        <f>D194/C194</f>
        <v>0.56896551724137934</v>
      </c>
      <c r="F194" t="str">
        <f>IF(C194&gt;=10, "Yes", "No")</f>
        <v>Yes</v>
      </c>
      <c r="G194">
        <f>IF(F194="No","N/A",COUNTIFS(B$2:B$409, B194, F$2:F$409, "Yes", E$2:E$409, "&gt;"&amp;E194)+1)</f>
        <v>7</v>
      </c>
    </row>
    <row r="195" spans="1:7" x14ac:dyDescent="0.3">
      <c r="A195" t="str">
        <v>Kunkka</v>
      </c>
      <c r="B195" t="str">
        <v>Mid</v>
      </c>
      <c r="C195">
        <f>COUNTIFS([3]!players[hero_name], A195,
[3]!players[lane_name], B195)</f>
        <v>79</v>
      </c>
      <c r="D195">
        <f>COUNTIFS([3]!players[hero_name], A195,
[3]!players[lane_name], B195,
[3]!players[win], 1)</f>
        <v>43</v>
      </c>
      <c r="E195" s="11">
        <f>D195/C195</f>
        <v>0.54430379746835444</v>
      </c>
      <c r="F195" t="str">
        <f>IF(C195&gt;=10, "Yes", "No")</f>
        <v>Yes</v>
      </c>
      <c r="G195">
        <f>IF(F195="No","N/A",COUNTIFS(B$2:B$409, B195, F$2:F$409, "Yes", E$2:E$409, "&gt;"&amp;E195)+1)</f>
        <v>13</v>
      </c>
    </row>
    <row r="196" spans="1:7" x14ac:dyDescent="0.3">
      <c r="A196" t="str">
        <v>Kunkka</v>
      </c>
      <c r="B196" t="str">
        <v>Soft Support</v>
      </c>
      <c r="C196">
        <f>COUNTIFS([3]!players[hero_name], A196,
[3]!players[lane_name], B196)</f>
        <v>1</v>
      </c>
      <c r="D196">
        <f>COUNTIFS([3]!players[hero_name], A196,
[3]!players[lane_name], B196,
[3]!players[win], 1)</f>
        <v>1</v>
      </c>
      <c r="E196" s="11">
        <f>D196/C196</f>
        <v>1</v>
      </c>
      <c r="F196" t="str">
        <f>IF(C196&gt;=10, "Yes", "No")</f>
        <v>No</v>
      </c>
      <c r="G196" t="str">
        <f>IF(F196="No","N/A",COUNTIFS(B$2:B$409, B196, F$2:F$409, "Yes", E$2:E$409, "&gt;"&amp;E196)+1)</f>
        <v>N/A</v>
      </c>
    </row>
    <row r="197" spans="1:7" x14ac:dyDescent="0.3">
      <c r="A197" t="str">
        <v>Kunkka</v>
      </c>
      <c r="B197" t="str">
        <v>Carry</v>
      </c>
      <c r="C197">
        <f>COUNTIFS([3]!players[hero_name], A197,
[3]!players[lane_name], B197)</f>
        <v>8</v>
      </c>
      <c r="D197">
        <f>COUNTIFS([3]!players[hero_name], A197,
[3]!players[lane_name], B197,
[3]!players[win], 1)</f>
        <v>5</v>
      </c>
      <c r="E197" s="11">
        <f>D197/C197</f>
        <v>0.625</v>
      </c>
      <c r="F197" t="str">
        <f>IF(C197&gt;=10, "Yes", "No")</f>
        <v>No</v>
      </c>
      <c r="G197" t="str">
        <f>IF(F197="No","N/A",COUNTIFS(B$2:B$409, B197, F$2:F$409, "Yes", E$2:E$409, "&gt;"&amp;E197)+1)</f>
        <v>N/A</v>
      </c>
    </row>
    <row r="198" spans="1:7" x14ac:dyDescent="0.3">
      <c r="A198" t="str">
        <v>Largo</v>
      </c>
      <c r="B198" t="str">
        <v>Off Lane</v>
      </c>
      <c r="C198">
        <f>COUNTIFS([3]!players[hero_name], A198,
[3]!players[lane_name], B198)</f>
        <v>60</v>
      </c>
      <c r="D198">
        <f>COUNTIFS([3]!players[hero_name], A198,
[3]!players[lane_name], B198,
[3]!players[win], 1)</f>
        <v>33</v>
      </c>
      <c r="E198" s="11">
        <f>D198/C198</f>
        <v>0.55000000000000004</v>
      </c>
      <c r="F198" t="str">
        <f>IF(C198&gt;=10, "Yes", "No")</f>
        <v>Yes</v>
      </c>
      <c r="G198">
        <f>IF(F198="No","N/A",COUNTIFS(B$2:B$409, B198, F$2:F$409, "Yes", E$2:E$409, "&gt;"&amp;E198)+1)</f>
        <v>10</v>
      </c>
    </row>
    <row r="199" spans="1:7" x14ac:dyDescent="0.3">
      <c r="A199" t="str">
        <v>Largo</v>
      </c>
      <c r="B199" t="str">
        <v>Soft Support</v>
      </c>
      <c r="C199">
        <f>COUNTIFS([3]!players[hero_name], A199,
[3]!players[lane_name], B199)</f>
        <v>16</v>
      </c>
      <c r="D199">
        <f>COUNTIFS([3]!players[hero_name], A199,
[3]!players[lane_name], B199,
[3]!players[win], 1)</f>
        <v>11</v>
      </c>
      <c r="E199" s="11">
        <f>D199/C199</f>
        <v>0.6875</v>
      </c>
      <c r="F199" t="str">
        <f>IF(C199&gt;=10, "Yes", "No")</f>
        <v>Yes</v>
      </c>
      <c r="G199">
        <f>IF(F199="No","N/A",COUNTIFS(B$2:B$409, B199, F$2:F$409, "Yes", E$2:E$409, "&gt;"&amp;E199)+1)</f>
        <v>4</v>
      </c>
    </row>
    <row r="200" spans="1:7" x14ac:dyDescent="0.3">
      <c r="A200" t="str">
        <v>Largo</v>
      </c>
      <c r="B200" t="str">
        <v>Hard Support</v>
      </c>
      <c r="C200">
        <f>COUNTIFS([3]!players[hero_name], A200,
[3]!players[lane_name], B200)</f>
        <v>19</v>
      </c>
      <c r="D200">
        <f>COUNTIFS([3]!players[hero_name], A200,
[3]!players[lane_name], B200,
[3]!players[win], 1)</f>
        <v>10</v>
      </c>
      <c r="E200" s="11">
        <f>D200/C200</f>
        <v>0.52631578947368418</v>
      </c>
      <c r="F200" t="str">
        <f>IF(C200&gt;=10, "Yes", "No")</f>
        <v>Yes</v>
      </c>
      <c r="G200">
        <f>IF(F200="No","N/A",COUNTIFS(B$2:B$409, B200, F$2:F$409, "Yes", E$2:E$409, "&gt;"&amp;E200)+1)</f>
        <v>14</v>
      </c>
    </row>
    <row r="201" spans="1:7" x14ac:dyDescent="0.3">
      <c r="A201" t="str">
        <v>Largo</v>
      </c>
      <c r="B201" t="str">
        <v>Roam</v>
      </c>
      <c r="C201">
        <f>COUNTIFS([3]!players[hero_name], A201,
[3]!players[lane_name], B201)</f>
        <v>9</v>
      </c>
      <c r="D201">
        <f>COUNTIFS([3]!players[hero_name], A201,
[3]!players[lane_name], B201,
[3]!players[win], 1)</f>
        <v>1</v>
      </c>
      <c r="E201" s="11">
        <f>D201/C201</f>
        <v>0.1111111111111111</v>
      </c>
      <c r="F201" t="str">
        <f>IF(C201&gt;=10, "Yes", "No")</f>
        <v>No</v>
      </c>
      <c r="G201" t="str">
        <f>IF(F201="No","N/A",COUNTIFS(B$2:B$409, B201, F$2:F$409, "Yes", E$2:E$409, "&gt;"&amp;E201)+1)</f>
        <v>N/A</v>
      </c>
    </row>
    <row r="202" spans="1:7" x14ac:dyDescent="0.3">
      <c r="A202" t="str">
        <v>Largo</v>
      </c>
      <c r="B202" t="str">
        <v>Carry</v>
      </c>
      <c r="C202">
        <f>COUNTIFS([3]!players[hero_name], A202,
[3]!players[lane_name], B202)</f>
        <v>2</v>
      </c>
      <c r="D202">
        <f>COUNTIFS([3]!players[hero_name], A202,
[3]!players[lane_name], B202,
[3]!players[win], 1)</f>
        <v>2</v>
      </c>
      <c r="E202" s="11">
        <f>D202/C202</f>
        <v>1</v>
      </c>
      <c r="F202" t="str">
        <f>IF(C202&gt;=10, "Yes", "No")</f>
        <v>No</v>
      </c>
      <c r="G202" t="str">
        <f>IF(F202="No","N/A",COUNTIFS(B$2:B$409, B202, F$2:F$409, "Yes", E$2:E$409, "&gt;"&amp;E202)+1)</f>
        <v>N/A</v>
      </c>
    </row>
    <row r="203" spans="1:7" x14ac:dyDescent="0.3">
      <c r="A203" t="str">
        <v>Legion Commander</v>
      </c>
      <c r="B203" t="str">
        <v>Off Lane</v>
      </c>
      <c r="C203">
        <f>COUNTIFS([3]!players[hero_name], A203,
[3]!players[lane_name], B203)</f>
        <v>97</v>
      </c>
      <c r="D203">
        <f>COUNTIFS([3]!players[hero_name], A203,
[3]!players[lane_name], B203,
[3]!players[win], 1)</f>
        <v>51</v>
      </c>
      <c r="E203" s="11">
        <f>D203/C203</f>
        <v>0.52577319587628868</v>
      </c>
      <c r="F203" t="str">
        <f>IF(C203&gt;=10, "Yes", "No")</f>
        <v>Yes</v>
      </c>
      <c r="G203">
        <f>IF(F203="No","N/A",COUNTIFS(B$2:B$409, B203, F$2:F$409, "Yes", E$2:E$409, "&gt;"&amp;E203)+1)</f>
        <v>15</v>
      </c>
    </row>
    <row r="204" spans="1:7" x14ac:dyDescent="0.3">
      <c r="A204" t="str">
        <v>Legion Commander</v>
      </c>
      <c r="B204" t="str">
        <v>Mid</v>
      </c>
      <c r="C204">
        <f>COUNTIFS([3]!players[hero_name], A204,
[3]!players[lane_name], B204)</f>
        <v>2</v>
      </c>
      <c r="D204">
        <f>COUNTIFS([3]!players[hero_name], A204,
[3]!players[lane_name], B204,
[3]!players[win], 1)</f>
        <v>0</v>
      </c>
      <c r="E204" s="11">
        <f>D204/C204</f>
        <v>0</v>
      </c>
      <c r="F204" t="str">
        <f>IF(C204&gt;=10, "Yes", "No")</f>
        <v>No</v>
      </c>
      <c r="G204" t="str">
        <f>IF(F204="No","N/A",COUNTIFS(B$2:B$409, B204, F$2:F$409, "Yes", E$2:E$409, "&gt;"&amp;E204)+1)</f>
        <v>N/A</v>
      </c>
    </row>
    <row r="205" spans="1:7" x14ac:dyDescent="0.3">
      <c r="A205" t="str">
        <v>Legion Commander</v>
      </c>
      <c r="B205" t="str">
        <v>Soft Support</v>
      </c>
      <c r="C205">
        <f>COUNTIFS([3]!players[hero_name], A205,
[3]!players[lane_name], B205)</f>
        <v>6</v>
      </c>
      <c r="D205">
        <f>COUNTIFS([3]!players[hero_name], A205,
[3]!players[lane_name], B205,
[3]!players[win], 1)</f>
        <v>2</v>
      </c>
      <c r="E205" s="11">
        <f>D205/C205</f>
        <v>0.33333333333333331</v>
      </c>
      <c r="F205" t="str">
        <f>IF(C205&gt;=10, "Yes", "No")</f>
        <v>No</v>
      </c>
      <c r="G205" t="str">
        <f>IF(F205="No","N/A",COUNTIFS(B$2:B$409, B205, F$2:F$409, "Yes", E$2:E$409, "&gt;"&amp;E205)+1)</f>
        <v>N/A</v>
      </c>
    </row>
    <row r="206" spans="1:7" x14ac:dyDescent="0.3">
      <c r="A206" t="str">
        <v>Legion Commander</v>
      </c>
      <c r="B206" t="str">
        <v>Hard Support</v>
      </c>
      <c r="C206">
        <f>COUNTIFS([3]!players[hero_name], A206,
[3]!players[lane_name], B206)</f>
        <v>1</v>
      </c>
      <c r="D206">
        <f>COUNTIFS([3]!players[hero_name], A206,
[3]!players[lane_name], B206,
[3]!players[win], 1)</f>
        <v>1</v>
      </c>
      <c r="E206" s="11">
        <f>D206/C206</f>
        <v>1</v>
      </c>
      <c r="F206" t="str">
        <f>IF(C206&gt;=10, "Yes", "No")</f>
        <v>No</v>
      </c>
      <c r="G206" t="str">
        <f>IF(F206="No","N/A",COUNTIFS(B$2:B$409, B206, F$2:F$409, "Yes", E$2:E$409, "&gt;"&amp;E206)+1)</f>
        <v>N/A</v>
      </c>
    </row>
    <row r="207" spans="1:7" x14ac:dyDescent="0.3">
      <c r="A207" t="str">
        <v>Leshrac</v>
      </c>
      <c r="B207" t="str">
        <v>Mid</v>
      </c>
      <c r="C207">
        <f>COUNTIFS([3]!players[hero_name], A207,
[3]!players[lane_name], B207)</f>
        <v>71</v>
      </c>
      <c r="D207">
        <f>COUNTIFS([3]!players[hero_name], A207,
[3]!players[lane_name], B207,
[3]!players[win], 1)</f>
        <v>37</v>
      </c>
      <c r="E207" s="11">
        <f>D207/C207</f>
        <v>0.52112676056338025</v>
      </c>
      <c r="F207" t="str">
        <f>IF(C207&gt;=10, "Yes", "No")</f>
        <v>Yes</v>
      </c>
      <c r="G207">
        <f>IF(F207="No","N/A",COUNTIFS(B$2:B$409, B207, F$2:F$409, "Yes", E$2:E$409, "&gt;"&amp;E207)+1)</f>
        <v>19</v>
      </c>
    </row>
    <row r="208" spans="1:7" x14ac:dyDescent="0.3">
      <c r="A208" t="str">
        <v>Leshrac</v>
      </c>
      <c r="B208" t="str">
        <v>Carry</v>
      </c>
      <c r="C208">
        <f>COUNTIFS([3]!players[hero_name], A208,
[3]!players[lane_name], B208)</f>
        <v>5</v>
      </c>
      <c r="D208">
        <f>COUNTIFS([3]!players[hero_name], A208,
[3]!players[lane_name], B208,
[3]!players[win], 1)</f>
        <v>3</v>
      </c>
      <c r="E208" s="11">
        <f>D208/C208</f>
        <v>0.6</v>
      </c>
      <c r="F208" t="str">
        <f>IF(C208&gt;=10, "Yes", "No")</f>
        <v>No</v>
      </c>
      <c r="G208" t="str">
        <f>IF(F208="No","N/A",COUNTIFS(B$2:B$409, B208, F$2:F$409, "Yes", E$2:E$409, "&gt;"&amp;E208)+1)</f>
        <v>N/A</v>
      </c>
    </row>
    <row r="209" spans="1:7" x14ac:dyDescent="0.3">
      <c r="A209" t="str">
        <v>Leshrac</v>
      </c>
      <c r="B209" t="str">
        <v>Soft Support</v>
      </c>
      <c r="C209">
        <f>COUNTIFS([3]!players[hero_name], A209,
[3]!players[lane_name], B209)</f>
        <v>8</v>
      </c>
      <c r="D209">
        <f>COUNTIFS([3]!players[hero_name], A209,
[3]!players[lane_name], B209,
[3]!players[win], 1)</f>
        <v>5</v>
      </c>
      <c r="E209" s="11">
        <f>D209/C209</f>
        <v>0.625</v>
      </c>
      <c r="F209" t="str">
        <f>IF(C209&gt;=10, "Yes", "No")</f>
        <v>No</v>
      </c>
      <c r="G209" t="str">
        <f>IF(F209="No","N/A",COUNTIFS(B$2:B$409, B209, F$2:F$409, "Yes", E$2:E$409, "&gt;"&amp;E209)+1)</f>
        <v>N/A</v>
      </c>
    </row>
    <row r="210" spans="1:7" x14ac:dyDescent="0.3">
      <c r="A210" t="str">
        <v>Leshrac</v>
      </c>
      <c r="B210" t="str">
        <v>Roam</v>
      </c>
      <c r="C210">
        <f>COUNTIFS([3]!players[hero_name], A210,
[3]!players[lane_name], B210)</f>
        <v>4</v>
      </c>
      <c r="D210">
        <f>COUNTIFS([3]!players[hero_name], A210,
[3]!players[lane_name], B210,
[3]!players[win], 1)</f>
        <v>2</v>
      </c>
      <c r="E210" s="11">
        <f>D210/C210</f>
        <v>0.5</v>
      </c>
      <c r="F210" t="str">
        <f>IF(C210&gt;=10, "Yes", "No")</f>
        <v>No</v>
      </c>
      <c r="G210" t="str">
        <f>IF(F210="No","N/A",COUNTIFS(B$2:B$409, B210, F$2:F$409, "Yes", E$2:E$409, "&gt;"&amp;E210)+1)</f>
        <v>N/A</v>
      </c>
    </row>
    <row r="211" spans="1:7" x14ac:dyDescent="0.3">
      <c r="A211" t="str">
        <v>Leshrac</v>
      </c>
      <c r="B211" t="str">
        <v>Off Lane</v>
      </c>
      <c r="C211">
        <f>COUNTIFS([3]!players[hero_name], A211,
[3]!players[lane_name], B211)</f>
        <v>3</v>
      </c>
      <c r="D211">
        <f>COUNTIFS([3]!players[hero_name], A211,
[3]!players[lane_name], B211,
[3]!players[win], 1)</f>
        <v>1</v>
      </c>
      <c r="E211" s="11">
        <f>D211/C211</f>
        <v>0.33333333333333331</v>
      </c>
      <c r="F211" t="str">
        <f>IF(C211&gt;=10, "Yes", "No")</f>
        <v>No</v>
      </c>
      <c r="G211" t="str">
        <f>IF(F211="No","N/A",COUNTIFS(B$2:B$409, B211, F$2:F$409, "Yes", E$2:E$409, "&gt;"&amp;E211)+1)</f>
        <v>N/A</v>
      </c>
    </row>
    <row r="212" spans="1:7" x14ac:dyDescent="0.3">
      <c r="A212" t="str">
        <v>Lich</v>
      </c>
      <c r="B212" t="str">
        <v>Soft Support</v>
      </c>
      <c r="C212">
        <f>COUNTIFS([3]!players[hero_name], A212,
[3]!players[lane_name], B212)</f>
        <v>135</v>
      </c>
      <c r="D212">
        <f>COUNTIFS([3]!players[hero_name], A212,
[3]!players[lane_name], B212,
[3]!players[win], 1)</f>
        <v>61</v>
      </c>
      <c r="E212" s="11">
        <f>D212/C212</f>
        <v>0.45185185185185184</v>
      </c>
      <c r="F212" t="str">
        <f>IF(C212&gt;=10, "Yes", "No")</f>
        <v>Yes</v>
      </c>
      <c r="G212">
        <f>IF(F212="No","N/A",COUNTIFS(B$2:B$409, B212, F$2:F$409, "Yes", E$2:E$409, "&gt;"&amp;E212)+1)</f>
        <v>33</v>
      </c>
    </row>
    <row r="213" spans="1:7" x14ac:dyDescent="0.3">
      <c r="A213" t="str">
        <v>Lich</v>
      </c>
      <c r="B213" t="str">
        <v>Hard Support</v>
      </c>
      <c r="C213">
        <f>COUNTIFS([3]!players[hero_name], A213,
[3]!players[lane_name], B213)</f>
        <v>152</v>
      </c>
      <c r="D213">
        <f>COUNTIFS([3]!players[hero_name], A213,
[3]!players[lane_name], B213,
[3]!players[win], 1)</f>
        <v>80</v>
      </c>
      <c r="E213" s="11">
        <f>D213/C213</f>
        <v>0.52631578947368418</v>
      </c>
      <c r="F213" t="str">
        <f>IF(C213&gt;=10, "Yes", "No")</f>
        <v>Yes</v>
      </c>
      <c r="G213">
        <f>IF(F213="No","N/A",COUNTIFS(B$2:B$409, B213, F$2:F$409, "Yes", E$2:E$409, "&gt;"&amp;E213)+1)</f>
        <v>14</v>
      </c>
    </row>
    <row r="214" spans="1:7" x14ac:dyDescent="0.3">
      <c r="A214" t="str">
        <v>Lich</v>
      </c>
      <c r="B214" t="str">
        <v>Roam</v>
      </c>
      <c r="C214">
        <f>COUNTIFS([3]!players[hero_name], A214,
[3]!players[lane_name], B214)</f>
        <v>12</v>
      </c>
      <c r="D214">
        <f>COUNTIFS([3]!players[hero_name], A214,
[3]!players[lane_name], B214,
[3]!players[win], 1)</f>
        <v>4</v>
      </c>
      <c r="E214" s="11">
        <f>D214/C214</f>
        <v>0.33333333333333331</v>
      </c>
      <c r="F214" t="str">
        <f>IF(C214&gt;=10, "Yes", "No")</f>
        <v>Yes</v>
      </c>
      <c r="G214">
        <f>IF(F214="No","N/A",COUNTIFS(B$2:B$409, B214, F$2:F$409, "Yes", E$2:E$409, "&gt;"&amp;E214)+1)</f>
        <v>26</v>
      </c>
    </row>
    <row r="215" spans="1:7" x14ac:dyDescent="0.3">
      <c r="A215" t="str">
        <v>Lifestealer</v>
      </c>
      <c r="B215" t="str">
        <v>Carry</v>
      </c>
      <c r="C215">
        <f>COUNTIFS([3]!players[hero_name], A215,
[3]!players[lane_name], B215)</f>
        <v>293</v>
      </c>
      <c r="D215">
        <f>COUNTIFS([3]!players[hero_name], A215,
[3]!players[lane_name], B215,
[3]!players[win], 1)</f>
        <v>143</v>
      </c>
      <c r="E215" s="11">
        <f>D215/C215</f>
        <v>0.48805460750853241</v>
      </c>
      <c r="F215" t="str">
        <f>IF(C215&gt;=10, "Yes", "No")</f>
        <v>Yes</v>
      </c>
      <c r="G215">
        <f>IF(F215="No","N/A",COUNTIFS(B$2:B$409, B215, F$2:F$409, "Yes", E$2:E$409, "&gt;"&amp;E215)+1)</f>
        <v>20</v>
      </c>
    </row>
    <row r="216" spans="1:7" x14ac:dyDescent="0.3">
      <c r="A216" t="str">
        <v>Lifestealer</v>
      </c>
      <c r="B216" t="str">
        <v>Soft Support</v>
      </c>
      <c r="C216">
        <f>COUNTIFS([3]!players[hero_name], A216,
[3]!players[lane_name], B216)</f>
        <v>3</v>
      </c>
      <c r="D216">
        <f>COUNTIFS([3]!players[hero_name], A216,
[3]!players[lane_name], B216,
[3]!players[win], 1)</f>
        <v>0</v>
      </c>
      <c r="E216" s="11">
        <f>D216/C216</f>
        <v>0</v>
      </c>
      <c r="F216" t="str">
        <f>IF(C216&gt;=10, "Yes", "No")</f>
        <v>No</v>
      </c>
      <c r="G216" t="str">
        <f>IF(F216="No","N/A",COUNTIFS(B$2:B$409, B216, F$2:F$409, "Yes", E$2:E$409, "&gt;"&amp;E216)+1)</f>
        <v>N/A</v>
      </c>
    </row>
    <row r="217" spans="1:7" x14ac:dyDescent="0.3">
      <c r="A217" t="str">
        <v>Lifestealer</v>
      </c>
      <c r="B217" t="str">
        <v>Off Lane</v>
      </c>
      <c r="C217">
        <f>COUNTIFS([3]!players[hero_name], A217,
[3]!players[lane_name], B217)</f>
        <v>1</v>
      </c>
      <c r="D217">
        <f>COUNTIFS([3]!players[hero_name], A217,
[3]!players[lane_name], B217,
[3]!players[win], 1)</f>
        <v>0</v>
      </c>
      <c r="E217" s="11">
        <f>D217/C217</f>
        <v>0</v>
      </c>
      <c r="F217" t="str">
        <f>IF(C217&gt;=10, "Yes", "No")</f>
        <v>No</v>
      </c>
      <c r="G217" t="str">
        <f>IF(F217="No","N/A",COUNTIFS(B$2:B$409, B217, F$2:F$409, "Yes", E$2:E$409, "&gt;"&amp;E217)+1)</f>
        <v>N/A</v>
      </c>
    </row>
    <row r="218" spans="1:7" x14ac:dyDescent="0.3">
      <c r="A218" t="str">
        <v>Lina</v>
      </c>
      <c r="B218" t="str">
        <v>Mid</v>
      </c>
      <c r="C218">
        <f>COUNTIFS([3]!players[hero_name], A218,
[3]!players[lane_name], B218)</f>
        <v>140</v>
      </c>
      <c r="D218">
        <f>COUNTIFS([3]!players[hero_name], A218,
[3]!players[lane_name], B218,
[3]!players[win], 1)</f>
        <v>70</v>
      </c>
      <c r="E218" s="11">
        <f>D218/C218</f>
        <v>0.5</v>
      </c>
      <c r="F218" t="str">
        <f>IF(C218&gt;=10, "Yes", "No")</f>
        <v>Yes</v>
      </c>
      <c r="G218">
        <f>IF(F218="No","N/A",COUNTIFS(B$2:B$409, B218, F$2:F$409, "Yes", E$2:E$409, "&gt;"&amp;E218)+1)</f>
        <v>21</v>
      </c>
    </row>
    <row r="219" spans="1:7" x14ac:dyDescent="0.3">
      <c r="A219" t="str">
        <v>Lina</v>
      </c>
      <c r="B219" t="str">
        <v>Soft Support</v>
      </c>
      <c r="C219">
        <f>COUNTIFS([3]!players[hero_name], A219,
[3]!players[lane_name], B219)</f>
        <v>10</v>
      </c>
      <c r="D219">
        <f>COUNTIFS([3]!players[hero_name], A219,
[3]!players[lane_name], B219,
[3]!players[win], 1)</f>
        <v>7</v>
      </c>
      <c r="E219" s="11">
        <f>D219/C219</f>
        <v>0.7</v>
      </c>
      <c r="F219" t="str">
        <f>IF(C219&gt;=10, "Yes", "No")</f>
        <v>Yes</v>
      </c>
      <c r="G219">
        <f>IF(F219="No","N/A",COUNTIFS(B$2:B$409, B219, F$2:F$409, "Yes", E$2:E$409, "&gt;"&amp;E219)+1)</f>
        <v>3</v>
      </c>
    </row>
    <row r="220" spans="1:7" x14ac:dyDescent="0.3">
      <c r="A220" t="str">
        <v>Lina</v>
      </c>
      <c r="B220" t="str">
        <v>Carry</v>
      </c>
      <c r="C220">
        <f>COUNTIFS([3]!players[hero_name], A220,
[3]!players[lane_name], B220)</f>
        <v>10</v>
      </c>
      <c r="D220">
        <f>COUNTIFS([3]!players[hero_name], A220,
[3]!players[lane_name], B220,
[3]!players[win], 1)</f>
        <v>3</v>
      </c>
      <c r="E220" s="11">
        <f>D220/C220</f>
        <v>0.3</v>
      </c>
      <c r="F220" t="str">
        <f>IF(C220&gt;=10, "Yes", "No")</f>
        <v>Yes</v>
      </c>
      <c r="G220">
        <f>IF(F220="No","N/A",COUNTIFS(B$2:B$409, B220, F$2:F$409, "Yes", E$2:E$409, "&gt;"&amp;E220)+1)</f>
        <v>36</v>
      </c>
    </row>
    <row r="221" spans="1:7" x14ac:dyDescent="0.3">
      <c r="A221" t="str">
        <v>Lina</v>
      </c>
      <c r="B221" t="str">
        <v>Hard Support</v>
      </c>
      <c r="C221">
        <f>COUNTIFS([3]!players[hero_name], A221,
[3]!players[lane_name], B221)</f>
        <v>4</v>
      </c>
      <c r="D221">
        <f>COUNTIFS([3]!players[hero_name], A221,
[3]!players[lane_name], B221,
[3]!players[win], 1)</f>
        <v>3</v>
      </c>
      <c r="E221" s="11">
        <f>D221/C221</f>
        <v>0.75</v>
      </c>
      <c r="F221" t="str">
        <f>IF(C221&gt;=10, "Yes", "No")</f>
        <v>No</v>
      </c>
      <c r="G221" t="str">
        <f>IF(F221="No","N/A",COUNTIFS(B$2:B$409, B221, F$2:F$409, "Yes", E$2:E$409, "&gt;"&amp;E221)+1)</f>
        <v>N/A</v>
      </c>
    </row>
    <row r="222" spans="1:7" x14ac:dyDescent="0.3">
      <c r="A222" t="str">
        <v>Lion</v>
      </c>
      <c r="B222" t="str">
        <v>Hard Support</v>
      </c>
      <c r="C222">
        <f>COUNTIFS([3]!players[hero_name], A222,
[3]!players[lane_name], B222)</f>
        <v>255</v>
      </c>
      <c r="D222">
        <f>COUNTIFS([3]!players[hero_name], A222,
[3]!players[lane_name], B222,
[3]!players[win], 1)</f>
        <v>122</v>
      </c>
      <c r="E222" s="11">
        <f>D222/C222</f>
        <v>0.47843137254901963</v>
      </c>
      <c r="F222" t="str">
        <f>IF(C222&gt;=10, "Yes", "No")</f>
        <v>Yes</v>
      </c>
      <c r="G222">
        <f>IF(F222="No","N/A",COUNTIFS(B$2:B$409, B222, F$2:F$409, "Yes", E$2:E$409, "&gt;"&amp;E222)+1)</f>
        <v>22</v>
      </c>
    </row>
    <row r="223" spans="1:7" x14ac:dyDescent="0.3">
      <c r="A223" t="str">
        <v>Lion</v>
      </c>
      <c r="B223" t="str">
        <v>Off Lane</v>
      </c>
      <c r="C223">
        <f>COUNTIFS([3]!players[hero_name], A223,
[3]!players[lane_name], B223)</f>
        <v>2</v>
      </c>
      <c r="D223">
        <f>COUNTIFS([3]!players[hero_name], A223,
[3]!players[lane_name], B223,
[3]!players[win], 1)</f>
        <v>0</v>
      </c>
      <c r="E223" s="11">
        <f>D223/C223</f>
        <v>0</v>
      </c>
      <c r="F223" t="str">
        <f>IF(C223&gt;=10, "Yes", "No")</f>
        <v>No</v>
      </c>
      <c r="G223" t="str">
        <f>IF(F223="No","N/A",COUNTIFS(B$2:B$409, B223, F$2:F$409, "Yes", E$2:E$409, "&gt;"&amp;E223)+1)</f>
        <v>N/A</v>
      </c>
    </row>
    <row r="224" spans="1:7" x14ac:dyDescent="0.3">
      <c r="A224" t="str">
        <v>Lion</v>
      </c>
      <c r="B224" t="str">
        <v>Soft Support</v>
      </c>
      <c r="C224">
        <f>COUNTIFS([3]!players[hero_name], A224,
[3]!players[lane_name], B224)</f>
        <v>126</v>
      </c>
      <c r="D224">
        <f>COUNTIFS([3]!players[hero_name], A224,
[3]!players[lane_name], B224,
[3]!players[win], 1)</f>
        <v>60</v>
      </c>
      <c r="E224" s="11">
        <f>D224/C224</f>
        <v>0.47619047619047616</v>
      </c>
      <c r="F224" t="str">
        <f>IF(C224&gt;=10, "Yes", "No")</f>
        <v>Yes</v>
      </c>
      <c r="G224">
        <f>IF(F224="No","N/A",COUNTIFS(B$2:B$409, B224, F$2:F$409, "Yes", E$2:E$409, "&gt;"&amp;E224)+1)</f>
        <v>30</v>
      </c>
    </row>
    <row r="225" spans="1:7" x14ac:dyDescent="0.3">
      <c r="A225" t="str">
        <v>Lion</v>
      </c>
      <c r="B225" t="str">
        <v>Mid</v>
      </c>
      <c r="C225">
        <f>COUNTIFS([3]!players[hero_name], A225,
[3]!players[lane_name], B225)</f>
        <v>13</v>
      </c>
      <c r="D225">
        <f>COUNTIFS([3]!players[hero_name], A225,
[3]!players[lane_name], B225,
[3]!players[win], 1)</f>
        <v>5</v>
      </c>
      <c r="E225" s="11">
        <f>D225/C225</f>
        <v>0.38461538461538464</v>
      </c>
      <c r="F225" t="str">
        <f>IF(C225&gt;=10, "Yes", "No")</f>
        <v>Yes</v>
      </c>
      <c r="G225">
        <f>IF(F225="No","N/A",COUNTIFS(B$2:B$409, B225, F$2:F$409, "Yes", E$2:E$409, "&gt;"&amp;E225)+1)</f>
        <v>35</v>
      </c>
    </row>
    <row r="226" spans="1:7" x14ac:dyDescent="0.3">
      <c r="A226" t="str">
        <v>Lion</v>
      </c>
      <c r="B226" t="str">
        <v>Roam</v>
      </c>
      <c r="C226">
        <f>COUNTIFS([3]!players[hero_name], A226,
[3]!players[lane_name], B226)</f>
        <v>41</v>
      </c>
      <c r="D226">
        <f>COUNTIFS([3]!players[hero_name], A226,
[3]!players[lane_name], B226,
[3]!players[win], 1)</f>
        <v>22</v>
      </c>
      <c r="E226" s="11">
        <f>D226/C226</f>
        <v>0.53658536585365857</v>
      </c>
      <c r="F226" t="str">
        <f>IF(C226&gt;=10, "Yes", "No")</f>
        <v>Yes</v>
      </c>
      <c r="G226">
        <f>IF(F226="No","N/A",COUNTIFS(B$2:B$409, B226, F$2:F$409, "Yes", E$2:E$409, "&gt;"&amp;E226)+1)</f>
        <v>9</v>
      </c>
    </row>
    <row r="227" spans="1:7" x14ac:dyDescent="0.3">
      <c r="A227" t="str">
        <v>Lion</v>
      </c>
      <c r="B227" t="str">
        <v>Carry</v>
      </c>
      <c r="C227">
        <f>COUNTIFS([3]!players[hero_name], A227,
[3]!players[lane_name], B227)</f>
        <v>1</v>
      </c>
      <c r="D227">
        <f>COUNTIFS([3]!players[hero_name], A227,
[3]!players[lane_name], B227,
[3]!players[win], 1)</f>
        <v>0</v>
      </c>
      <c r="E227" s="11">
        <f>D227/C227</f>
        <v>0</v>
      </c>
      <c r="F227" t="str">
        <f>IF(C227&gt;=10, "Yes", "No")</f>
        <v>No</v>
      </c>
      <c r="G227" t="str">
        <f>IF(F227="No","N/A",COUNTIFS(B$2:B$409, B227, F$2:F$409, "Yes", E$2:E$409, "&gt;"&amp;E227)+1)</f>
        <v>N/A</v>
      </c>
    </row>
    <row r="228" spans="1:7" x14ac:dyDescent="0.3">
      <c r="A228" t="str">
        <v>Lone Druid</v>
      </c>
      <c r="B228" t="str">
        <v>Soft Support</v>
      </c>
      <c r="C228">
        <f>COUNTIFS([3]!players[hero_name], A228,
[3]!players[lane_name], B228)</f>
        <v>6</v>
      </c>
      <c r="D228">
        <f>COUNTIFS([3]!players[hero_name], A228,
[3]!players[lane_name], B228,
[3]!players[win], 1)</f>
        <v>2</v>
      </c>
      <c r="E228" s="11">
        <f>D228/C228</f>
        <v>0.33333333333333331</v>
      </c>
      <c r="F228" t="str">
        <f>IF(C228&gt;=10, "Yes", "No")</f>
        <v>No</v>
      </c>
      <c r="G228" t="str">
        <f>IF(F228="No","N/A",COUNTIFS(B$2:B$409, B228, F$2:F$409, "Yes", E$2:E$409, "&gt;"&amp;E228)+1)</f>
        <v>N/A</v>
      </c>
    </row>
    <row r="229" spans="1:7" x14ac:dyDescent="0.3">
      <c r="A229" t="str">
        <v>Lone Druid</v>
      </c>
      <c r="B229" t="str">
        <v>Off Lane</v>
      </c>
      <c r="C229">
        <f>COUNTIFS([3]!players[hero_name], A229,
[3]!players[lane_name], B229)</f>
        <v>7</v>
      </c>
      <c r="D229">
        <f>COUNTIFS([3]!players[hero_name], A229,
[3]!players[lane_name], B229,
[3]!players[win], 1)</f>
        <v>5</v>
      </c>
      <c r="E229" s="11">
        <f>D229/C229</f>
        <v>0.7142857142857143</v>
      </c>
      <c r="F229" t="str">
        <f>IF(C229&gt;=10, "Yes", "No")</f>
        <v>No</v>
      </c>
      <c r="G229" t="str">
        <f>IF(F229="No","N/A",COUNTIFS(B$2:B$409, B229, F$2:F$409, "Yes", E$2:E$409, "&gt;"&amp;E229)+1)</f>
        <v>N/A</v>
      </c>
    </row>
    <row r="230" spans="1:7" x14ac:dyDescent="0.3">
      <c r="A230" t="str">
        <v>Lone Druid</v>
      </c>
      <c r="B230" t="str">
        <v>Carry</v>
      </c>
      <c r="C230">
        <f>COUNTIFS([3]!players[hero_name], A230,
[3]!players[lane_name], B230)</f>
        <v>106</v>
      </c>
      <c r="D230">
        <f>COUNTIFS([3]!players[hero_name], A230,
[3]!players[lane_name], B230,
[3]!players[win], 1)</f>
        <v>69</v>
      </c>
      <c r="E230" s="11">
        <f>D230/C230</f>
        <v>0.65094339622641506</v>
      </c>
      <c r="F230" t="str">
        <f>IF(C230&gt;=10, "Yes", "No")</f>
        <v>Yes</v>
      </c>
      <c r="G230">
        <f>IF(F230="No","N/A",COUNTIFS(B$2:B$409, B230, F$2:F$409, "Yes", E$2:E$409, "&gt;"&amp;E230)+1)</f>
        <v>3</v>
      </c>
    </row>
    <row r="231" spans="1:7" x14ac:dyDescent="0.3">
      <c r="A231" t="str">
        <v>Lone Druid</v>
      </c>
      <c r="B231" t="str">
        <v>Hard Support</v>
      </c>
      <c r="C231">
        <f>COUNTIFS([3]!players[hero_name], A231,
[3]!players[lane_name], B231)</f>
        <v>2</v>
      </c>
      <c r="D231">
        <f>COUNTIFS([3]!players[hero_name], A231,
[3]!players[lane_name], B231,
[3]!players[win], 1)</f>
        <v>1</v>
      </c>
      <c r="E231" s="11">
        <f>D231/C231</f>
        <v>0.5</v>
      </c>
      <c r="F231" t="str">
        <f>IF(C231&gt;=10, "Yes", "No")</f>
        <v>No</v>
      </c>
      <c r="G231" t="str">
        <f>IF(F231="No","N/A",COUNTIFS(B$2:B$409, B231, F$2:F$409, "Yes", E$2:E$409, "&gt;"&amp;E231)+1)</f>
        <v>N/A</v>
      </c>
    </row>
    <row r="232" spans="1:7" x14ac:dyDescent="0.3">
      <c r="A232" t="str">
        <v>Lone Druid</v>
      </c>
      <c r="B232" t="str">
        <v>Mid</v>
      </c>
      <c r="C232">
        <f>COUNTIFS([3]!players[hero_name], A232,
[3]!players[lane_name], B232)</f>
        <v>16</v>
      </c>
      <c r="D232">
        <f>COUNTIFS([3]!players[hero_name], A232,
[3]!players[lane_name], B232,
[3]!players[win], 1)</f>
        <v>9</v>
      </c>
      <c r="E232" s="11">
        <f>D232/C232</f>
        <v>0.5625</v>
      </c>
      <c r="F232" t="str">
        <f>IF(C232&gt;=10, "Yes", "No")</f>
        <v>Yes</v>
      </c>
      <c r="G232">
        <f>IF(F232="No","N/A",COUNTIFS(B$2:B$409, B232, F$2:F$409, "Yes", E$2:E$409, "&gt;"&amp;E232)+1)</f>
        <v>10</v>
      </c>
    </row>
    <row r="233" spans="1:7" x14ac:dyDescent="0.3">
      <c r="A233" t="str">
        <v>Lone Druid</v>
      </c>
      <c r="B233" t="str">
        <v>Roam</v>
      </c>
      <c r="C233">
        <f>COUNTIFS([3]!players[hero_name], A233,
[3]!players[lane_name], B233)</f>
        <v>1</v>
      </c>
      <c r="D233">
        <f>COUNTIFS([3]!players[hero_name], A233,
[3]!players[lane_name], B233,
[3]!players[win], 1)</f>
        <v>0</v>
      </c>
      <c r="E233" s="11">
        <f>D233/C233</f>
        <v>0</v>
      </c>
      <c r="F233" t="str">
        <f>IF(C233&gt;=10, "Yes", "No")</f>
        <v>No</v>
      </c>
      <c r="G233" t="str">
        <f>IF(F233="No","N/A",COUNTIFS(B$2:B$409, B233, F$2:F$409, "Yes", E$2:E$409, "&gt;"&amp;E233)+1)</f>
        <v>N/A</v>
      </c>
    </row>
    <row r="234" spans="1:7" x14ac:dyDescent="0.3">
      <c r="A234" t="str">
        <v>Luna</v>
      </c>
      <c r="B234" t="str">
        <v>Carry</v>
      </c>
      <c r="C234">
        <f>COUNTIFS([3]!players[hero_name], A234,
[3]!players[lane_name], B234)</f>
        <v>436</v>
      </c>
      <c r="D234">
        <f>COUNTIFS([3]!players[hero_name], A234,
[3]!players[lane_name], B234,
[3]!players[win], 1)</f>
        <v>218</v>
      </c>
      <c r="E234" s="11">
        <f>D234/C234</f>
        <v>0.5</v>
      </c>
      <c r="F234" t="str">
        <f>IF(C234&gt;=10, "Yes", "No")</f>
        <v>Yes</v>
      </c>
      <c r="G234">
        <f>IF(F234="No","N/A",COUNTIFS(B$2:B$409, B234, F$2:F$409, "Yes", E$2:E$409, "&gt;"&amp;E234)+1)</f>
        <v>18</v>
      </c>
    </row>
    <row r="235" spans="1:7" x14ac:dyDescent="0.3">
      <c r="A235" t="str">
        <v>Luna</v>
      </c>
      <c r="B235" t="str">
        <v>Mid</v>
      </c>
      <c r="C235">
        <f>COUNTIFS([3]!players[hero_name], A235,
[3]!players[lane_name], B235)</f>
        <v>2</v>
      </c>
      <c r="D235">
        <f>COUNTIFS([3]!players[hero_name], A235,
[3]!players[lane_name], B235,
[3]!players[win], 1)</f>
        <v>2</v>
      </c>
      <c r="E235" s="11">
        <f>D235/C235</f>
        <v>1</v>
      </c>
      <c r="F235" t="str">
        <f>IF(C235&gt;=10, "Yes", "No")</f>
        <v>No</v>
      </c>
      <c r="G235" t="str">
        <f>IF(F235="No","N/A",COUNTIFS(B$2:B$409, B235, F$2:F$409, "Yes", E$2:E$409, "&gt;"&amp;E235)+1)</f>
        <v>N/A</v>
      </c>
    </row>
    <row r="236" spans="1:7" x14ac:dyDescent="0.3">
      <c r="A236" t="str">
        <v>Lycan</v>
      </c>
      <c r="B236" t="str">
        <v>Off Lane</v>
      </c>
      <c r="C236">
        <f>COUNTIFS([3]!players[hero_name], A236,
[3]!players[lane_name], B236)</f>
        <v>25</v>
      </c>
      <c r="D236">
        <f>COUNTIFS([3]!players[hero_name], A236,
[3]!players[lane_name], B236,
[3]!players[win], 1)</f>
        <v>13</v>
      </c>
      <c r="E236" s="11">
        <f>D236/C236</f>
        <v>0.52</v>
      </c>
      <c r="F236" t="str">
        <f>IF(C236&gt;=10, "Yes", "No")</f>
        <v>Yes</v>
      </c>
      <c r="G236">
        <f>IF(F236="No","N/A",COUNTIFS(B$2:B$409, B236, F$2:F$409, "Yes", E$2:E$409, "&gt;"&amp;E236)+1)</f>
        <v>17</v>
      </c>
    </row>
    <row r="237" spans="1:7" x14ac:dyDescent="0.3">
      <c r="A237" t="str">
        <v>Lycan</v>
      </c>
      <c r="B237" t="str">
        <v>Soft Support</v>
      </c>
      <c r="C237">
        <f>COUNTIFS([3]!players[hero_name], A237,
[3]!players[lane_name], B237)</f>
        <v>1</v>
      </c>
      <c r="D237">
        <f>COUNTIFS([3]!players[hero_name], A237,
[3]!players[lane_name], B237,
[3]!players[win], 1)</f>
        <v>0</v>
      </c>
      <c r="E237" s="11">
        <f>D237/C237</f>
        <v>0</v>
      </c>
      <c r="F237" t="str">
        <f>IF(C237&gt;=10, "Yes", "No")</f>
        <v>No</v>
      </c>
      <c r="G237" t="str">
        <f>IF(F237="No","N/A",COUNTIFS(B$2:B$409, B237, F$2:F$409, "Yes", E$2:E$409, "&gt;"&amp;E237)+1)</f>
        <v>N/A</v>
      </c>
    </row>
    <row r="238" spans="1:7" x14ac:dyDescent="0.3">
      <c r="A238" t="str">
        <v>Lycan</v>
      </c>
      <c r="B238" t="str">
        <v>Carry</v>
      </c>
      <c r="C238">
        <f>COUNTIFS([3]!players[hero_name], A238,
[3]!players[lane_name], B238)</f>
        <v>1</v>
      </c>
      <c r="D238">
        <f>COUNTIFS([3]!players[hero_name], A238,
[3]!players[lane_name], B238,
[3]!players[win], 1)</f>
        <v>1</v>
      </c>
      <c r="E238" s="11">
        <f>D238/C238</f>
        <v>1</v>
      </c>
      <c r="F238" t="str">
        <f>IF(C238&gt;=10, "Yes", "No")</f>
        <v>No</v>
      </c>
      <c r="G238" t="str">
        <f>IF(F238="No","N/A",COUNTIFS(B$2:B$409, B238, F$2:F$409, "Yes", E$2:E$409, "&gt;"&amp;E238)+1)</f>
        <v>N/A</v>
      </c>
    </row>
    <row r="239" spans="1:7" x14ac:dyDescent="0.3">
      <c r="A239" t="str">
        <v>Lycan</v>
      </c>
      <c r="B239" t="str">
        <v>Mid</v>
      </c>
      <c r="C239">
        <f>COUNTIFS([3]!players[hero_name], A239,
[3]!players[lane_name], B239)</f>
        <v>3</v>
      </c>
      <c r="D239">
        <f>COUNTIFS([3]!players[hero_name], A239,
[3]!players[lane_name], B239,
[3]!players[win], 1)</f>
        <v>2</v>
      </c>
      <c r="E239" s="11">
        <f>D239/C239</f>
        <v>0.66666666666666663</v>
      </c>
      <c r="F239" t="str">
        <f>IF(C239&gt;=10, "Yes", "No")</f>
        <v>No</v>
      </c>
      <c r="G239" t="str">
        <f>IF(F239="No","N/A",COUNTIFS(B$2:B$409, B239, F$2:F$409, "Yes", E$2:E$409, "&gt;"&amp;E239)+1)</f>
        <v>N/A</v>
      </c>
    </row>
    <row r="240" spans="1:7" x14ac:dyDescent="0.3">
      <c r="A240" t="str">
        <v>Magnus</v>
      </c>
      <c r="B240" t="str">
        <v>Off Lane</v>
      </c>
      <c r="C240">
        <f>COUNTIFS([3]!players[hero_name], A240,
[3]!players[lane_name], B240)</f>
        <v>35</v>
      </c>
      <c r="D240">
        <f>COUNTIFS([3]!players[hero_name], A240,
[3]!players[lane_name], B240,
[3]!players[win], 1)</f>
        <v>18</v>
      </c>
      <c r="E240" s="11">
        <f>D240/C240</f>
        <v>0.51428571428571423</v>
      </c>
      <c r="F240" t="str">
        <f>IF(C240&gt;=10, "Yes", "No")</f>
        <v>Yes</v>
      </c>
      <c r="G240">
        <f>IF(F240="No","N/A",COUNTIFS(B$2:B$409, B240, F$2:F$409, "Yes", E$2:E$409, "&gt;"&amp;E240)+1)</f>
        <v>19</v>
      </c>
    </row>
    <row r="241" spans="1:7" x14ac:dyDescent="0.3">
      <c r="A241" t="str">
        <v>Magnus</v>
      </c>
      <c r="B241" t="str">
        <v>Mid</v>
      </c>
      <c r="C241">
        <f>COUNTIFS([3]!players[hero_name], A241,
[3]!players[lane_name], B241)</f>
        <v>20</v>
      </c>
      <c r="D241">
        <f>COUNTIFS([3]!players[hero_name], A241,
[3]!players[lane_name], B241,
[3]!players[win], 1)</f>
        <v>9</v>
      </c>
      <c r="E241" s="11">
        <f>D241/C241</f>
        <v>0.45</v>
      </c>
      <c r="F241" t="str">
        <f>IF(C241&gt;=10, "Yes", "No")</f>
        <v>Yes</v>
      </c>
      <c r="G241">
        <f>IF(F241="No","N/A",COUNTIFS(B$2:B$409, B241, F$2:F$409, "Yes", E$2:E$409, "&gt;"&amp;E241)+1)</f>
        <v>33</v>
      </c>
    </row>
    <row r="242" spans="1:7" x14ac:dyDescent="0.3">
      <c r="A242" t="str">
        <v>Magnus</v>
      </c>
      <c r="B242" t="str">
        <v>Carry</v>
      </c>
      <c r="C242">
        <f>COUNTIFS([3]!players[hero_name], A242,
[3]!players[lane_name], B242)</f>
        <v>2</v>
      </c>
      <c r="D242">
        <f>COUNTIFS([3]!players[hero_name], A242,
[3]!players[lane_name], B242,
[3]!players[win], 1)</f>
        <v>1</v>
      </c>
      <c r="E242" s="11">
        <f>D242/C242</f>
        <v>0.5</v>
      </c>
      <c r="F242" t="str">
        <f>IF(C242&gt;=10, "Yes", "No")</f>
        <v>No</v>
      </c>
      <c r="G242" t="str">
        <f>IF(F242="No","N/A",COUNTIFS(B$2:B$409, B242, F$2:F$409, "Yes", E$2:E$409, "&gt;"&amp;E242)+1)</f>
        <v>N/A</v>
      </c>
    </row>
    <row r="243" spans="1:7" x14ac:dyDescent="0.3">
      <c r="A243" t="str">
        <v>Magnus</v>
      </c>
      <c r="B243" t="str">
        <v>Hard Support</v>
      </c>
      <c r="C243">
        <f>COUNTIFS([3]!players[hero_name], A243,
[3]!players[lane_name], B243)</f>
        <v>7</v>
      </c>
      <c r="D243">
        <f>COUNTIFS([3]!players[hero_name], A243,
[3]!players[lane_name], B243,
[3]!players[win], 1)</f>
        <v>5</v>
      </c>
      <c r="E243" s="11">
        <f>D243/C243</f>
        <v>0.7142857142857143</v>
      </c>
      <c r="F243" t="str">
        <f>IF(C243&gt;=10, "Yes", "No")</f>
        <v>No</v>
      </c>
      <c r="G243" t="str">
        <f>IF(F243="No","N/A",COUNTIFS(B$2:B$409, B243, F$2:F$409, "Yes", E$2:E$409, "&gt;"&amp;E243)+1)</f>
        <v>N/A</v>
      </c>
    </row>
    <row r="244" spans="1:7" x14ac:dyDescent="0.3">
      <c r="A244" t="str">
        <v>Magnus</v>
      </c>
      <c r="B244" t="str">
        <v>Soft Support</v>
      </c>
      <c r="C244">
        <f>COUNTIFS([3]!players[hero_name], A244,
[3]!players[lane_name], B244)</f>
        <v>7</v>
      </c>
      <c r="D244">
        <f>COUNTIFS([3]!players[hero_name], A244,
[3]!players[lane_name], B244,
[3]!players[win], 1)</f>
        <v>3</v>
      </c>
      <c r="E244" s="11">
        <f>D244/C244</f>
        <v>0.42857142857142855</v>
      </c>
      <c r="F244" t="str">
        <f>IF(C244&gt;=10, "Yes", "No")</f>
        <v>No</v>
      </c>
      <c r="G244" t="str">
        <f>IF(F244="No","N/A",COUNTIFS(B$2:B$409, B244, F$2:F$409, "Yes", E$2:E$409, "&gt;"&amp;E244)+1)</f>
        <v>N/A</v>
      </c>
    </row>
    <row r="245" spans="1:7" x14ac:dyDescent="0.3">
      <c r="A245" t="str">
        <v>Magnus</v>
      </c>
      <c r="B245" t="str">
        <v>Roam</v>
      </c>
      <c r="C245">
        <f>COUNTIFS([3]!players[hero_name], A245,
[3]!players[lane_name], B245)</f>
        <v>1</v>
      </c>
      <c r="D245">
        <f>COUNTIFS([3]!players[hero_name], A245,
[3]!players[lane_name], B245,
[3]!players[win], 1)</f>
        <v>0</v>
      </c>
      <c r="E245" s="11">
        <f>D245/C245</f>
        <v>0</v>
      </c>
      <c r="F245" t="str">
        <f>IF(C245&gt;=10, "Yes", "No")</f>
        <v>No</v>
      </c>
      <c r="G245" t="str">
        <f>IF(F245="No","N/A",COUNTIFS(B$2:B$409, B245, F$2:F$409, "Yes", E$2:E$409, "&gt;"&amp;E245)+1)</f>
        <v>N/A</v>
      </c>
    </row>
    <row r="246" spans="1:7" x14ac:dyDescent="0.3">
      <c r="A246" t="str">
        <v>Marci</v>
      </c>
      <c r="B246" t="str">
        <v>Carry</v>
      </c>
      <c r="C246">
        <f>COUNTIFS([3]!players[hero_name], A246,
[3]!players[lane_name], B246)</f>
        <v>6</v>
      </c>
      <c r="D246">
        <f>COUNTIFS([3]!players[hero_name], A246,
[3]!players[lane_name], B246,
[3]!players[win], 1)</f>
        <v>3</v>
      </c>
      <c r="E246" s="11">
        <f>D246/C246</f>
        <v>0.5</v>
      </c>
      <c r="F246" t="str">
        <f>IF(C246&gt;=10, "Yes", "No")</f>
        <v>No</v>
      </c>
      <c r="G246" t="str">
        <f>IF(F246="No","N/A",COUNTIFS(B$2:B$409, B246, F$2:F$409, "Yes", E$2:E$409, "&gt;"&amp;E246)+1)</f>
        <v>N/A</v>
      </c>
    </row>
    <row r="247" spans="1:7" x14ac:dyDescent="0.3">
      <c r="A247" t="str">
        <v>Marci</v>
      </c>
      <c r="B247" t="str">
        <v>Soft Support</v>
      </c>
      <c r="C247">
        <f>COUNTIFS([3]!players[hero_name], A247,
[3]!players[lane_name], B247)</f>
        <v>23</v>
      </c>
      <c r="D247">
        <f>COUNTIFS([3]!players[hero_name], A247,
[3]!players[lane_name], B247,
[3]!players[win], 1)</f>
        <v>9</v>
      </c>
      <c r="E247" s="11">
        <f>D247/C247</f>
        <v>0.39130434782608697</v>
      </c>
      <c r="F247" t="str">
        <f>IF(C247&gt;=10, "Yes", "No")</f>
        <v>Yes</v>
      </c>
      <c r="G247">
        <f>IF(F247="No","N/A",COUNTIFS(B$2:B$409, B247, F$2:F$409, "Yes", E$2:E$409, "&gt;"&amp;E247)+1)</f>
        <v>37</v>
      </c>
    </row>
    <row r="248" spans="1:7" x14ac:dyDescent="0.3">
      <c r="A248" t="str">
        <v>Marci</v>
      </c>
      <c r="B248" t="str">
        <v>Roam</v>
      </c>
      <c r="C248">
        <f>COUNTIFS([3]!players[hero_name], A248,
[3]!players[lane_name], B248)</f>
        <v>17</v>
      </c>
      <c r="D248">
        <f>COUNTIFS([3]!players[hero_name], A248,
[3]!players[lane_name], B248,
[3]!players[win], 1)</f>
        <v>4</v>
      </c>
      <c r="E248" s="11">
        <f>D248/C248</f>
        <v>0.23529411764705882</v>
      </c>
      <c r="F248" t="str">
        <f>IF(C248&gt;=10, "Yes", "No")</f>
        <v>Yes</v>
      </c>
      <c r="G248">
        <f>IF(F248="No","N/A",COUNTIFS(B$2:B$409, B248, F$2:F$409, "Yes", E$2:E$409, "&gt;"&amp;E248)+1)</f>
        <v>27</v>
      </c>
    </row>
    <row r="249" spans="1:7" x14ac:dyDescent="0.3">
      <c r="A249" t="str">
        <v>Marci</v>
      </c>
      <c r="B249" t="str">
        <v>Hard Support</v>
      </c>
      <c r="C249">
        <f>COUNTIFS([3]!players[hero_name], A249,
[3]!players[lane_name], B249)</f>
        <v>42</v>
      </c>
      <c r="D249">
        <f>COUNTIFS([3]!players[hero_name], A249,
[3]!players[lane_name], B249,
[3]!players[win], 1)</f>
        <v>16</v>
      </c>
      <c r="E249" s="11">
        <f>D249/C249</f>
        <v>0.38095238095238093</v>
      </c>
      <c r="F249" t="str">
        <f>IF(C249&gt;=10, "Yes", "No")</f>
        <v>Yes</v>
      </c>
      <c r="G249">
        <f>IF(F249="No","N/A",COUNTIFS(B$2:B$409, B249, F$2:F$409, "Yes", E$2:E$409, "&gt;"&amp;E249)+1)</f>
        <v>34</v>
      </c>
    </row>
    <row r="250" spans="1:7" x14ac:dyDescent="0.3">
      <c r="A250" t="str">
        <v>Marci</v>
      </c>
      <c r="B250" t="str">
        <v>Off Lane</v>
      </c>
      <c r="C250">
        <f>COUNTIFS([3]!players[hero_name], A250,
[3]!players[lane_name], B250)</f>
        <v>6</v>
      </c>
      <c r="D250">
        <f>COUNTIFS([3]!players[hero_name], A250,
[3]!players[lane_name], B250,
[3]!players[win], 1)</f>
        <v>2</v>
      </c>
      <c r="E250" s="11">
        <f>D250/C250</f>
        <v>0.33333333333333331</v>
      </c>
      <c r="F250" t="str">
        <f>IF(C250&gt;=10, "Yes", "No")</f>
        <v>No</v>
      </c>
      <c r="G250" t="str">
        <f>IF(F250="No","N/A",COUNTIFS(B$2:B$409, B250, F$2:F$409, "Yes", E$2:E$409, "&gt;"&amp;E250)+1)</f>
        <v>N/A</v>
      </c>
    </row>
    <row r="251" spans="1:7" x14ac:dyDescent="0.3">
      <c r="A251" t="str">
        <v>Marci</v>
      </c>
      <c r="B251" t="str">
        <v>Mid</v>
      </c>
      <c r="C251">
        <f>COUNTIFS([3]!players[hero_name], A251,
[3]!players[lane_name], B251)</f>
        <v>5</v>
      </c>
      <c r="D251">
        <f>COUNTIFS([3]!players[hero_name], A251,
[3]!players[lane_name], B251,
[3]!players[win], 1)</f>
        <v>3</v>
      </c>
      <c r="E251" s="11">
        <f>D251/C251</f>
        <v>0.6</v>
      </c>
      <c r="F251" t="str">
        <f>IF(C251&gt;=10, "Yes", "No")</f>
        <v>No</v>
      </c>
      <c r="G251" t="str">
        <f>IF(F251="No","N/A",COUNTIFS(B$2:B$409, B251, F$2:F$409, "Yes", E$2:E$409, "&gt;"&amp;E251)+1)</f>
        <v>N/A</v>
      </c>
    </row>
    <row r="252" spans="1:7" x14ac:dyDescent="0.3">
      <c r="A252" t="str">
        <v>Mars</v>
      </c>
      <c r="B252" t="str">
        <v>Off Lane</v>
      </c>
      <c r="C252">
        <f>COUNTIFS([3]!players[hero_name], A252,
[3]!players[lane_name], B252)</f>
        <v>278</v>
      </c>
      <c r="D252">
        <f>COUNTIFS([3]!players[hero_name], A252,
[3]!players[lane_name], B252,
[3]!players[win], 1)</f>
        <v>126</v>
      </c>
      <c r="E252" s="11">
        <f>D252/C252</f>
        <v>0.45323741007194246</v>
      </c>
      <c r="F252" t="str">
        <f>IF(C252&gt;=10, "Yes", "No")</f>
        <v>Yes</v>
      </c>
      <c r="G252">
        <f>IF(F252="No","N/A",COUNTIFS(B$2:B$409, B252, F$2:F$409, "Yes", E$2:E$409, "&gt;"&amp;E252)+1)</f>
        <v>30</v>
      </c>
    </row>
    <row r="253" spans="1:7" x14ac:dyDescent="0.3">
      <c r="A253" t="str">
        <v>Mars</v>
      </c>
      <c r="B253" t="str">
        <v>Mid</v>
      </c>
      <c r="C253">
        <f>COUNTIFS([3]!players[hero_name], A253,
[3]!players[lane_name], B253)</f>
        <v>10</v>
      </c>
      <c r="D253">
        <f>COUNTIFS([3]!players[hero_name], A253,
[3]!players[lane_name], B253,
[3]!players[win], 1)</f>
        <v>4</v>
      </c>
      <c r="E253" s="11">
        <f>D253/C253</f>
        <v>0.4</v>
      </c>
      <c r="F253" t="str">
        <f>IF(C253&gt;=10, "Yes", "No")</f>
        <v>Yes</v>
      </c>
      <c r="G253">
        <f>IF(F253="No","N/A",COUNTIFS(B$2:B$409, B253, F$2:F$409, "Yes", E$2:E$409, "&gt;"&amp;E253)+1)</f>
        <v>34</v>
      </c>
    </row>
    <row r="254" spans="1:7" x14ac:dyDescent="0.3">
      <c r="A254" t="str">
        <v>Mars</v>
      </c>
      <c r="B254" t="str">
        <v>Soft Support</v>
      </c>
      <c r="C254">
        <f>COUNTIFS([3]!players[hero_name], A254,
[3]!players[lane_name], B254)</f>
        <v>8</v>
      </c>
      <c r="D254">
        <f>COUNTIFS([3]!players[hero_name], A254,
[3]!players[lane_name], B254,
[3]!players[win], 1)</f>
        <v>6</v>
      </c>
      <c r="E254" s="11">
        <f>D254/C254</f>
        <v>0.75</v>
      </c>
      <c r="F254" t="str">
        <f>IF(C254&gt;=10, "Yes", "No")</f>
        <v>No</v>
      </c>
      <c r="G254" t="str">
        <f>IF(F254="No","N/A",COUNTIFS(B$2:B$409, B254, F$2:F$409, "Yes", E$2:E$409, "&gt;"&amp;E254)+1)</f>
        <v>N/A</v>
      </c>
    </row>
    <row r="255" spans="1:7" x14ac:dyDescent="0.3">
      <c r="A255" t="str">
        <v>Mars</v>
      </c>
      <c r="B255" t="str">
        <v>Carry</v>
      </c>
      <c r="C255">
        <f>COUNTIFS([3]!players[hero_name], A255,
[3]!players[lane_name], B255)</f>
        <v>3</v>
      </c>
      <c r="D255">
        <f>COUNTIFS([3]!players[hero_name], A255,
[3]!players[lane_name], B255,
[3]!players[win], 1)</f>
        <v>3</v>
      </c>
      <c r="E255" s="11">
        <f>D255/C255</f>
        <v>1</v>
      </c>
      <c r="F255" t="str">
        <f>IF(C255&gt;=10, "Yes", "No")</f>
        <v>No</v>
      </c>
      <c r="G255" t="str">
        <f>IF(F255="No","N/A",COUNTIFS(B$2:B$409, B255, F$2:F$409, "Yes", E$2:E$409, "&gt;"&amp;E255)+1)</f>
        <v>N/A</v>
      </c>
    </row>
    <row r="256" spans="1:7" x14ac:dyDescent="0.3">
      <c r="A256" t="str">
        <v>Medusa</v>
      </c>
      <c r="B256" t="str">
        <v>Carry</v>
      </c>
      <c r="C256">
        <f>COUNTIFS([3]!players[hero_name], A256,
[3]!players[lane_name], B256)</f>
        <v>61</v>
      </c>
      <c r="D256">
        <f>COUNTIFS([3]!players[hero_name], A256,
[3]!players[lane_name], B256,
[3]!players[win], 1)</f>
        <v>25</v>
      </c>
      <c r="E256" s="11">
        <f>D256/C256</f>
        <v>0.4098360655737705</v>
      </c>
      <c r="F256" t="str">
        <f>IF(C256&gt;=10, "Yes", "No")</f>
        <v>Yes</v>
      </c>
      <c r="G256">
        <f>IF(F256="No","N/A",COUNTIFS(B$2:B$409, B256, F$2:F$409, "Yes", E$2:E$409, "&gt;"&amp;E256)+1)</f>
        <v>28</v>
      </c>
    </row>
    <row r="257" spans="1:7" x14ac:dyDescent="0.3">
      <c r="A257" t="str">
        <v>Medusa</v>
      </c>
      <c r="B257" t="str">
        <v>Off Lane</v>
      </c>
      <c r="C257">
        <f>COUNTIFS([3]!players[hero_name], A257,
[3]!players[lane_name], B257)</f>
        <v>1</v>
      </c>
      <c r="D257">
        <f>COUNTIFS([3]!players[hero_name], A257,
[3]!players[lane_name], B257,
[3]!players[win], 1)</f>
        <v>0</v>
      </c>
      <c r="E257" s="11">
        <f>D257/C257</f>
        <v>0</v>
      </c>
      <c r="F257" t="str">
        <f>IF(C257&gt;=10, "Yes", "No")</f>
        <v>No</v>
      </c>
      <c r="G257" t="str">
        <f>IF(F257="No","N/A",COUNTIFS(B$2:B$409, B257, F$2:F$409, "Yes", E$2:E$409, "&gt;"&amp;E257)+1)</f>
        <v>N/A</v>
      </c>
    </row>
    <row r="258" spans="1:7" x14ac:dyDescent="0.3">
      <c r="A258" t="str">
        <v>Meepo</v>
      </c>
      <c r="B258" t="str">
        <v>Mid</v>
      </c>
      <c r="C258">
        <f>COUNTIFS([3]!players[hero_name], A258,
[3]!players[lane_name], B258)</f>
        <v>40</v>
      </c>
      <c r="D258">
        <f>COUNTIFS([3]!players[hero_name], A258,
[3]!players[lane_name], B258,
[3]!players[win], 1)</f>
        <v>13</v>
      </c>
      <c r="E258" s="11">
        <f>D258/C258</f>
        <v>0.32500000000000001</v>
      </c>
      <c r="F258" t="str">
        <f>IF(C258&gt;=10, "Yes", "No")</f>
        <v>Yes</v>
      </c>
      <c r="G258">
        <f>IF(F258="No","N/A",COUNTIFS(B$2:B$409, B258, F$2:F$409, "Yes", E$2:E$409, "&gt;"&amp;E258)+1)</f>
        <v>40</v>
      </c>
    </row>
    <row r="259" spans="1:7" x14ac:dyDescent="0.3">
      <c r="A259" t="str">
        <v>Meepo</v>
      </c>
      <c r="B259" t="str">
        <v>Carry</v>
      </c>
      <c r="C259">
        <f>COUNTIFS([3]!players[hero_name], A259,
[3]!players[lane_name], B259)</f>
        <v>23</v>
      </c>
      <c r="D259">
        <f>COUNTIFS([3]!players[hero_name], A259,
[3]!players[lane_name], B259,
[3]!players[win], 1)</f>
        <v>11</v>
      </c>
      <c r="E259" s="11">
        <f>D259/C259</f>
        <v>0.47826086956521741</v>
      </c>
      <c r="F259" t="str">
        <f>IF(C259&gt;=10, "Yes", "No")</f>
        <v>Yes</v>
      </c>
      <c r="G259">
        <f>IF(F259="No","N/A",COUNTIFS(B$2:B$409, B259, F$2:F$409, "Yes", E$2:E$409, "&gt;"&amp;E259)+1)</f>
        <v>22</v>
      </c>
    </row>
    <row r="260" spans="1:7" x14ac:dyDescent="0.3">
      <c r="A260" t="str">
        <v>Meepo</v>
      </c>
      <c r="B260" t="str">
        <v>Off Lane</v>
      </c>
      <c r="C260">
        <f>COUNTIFS([3]!players[hero_name], A260,
[3]!players[lane_name], B260)</f>
        <v>1</v>
      </c>
      <c r="D260">
        <f>COUNTIFS([3]!players[hero_name], A260,
[3]!players[lane_name], B260,
[3]!players[win], 1)</f>
        <v>0</v>
      </c>
      <c r="E260" s="11">
        <f>D260/C260</f>
        <v>0</v>
      </c>
      <c r="F260" t="str">
        <f>IF(C260&gt;=10, "Yes", "No")</f>
        <v>No</v>
      </c>
      <c r="G260" t="str">
        <f>IF(F260="No","N/A",COUNTIFS(B$2:B$409, B260, F$2:F$409, "Yes", E$2:E$409, "&gt;"&amp;E260)+1)</f>
        <v>N/A</v>
      </c>
    </row>
    <row r="261" spans="1:7" x14ac:dyDescent="0.3">
      <c r="A261" t="str">
        <v>Mirana</v>
      </c>
      <c r="B261" t="str">
        <v>Hard Support</v>
      </c>
      <c r="C261">
        <f>COUNTIFS([3]!players[hero_name], A261,
[3]!players[lane_name], B261)</f>
        <v>13</v>
      </c>
      <c r="D261">
        <f>COUNTIFS([3]!players[hero_name], A261,
[3]!players[lane_name], B261,
[3]!players[win], 1)</f>
        <v>9</v>
      </c>
      <c r="E261" s="11">
        <f>D261/C261</f>
        <v>0.69230769230769229</v>
      </c>
      <c r="F261" t="str">
        <f>IF(C261&gt;=10, "Yes", "No")</f>
        <v>Yes</v>
      </c>
      <c r="G261">
        <f>IF(F261="No","N/A",COUNTIFS(B$2:B$409, B261, F$2:F$409, "Yes", E$2:E$409, "&gt;"&amp;E261)+1)</f>
        <v>3</v>
      </c>
    </row>
    <row r="262" spans="1:7" x14ac:dyDescent="0.3">
      <c r="A262" t="str">
        <v>Mirana</v>
      </c>
      <c r="B262" t="str">
        <v>Soft Support</v>
      </c>
      <c r="C262">
        <f>COUNTIFS([3]!players[hero_name], A262,
[3]!players[lane_name], B262)</f>
        <v>22</v>
      </c>
      <c r="D262">
        <f>COUNTIFS([3]!players[hero_name], A262,
[3]!players[lane_name], B262,
[3]!players[win], 1)</f>
        <v>11</v>
      </c>
      <c r="E262" s="11">
        <f>D262/C262</f>
        <v>0.5</v>
      </c>
      <c r="F262" t="str">
        <f>IF(C262&gt;=10, "Yes", "No")</f>
        <v>Yes</v>
      </c>
      <c r="G262">
        <f>IF(F262="No","N/A",COUNTIFS(B$2:B$409, B262, F$2:F$409, "Yes", E$2:E$409, "&gt;"&amp;E262)+1)</f>
        <v>22</v>
      </c>
    </row>
    <row r="263" spans="1:7" x14ac:dyDescent="0.3">
      <c r="A263" t="str">
        <v>Mirana</v>
      </c>
      <c r="B263" t="str">
        <v>Roam</v>
      </c>
      <c r="C263">
        <f>COUNTIFS([3]!players[hero_name], A263,
[3]!players[lane_name], B263)</f>
        <v>10</v>
      </c>
      <c r="D263">
        <f>COUNTIFS([3]!players[hero_name], A263,
[3]!players[lane_name], B263,
[3]!players[win], 1)</f>
        <v>6</v>
      </c>
      <c r="E263" s="11">
        <f>D263/C263</f>
        <v>0.6</v>
      </c>
      <c r="F263" t="str">
        <f>IF(C263&gt;=10, "Yes", "No")</f>
        <v>Yes</v>
      </c>
      <c r="G263">
        <f>IF(F263="No","N/A",COUNTIFS(B$2:B$409, B263, F$2:F$409, "Yes", E$2:E$409, "&gt;"&amp;E263)+1)</f>
        <v>4</v>
      </c>
    </row>
    <row r="264" spans="1:7" x14ac:dyDescent="0.3">
      <c r="A264" t="str">
        <v>Mirana</v>
      </c>
      <c r="B264" t="str">
        <v>Carry</v>
      </c>
      <c r="C264">
        <f>COUNTIFS([3]!players[hero_name], A264,
[3]!players[lane_name], B264)</f>
        <v>8</v>
      </c>
      <c r="D264">
        <f>COUNTIFS([3]!players[hero_name], A264,
[3]!players[lane_name], B264,
[3]!players[win], 1)</f>
        <v>3</v>
      </c>
      <c r="E264" s="11">
        <f>D264/C264</f>
        <v>0.375</v>
      </c>
      <c r="F264" t="str">
        <f>IF(C264&gt;=10, "Yes", "No")</f>
        <v>No</v>
      </c>
      <c r="G264" t="str">
        <f>IF(F264="No","N/A",COUNTIFS(B$2:B$409, B264, F$2:F$409, "Yes", E$2:E$409, "&gt;"&amp;E264)+1)</f>
        <v>N/A</v>
      </c>
    </row>
    <row r="265" spans="1:7" x14ac:dyDescent="0.3">
      <c r="A265" t="str">
        <v>Mirana</v>
      </c>
      <c r="B265" t="str">
        <v>Mid</v>
      </c>
      <c r="C265">
        <f>COUNTIFS([3]!players[hero_name], A265,
[3]!players[lane_name], B265)</f>
        <v>4</v>
      </c>
      <c r="D265">
        <f>COUNTIFS([3]!players[hero_name], A265,
[3]!players[lane_name], B265,
[3]!players[win], 1)</f>
        <v>2</v>
      </c>
      <c r="E265" s="11">
        <f>D265/C265</f>
        <v>0.5</v>
      </c>
      <c r="F265" t="str">
        <f>IF(C265&gt;=10, "Yes", "No")</f>
        <v>No</v>
      </c>
      <c r="G265" t="str">
        <f>IF(F265="No","N/A",COUNTIFS(B$2:B$409, B265, F$2:F$409, "Yes", E$2:E$409, "&gt;"&amp;E265)+1)</f>
        <v>N/A</v>
      </c>
    </row>
    <row r="266" spans="1:7" x14ac:dyDescent="0.3">
      <c r="A266" t="str">
        <v>Mirana</v>
      </c>
      <c r="B266" t="str">
        <v>Off Lane</v>
      </c>
      <c r="C266">
        <f>COUNTIFS([3]!players[hero_name], A266,
[3]!players[lane_name], B266)</f>
        <v>2</v>
      </c>
      <c r="D266">
        <f>COUNTIFS([3]!players[hero_name], A266,
[3]!players[lane_name], B266,
[3]!players[win], 1)</f>
        <v>1</v>
      </c>
      <c r="E266" s="11">
        <f>D266/C266</f>
        <v>0.5</v>
      </c>
      <c r="F266" t="str">
        <f>IF(C266&gt;=10, "Yes", "No")</f>
        <v>No</v>
      </c>
      <c r="G266" t="str">
        <f>IF(F266="No","N/A",COUNTIFS(B$2:B$409, B266, F$2:F$409, "Yes", E$2:E$409, "&gt;"&amp;E266)+1)</f>
        <v>N/A</v>
      </c>
    </row>
    <row r="267" spans="1:7" x14ac:dyDescent="0.3">
      <c r="A267" t="str">
        <v>Monkey King</v>
      </c>
      <c r="B267" t="str">
        <v>Mid</v>
      </c>
      <c r="C267">
        <f>COUNTIFS([3]!players[hero_name], A267,
[3]!players[lane_name], B267)</f>
        <v>87</v>
      </c>
      <c r="D267">
        <f>COUNTIFS([3]!players[hero_name], A267,
[3]!players[lane_name], B267,
[3]!players[win], 1)</f>
        <v>46</v>
      </c>
      <c r="E267" s="11">
        <f>D267/C267</f>
        <v>0.52873563218390807</v>
      </c>
      <c r="F267" t="str">
        <f>IF(C267&gt;=10, "Yes", "No")</f>
        <v>Yes</v>
      </c>
      <c r="G267">
        <f>IF(F267="No","N/A",COUNTIFS(B$2:B$409, B267, F$2:F$409, "Yes", E$2:E$409, "&gt;"&amp;E267)+1)</f>
        <v>17</v>
      </c>
    </row>
    <row r="268" spans="1:7" x14ac:dyDescent="0.3">
      <c r="A268" t="str">
        <v>Monkey King</v>
      </c>
      <c r="B268" t="str">
        <v>Carry</v>
      </c>
      <c r="C268">
        <f>COUNTIFS([3]!players[hero_name], A268,
[3]!players[lane_name], B268)</f>
        <v>262</v>
      </c>
      <c r="D268">
        <f>COUNTIFS([3]!players[hero_name], A268,
[3]!players[lane_name], B268,
[3]!players[win], 1)</f>
        <v>152</v>
      </c>
      <c r="E268" s="11">
        <f>D268/C268</f>
        <v>0.58015267175572516</v>
      </c>
      <c r="F268" t="str">
        <f>IF(C268&gt;=10, "Yes", "No")</f>
        <v>Yes</v>
      </c>
      <c r="G268">
        <f>IF(F268="No","N/A",COUNTIFS(B$2:B$409, B268, F$2:F$409, "Yes", E$2:E$409, "&gt;"&amp;E268)+1)</f>
        <v>7</v>
      </c>
    </row>
    <row r="269" spans="1:7" x14ac:dyDescent="0.3">
      <c r="A269" t="str">
        <v>Monkey King</v>
      </c>
      <c r="B269" t="str">
        <v>Soft Support</v>
      </c>
      <c r="C269">
        <f>COUNTIFS([3]!players[hero_name], A269,
[3]!players[lane_name], B269)</f>
        <v>14</v>
      </c>
      <c r="D269">
        <f>COUNTIFS([3]!players[hero_name], A269,
[3]!players[lane_name], B269,
[3]!players[win], 1)</f>
        <v>9</v>
      </c>
      <c r="E269" s="11">
        <f>D269/C269</f>
        <v>0.6428571428571429</v>
      </c>
      <c r="F269" t="str">
        <f>IF(C269&gt;=10, "Yes", "No")</f>
        <v>Yes</v>
      </c>
      <c r="G269">
        <f>IF(F269="No","N/A",COUNTIFS(B$2:B$409, B269, F$2:F$409, "Yes", E$2:E$409, "&gt;"&amp;E269)+1)</f>
        <v>6</v>
      </c>
    </row>
    <row r="270" spans="1:7" x14ac:dyDescent="0.3">
      <c r="A270" t="str">
        <v>Monkey King</v>
      </c>
      <c r="B270" t="str">
        <v>Off Lane</v>
      </c>
      <c r="C270">
        <f>COUNTIFS([3]!players[hero_name], A270,
[3]!players[lane_name], B270)</f>
        <v>7</v>
      </c>
      <c r="D270">
        <f>COUNTIFS([3]!players[hero_name], A270,
[3]!players[lane_name], B270,
[3]!players[win], 1)</f>
        <v>3</v>
      </c>
      <c r="E270" s="11">
        <f>D270/C270</f>
        <v>0.42857142857142855</v>
      </c>
      <c r="F270" t="str">
        <f>IF(C270&gt;=10, "Yes", "No")</f>
        <v>No</v>
      </c>
      <c r="G270" t="str">
        <f>IF(F270="No","N/A",COUNTIFS(B$2:B$409, B270, F$2:F$409, "Yes", E$2:E$409, "&gt;"&amp;E270)+1)</f>
        <v>N/A</v>
      </c>
    </row>
    <row r="271" spans="1:7" x14ac:dyDescent="0.3">
      <c r="A271" t="str">
        <v>Monkey King</v>
      </c>
      <c r="B271" t="str">
        <v>Roam</v>
      </c>
      <c r="C271">
        <f>COUNTIFS([3]!players[hero_name], A271,
[3]!players[lane_name], B271)</f>
        <v>3</v>
      </c>
      <c r="D271">
        <f>COUNTIFS([3]!players[hero_name], A271,
[3]!players[lane_name], B271,
[3]!players[win], 1)</f>
        <v>2</v>
      </c>
      <c r="E271" s="11">
        <f>D271/C271</f>
        <v>0.66666666666666663</v>
      </c>
      <c r="F271" t="str">
        <f>IF(C271&gt;=10, "Yes", "No")</f>
        <v>No</v>
      </c>
      <c r="G271" t="str">
        <f>IF(F271="No","N/A",COUNTIFS(B$2:B$409, B271, F$2:F$409, "Yes", E$2:E$409, "&gt;"&amp;E271)+1)</f>
        <v>N/A</v>
      </c>
    </row>
    <row r="272" spans="1:7" x14ac:dyDescent="0.3">
      <c r="A272" t="str">
        <v>Monkey King</v>
      </c>
      <c r="B272" t="str">
        <v>Hard Support</v>
      </c>
      <c r="C272">
        <f>COUNTIFS([3]!players[hero_name], A272,
[3]!players[lane_name], B272)</f>
        <v>1</v>
      </c>
      <c r="D272">
        <f>COUNTIFS([3]!players[hero_name], A272,
[3]!players[lane_name], B272,
[3]!players[win], 1)</f>
        <v>0</v>
      </c>
      <c r="E272" s="11">
        <f>D272/C272</f>
        <v>0</v>
      </c>
      <c r="F272" t="str">
        <f>IF(C272&gt;=10, "Yes", "No")</f>
        <v>No</v>
      </c>
      <c r="G272" t="str">
        <f>IF(F272="No","N/A",COUNTIFS(B$2:B$409, B272, F$2:F$409, "Yes", E$2:E$409, "&gt;"&amp;E272)+1)</f>
        <v>N/A</v>
      </c>
    </row>
    <row r="273" spans="1:7" x14ac:dyDescent="0.3">
      <c r="A273" t="str">
        <v>Morphling</v>
      </c>
      <c r="B273" t="str">
        <v>Carry</v>
      </c>
      <c r="C273">
        <f>COUNTIFS([3]!players[hero_name], A273,
[3]!players[lane_name], B273)</f>
        <v>80</v>
      </c>
      <c r="D273">
        <f>COUNTIFS([3]!players[hero_name], A273,
[3]!players[lane_name], B273,
[3]!players[win], 1)</f>
        <v>35</v>
      </c>
      <c r="E273" s="11">
        <f>D273/C273</f>
        <v>0.4375</v>
      </c>
      <c r="F273" t="str">
        <f>IF(C273&gt;=10, "Yes", "No")</f>
        <v>Yes</v>
      </c>
      <c r="G273">
        <f>IF(F273="No","N/A",COUNTIFS(B$2:B$409, B273, F$2:F$409, "Yes", E$2:E$409, "&gt;"&amp;E273)+1)</f>
        <v>25</v>
      </c>
    </row>
    <row r="274" spans="1:7" x14ac:dyDescent="0.3">
      <c r="A274" t="str">
        <v>Morphling</v>
      </c>
      <c r="B274" t="str">
        <v>Soft Support</v>
      </c>
      <c r="C274">
        <f>COUNTIFS([3]!players[hero_name], A274,
[3]!players[lane_name], B274)</f>
        <v>1</v>
      </c>
      <c r="D274">
        <f>COUNTIFS([3]!players[hero_name], A274,
[3]!players[lane_name], B274,
[3]!players[win], 1)</f>
        <v>0</v>
      </c>
      <c r="E274" s="11">
        <f>D274/C274</f>
        <v>0</v>
      </c>
      <c r="F274" t="str">
        <f>IF(C274&gt;=10, "Yes", "No")</f>
        <v>No</v>
      </c>
      <c r="G274" t="str">
        <f>IF(F274="No","N/A",COUNTIFS(B$2:B$409, B274, F$2:F$409, "Yes", E$2:E$409, "&gt;"&amp;E274)+1)</f>
        <v>N/A</v>
      </c>
    </row>
    <row r="275" spans="1:7" x14ac:dyDescent="0.3">
      <c r="A275" t="str">
        <v>Morphling</v>
      </c>
      <c r="B275" t="str">
        <v>Mid</v>
      </c>
      <c r="C275">
        <f>COUNTIFS([3]!players[hero_name], A275,
[3]!players[lane_name], B275)</f>
        <v>2</v>
      </c>
      <c r="D275">
        <f>COUNTIFS([3]!players[hero_name], A275,
[3]!players[lane_name], B275,
[3]!players[win], 1)</f>
        <v>0</v>
      </c>
      <c r="E275" s="11">
        <f>D275/C275</f>
        <v>0</v>
      </c>
      <c r="F275" t="str">
        <f>IF(C275&gt;=10, "Yes", "No")</f>
        <v>No</v>
      </c>
      <c r="G275" t="str">
        <f>IF(F275="No","N/A",COUNTIFS(B$2:B$409, B275, F$2:F$409, "Yes", E$2:E$409, "&gt;"&amp;E275)+1)</f>
        <v>N/A</v>
      </c>
    </row>
    <row r="276" spans="1:7" x14ac:dyDescent="0.3">
      <c r="A276" t="str">
        <v>Muerta</v>
      </c>
      <c r="B276" t="str">
        <v>Carry</v>
      </c>
      <c r="C276">
        <f>COUNTIFS([3]!players[hero_name], A276,
[3]!players[lane_name], B276)</f>
        <v>277</v>
      </c>
      <c r="D276">
        <f>COUNTIFS([3]!players[hero_name], A276,
[3]!players[lane_name], B276,
[3]!players[win], 1)</f>
        <v>141</v>
      </c>
      <c r="E276" s="11">
        <f>D276/C276</f>
        <v>0.50902527075812276</v>
      </c>
      <c r="F276" t="str">
        <f>IF(C276&gt;=10, "Yes", "No")</f>
        <v>Yes</v>
      </c>
      <c r="G276">
        <f>IF(F276="No","N/A",COUNTIFS(B$2:B$409, B276, F$2:F$409, "Yes", E$2:E$409, "&gt;"&amp;E276)+1)</f>
        <v>15</v>
      </c>
    </row>
    <row r="277" spans="1:7" x14ac:dyDescent="0.3">
      <c r="A277" t="str">
        <v>Muerta</v>
      </c>
      <c r="B277" t="str">
        <v>Soft Support</v>
      </c>
      <c r="C277">
        <f>COUNTIFS([3]!players[hero_name], A277,
[3]!players[lane_name], B277)</f>
        <v>24</v>
      </c>
      <c r="D277">
        <f>COUNTIFS([3]!players[hero_name], A277,
[3]!players[lane_name], B277,
[3]!players[win], 1)</f>
        <v>8</v>
      </c>
      <c r="E277" s="11">
        <f>D277/C277</f>
        <v>0.33333333333333331</v>
      </c>
      <c r="F277" t="str">
        <f>IF(C277&gt;=10, "Yes", "No")</f>
        <v>Yes</v>
      </c>
      <c r="G277">
        <f>IF(F277="No","N/A",COUNTIFS(B$2:B$409, B277, F$2:F$409, "Yes", E$2:E$409, "&gt;"&amp;E277)+1)</f>
        <v>39</v>
      </c>
    </row>
    <row r="278" spans="1:7" x14ac:dyDescent="0.3">
      <c r="A278" t="str">
        <v>Muerta</v>
      </c>
      <c r="B278" t="str">
        <v>Mid</v>
      </c>
      <c r="C278">
        <f>COUNTIFS([3]!players[hero_name], A278,
[3]!players[lane_name], B278)</f>
        <v>12</v>
      </c>
      <c r="D278">
        <f>COUNTIFS([3]!players[hero_name], A278,
[3]!players[lane_name], B278,
[3]!players[win], 1)</f>
        <v>6</v>
      </c>
      <c r="E278" s="11">
        <f>D278/C278</f>
        <v>0.5</v>
      </c>
      <c r="F278" t="str">
        <f>IF(C278&gt;=10, "Yes", "No")</f>
        <v>Yes</v>
      </c>
      <c r="G278">
        <f>IF(F278="No","N/A",COUNTIFS(B$2:B$409, B278, F$2:F$409, "Yes", E$2:E$409, "&gt;"&amp;E278)+1)</f>
        <v>21</v>
      </c>
    </row>
    <row r="279" spans="1:7" x14ac:dyDescent="0.3">
      <c r="A279" t="str">
        <v>Muerta</v>
      </c>
      <c r="B279" t="str">
        <v>Roam</v>
      </c>
      <c r="C279">
        <f>COUNTIFS([3]!players[hero_name], A279,
[3]!players[lane_name], B279)</f>
        <v>10</v>
      </c>
      <c r="D279">
        <f>COUNTIFS([3]!players[hero_name], A279,
[3]!players[lane_name], B279,
[3]!players[win], 1)</f>
        <v>5</v>
      </c>
      <c r="E279" s="11">
        <f>D279/C279</f>
        <v>0.5</v>
      </c>
      <c r="F279" t="str">
        <f>IF(C279&gt;=10, "Yes", "No")</f>
        <v>Yes</v>
      </c>
      <c r="G279">
        <f>IF(F279="No","N/A",COUNTIFS(B$2:B$409, B279, F$2:F$409, "Yes", E$2:E$409, "&gt;"&amp;E279)+1)</f>
        <v>12</v>
      </c>
    </row>
    <row r="280" spans="1:7" x14ac:dyDescent="0.3">
      <c r="A280" t="str">
        <v>Muerta</v>
      </c>
      <c r="B280" t="str">
        <v>Hard Support</v>
      </c>
      <c r="C280">
        <f>COUNTIFS([3]!players[hero_name], A280,
[3]!players[lane_name], B280)</f>
        <v>14</v>
      </c>
      <c r="D280">
        <f>COUNTIFS([3]!players[hero_name], A280,
[3]!players[lane_name], B280,
[3]!players[win], 1)</f>
        <v>6</v>
      </c>
      <c r="E280" s="11">
        <f>D280/C280</f>
        <v>0.42857142857142855</v>
      </c>
      <c r="F280" t="str">
        <f>IF(C280&gt;=10, "Yes", "No")</f>
        <v>Yes</v>
      </c>
      <c r="G280">
        <f>IF(F280="No","N/A",COUNTIFS(B$2:B$409, B280, F$2:F$409, "Yes", E$2:E$409, "&gt;"&amp;E280)+1)</f>
        <v>30</v>
      </c>
    </row>
    <row r="281" spans="1:7" x14ac:dyDescent="0.3">
      <c r="A281" t="str">
        <v>Muerta</v>
      </c>
      <c r="B281" t="str">
        <v>Off Lane</v>
      </c>
      <c r="C281">
        <f>COUNTIFS([3]!players[hero_name], A281,
[3]!players[lane_name], B281)</f>
        <v>1</v>
      </c>
      <c r="D281">
        <f>COUNTIFS([3]!players[hero_name], A281,
[3]!players[lane_name], B281,
[3]!players[win], 1)</f>
        <v>1</v>
      </c>
      <c r="E281" s="11">
        <f>D281/C281</f>
        <v>1</v>
      </c>
      <c r="F281" t="str">
        <f>IF(C281&gt;=10, "Yes", "No")</f>
        <v>No</v>
      </c>
      <c r="G281" t="str">
        <f>IF(F281="No","N/A",COUNTIFS(B$2:B$409, B281, F$2:F$409, "Yes", E$2:E$409, "&gt;"&amp;E281)+1)</f>
        <v>N/A</v>
      </c>
    </row>
    <row r="282" spans="1:7" x14ac:dyDescent="0.3">
      <c r="A282" t="str">
        <v>Naga Siren</v>
      </c>
      <c r="B282" t="str">
        <v>Carry</v>
      </c>
      <c r="C282">
        <f>COUNTIFS([3]!players[hero_name], A282,
[3]!players[lane_name], B282)</f>
        <v>30</v>
      </c>
      <c r="D282">
        <f>COUNTIFS([3]!players[hero_name], A282,
[3]!players[lane_name], B282,
[3]!players[win], 1)</f>
        <v>19</v>
      </c>
      <c r="E282" s="11">
        <f>D282/C282</f>
        <v>0.6333333333333333</v>
      </c>
      <c r="F282" t="str">
        <f>IF(C282&gt;=10, "Yes", "No")</f>
        <v>Yes</v>
      </c>
      <c r="G282">
        <f>IF(F282="No","N/A",COUNTIFS(B$2:B$409, B282, F$2:F$409, "Yes", E$2:E$409, "&gt;"&amp;E282)+1)</f>
        <v>4</v>
      </c>
    </row>
    <row r="283" spans="1:7" x14ac:dyDescent="0.3">
      <c r="A283" t="str">
        <v>Naga Siren</v>
      </c>
      <c r="B283" t="str">
        <v>Off Lane</v>
      </c>
      <c r="C283">
        <f>COUNTIFS([3]!players[hero_name], A283,
[3]!players[lane_name], B283)</f>
        <v>1</v>
      </c>
      <c r="D283">
        <f>COUNTIFS([3]!players[hero_name], A283,
[3]!players[lane_name], B283,
[3]!players[win], 1)</f>
        <v>1</v>
      </c>
      <c r="E283" s="11">
        <f>D283/C283</f>
        <v>1</v>
      </c>
      <c r="F283" t="str">
        <f>IF(C283&gt;=10, "Yes", "No")</f>
        <v>No</v>
      </c>
      <c r="G283" t="str">
        <f>IF(F283="No","N/A",COUNTIFS(B$2:B$409, B283, F$2:F$409, "Yes", E$2:E$409, "&gt;"&amp;E283)+1)</f>
        <v>N/A</v>
      </c>
    </row>
    <row r="284" spans="1:7" x14ac:dyDescent="0.3">
      <c r="A284" t="str">
        <v>Naga Siren</v>
      </c>
      <c r="B284" t="str">
        <v>Soft Support</v>
      </c>
      <c r="C284">
        <f>COUNTIFS([3]!players[hero_name], A284,
[3]!players[lane_name], B284)</f>
        <v>2</v>
      </c>
      <c r="D284">
        <f>COUNTIFS([3]!players[hero_name], A284,
[3]!players[lane_name], B284,
[3]!players[win], 1)</f>
        <v>0</v>
      </c>
      <c r="E284" s="11">
        <f>D284/C284</f>
        <v>0</v>
      </c>
      <c r="F284" t="str">
        <f>IF(C284&gt;=10, "Yes", "No")</f>
        <v>No</v>
      </c>
      <c r="G284" t="str">
        <f>IF(F284="No","N/A",COUNTIFS(B$2:B$409, B284, F$2:F$409, "Yes", E$2:E$409, "&gt;"&amp;E284)+1)</f>
        <v>N/A</v>
      </c>
    </row>
    <row r="285" spans="1:7" x14ac:dyDescent="0.3">
      <c r="A285" t="str">
        <v>Naga Siren</v>
      </c>
      <c r="B285" t="str">
        <v>Hard Support</v>
      </c>
      <c r="C285">
        <f>COUNTIFS([3]!players[hero_name], A285,
[3]!players[lane_name], B285)</f>
        <v>1</v>
      </c>
      <c r="D285">
        <f>COUNTIFS([3]!players[hero_name], A285,
[3]!players[lane_name], B285,
[3]!players[win], 1)</f>
        <v>0</v>
      </c>
      <c r="E285" s="11">
        <f>D285/C285</f>
        <v>0</v>
      </c>
      <c r="F285" t="str">
        <f>IF(C285&gt;=10, "Yes", "No")</f>
        <v>No</v>
      </c>
      <c r="G285" t="str">
        <f>IF(F285="No","N/A",COUNTIFS(B$2:B$409, B285, F$2:F$409, "Yes", E$2:E$409, "&gt;"&amp;E285)+1)</f>
        <v>N/A</v>
      </c>
    </row>
    <row r="286" spans="1:7" x14ac:dyDescent="0.3">
      <c r="A286" t="str">
        <v>Nature's Prophet</v>
      </c>
      <c r="B286" t="str">
        <v>Carry</v>
      </c>
      <c r="C286">
        <f>COUNTIFS([3]!players[hero_name], A286,
[3]!players[lane_name], B286)</f>
        <v>28</v>
      </c>
      <c r="D286">
        <f>COUNTIFS([3]!players[hero_name], A286,
[3]!players[lane_name], B286,
[3]!players[win], 1)</f>
        <v>15</v>
      </c>
      <c r="E286" s="11">
        <f>D286/C286</f>
        <v>0.5357142857142857</v>
      </c>
      <c r="F286" t="str">
        <f>IF(C286&gt;=10, "Yes", "No")</f>
        <v>Yes</v>
      </c>
      <c r="G286">
        <f>IF(F286="No","N/A",COUNTIFS(B$2:B$409, B286, F$2:F$409, "Yes", E$2:E$409, "&gt;"&amp;E286)+1)</f>
        <v>10</v>
      </c>
    </row>
    <row r="287" spans="1:7" x14ac:dyDescent="0.3">
      <c r="A287" t="str">
        <v>Nature's Prophet</v>
      </c>
      <c r="B287" t="str">
        <v>Soft Support</v>
      </c>
      <c r="C287">
        <f>COUNTIFS([3]!players[hero_name], A287,
[3]!players[lane_name], B287)</f>
        <v>14</v>
      </c>
      <c r="D287">
        <f>COUNTIFS([3]!players[hero_name], A287,
[3]!players[lane_name], B287,
[3]!players[win], 1)</f>
        <v>8</v>
      </c>
      <c r="E287" s="11">
        <f>D287/C287</f>
        <v>0.5714285714285714</v>
      </c>
      <c r="F287" t="str">
        <f>IF(C287&gt;=10, "Yes", "No")</f>
        <v>Yes</v>
      </c>
      <c r="G287">
        <f>IF(F287="No","N/A",COUNTIFS(B$2:B$409, B287, F$2:F$409, "Yes", E$2:E$409, "&gt;"&amp;E287)+1)</f>
        <v>9</v>
      </c>
    </row>
    <row r="288" spans="1:7" x14ac:dyDescent="0.3">
      <c r="A288" t="str">
        <v>Nature's Prophet</v>
      </c>
      <c r="B288" t="str">
        <v>Mid</v>
      </c>
      <c r="C288">
        <f>COUNTIFS([3]!players[hero_name], A288,
[3]!players[lane_name], B288)</f>
        <v>37</v>
      </c>
      <c r="D288">
        <f>COUNTIFS([3]!players[hero_name], A288,
[3]!players[lane_name], B288,
[3]!players[win], 1)</f>
        <v>14</v>
      </c>
      <c r="E288" s="11">
        <f>D288/C288</f>
        <v>0.3783783783783784</v>
      </c>
      <c r="F288" t="str">
        <f>IF(C288&gt;=10, "Yes", "No")</f>
        <v>Yes</v>
      </c>
      <c r="G288">
        <f>IF(F288="No","N/A",COUNTIFS(B$2:B$409, B288, F$2:F$409, "Yes", E$2:E$409, "&gt;"&amp;E288)+1)</f>
        <v>37</v>
      </c>
    </row>
    <row r="289" spans="1:7" x14ac:dyDescent="0.3">
      <c r="A289" t="str">
        <v>Nature's Prophet</v>
      </c>
      <c r="B289" t="str">
        <v>Off Lane</v>
      </c>
      <c r="C289">
        <f>COUNTIFS([3]!players[hero_name], A289,
[3]!players[lane_name], B289)</f>
        <v>22</v>
      </c>
      <c r="D289">
        <f>COUNTIFS([3]!players[hero_name], A289,
[3]!players[lane_name], B289,
[3]!players[win], 1)</f>
        <v>12</v>
      </c>
      <c r="E289" s="11">
        <f>D289/C289</f>
        <v>0.54545454545454541</v>
      </c>
      <c r="F289" t="str">
        <f>IF(C289&gt;=10, "Yes", "No")</f>
        <v>Yes</v>
      </c>
      <c r="G289">
        <f>IF(F289="No","N/A",COUNTIFS(B$2:B$409, B289, F$2:F$409, "Yes", E$2:E$409, "&gt;"&amp;E289)+1)</f>
        <v>12</v>
      </c>
    </row>
    <row r="290" spans="1:7" x14ac:dyDescent="0.3">
      <c r="A290" t="str">
        <v>Nature's Prophet</v>
      </c>
      <c r="B290" t="str">
        <v>Hard Support</v>
      </c>
      <c r="C290">
        <f>COUNTIFS([3]!players[hero_name], A290,
[3]!players[lane_name], B290)</f>
        <v>2</v>
      </c>
      <c r="D290">
        <f>COUNTIFS([3]!players[hero_name], A290,
[3]!players[lane_name], B290,
[3]!players[win], 1)</f>
        <v>1</v>
      </c>
      <c r="E290" s="11">
        <f>D290/C290</f>
        <v>0.5</v>
      </c>
      <c r="F290" t="str">
        <f>IF(C290&gt;=10, "Yes", "No")</f>
        <v>No</v>
      </c>
      <c r="G290" t="str">
        <f>IF(F290="No","N/A",COUNTIFS(B$2:B$409, B290, F$2:F$409, "Yes", E$2:E$409, "&gt;"&amp;E290)+1)</f>
        <v>N/A</v>
      </c>
    </row>
    <row r="291" spans="1:7" x14ac:dyDescent="0.3">
      <c r="A291" t="str">
        <v>Nature's Prophet</v>
      </c>
      <c r="B291" t="str">
        <v>Roam</v>
      </c>
      <c r="C291">
        <f>COUNTIFS([3]!players[hero_name], A291,
[3]!players[lane_name], B291)</f>
        <v>3</v>
      </c>
      <c r="D291">
        <f>COUNTIFS([3]!players[hero_name], A291,
[3]!players[lane_name], B291,
[3]!players[win], 1)</f>
        <v>3</v>
      </c>
      <c r="E291" s="11">
        <f>D291/C291</f>
        <v>1</v>
      </c>
      <c r="F291" t="str">
        <f>IF(C291&gt;=10, "Yes", "No")</f>
        <v>No</v>
      </c>
      <c r="G291" t="str">
        <f>IF(F291="No","N/A",COUNTIFS(B$2:B$409, B291, F$2:F$409, "Yes", E$2:E$409, "&gt;"&amp;E291)+1)</f>
        <v>N/A</v>
      </c>
    </row>
    <row r="292" spans="1:7" x14ac:dyDescent="0.3">
      <c r="A292" t="str">
        <v>Necrophos</v>
      </c>
      <c r="B292" t="str">
        <v>Mid</v>
      </c>
      <c r="C292">
        <f>COUNTIFS([3]!players[hero_name], A292,
[3]!players[lane_name], B292)</f>
        <v>65</v>
      </c>
      <c r="D292">
        <f>COUNTIFS([3]!players[hero_name], A292,
[3]!players[lane_name], B292,
[3]!players[win], 1)</f>
        <v>32</v>
      </c>
      <c r="E292" s="11">
        <f>D292/C292</f>
        <v>0.49230769230769234</v>
      </c>
      <c r="F292" t="str">
        <f>IF(C292&gt;=10, "Yes", "No")</f>
        <v>Yes</v>
      </c>
      <c r="G292">
        <f>IF(F292="No","N/A",COUNTIFS(B$2:B$409, B292, F$2:F$409, "Yes", E$2:E$409, "&gt;"&amp;E292)+1)</f>
        <v>25</v>
      </c>
    </row>
    <row r="293" spans="1:7" x14ac:dyDescent="0.3">
      <c r="A293" t="str">
        <v>Necrophos</v>
      </c>
      <c r="B293" t="str">
        <v>Off Lane</v>
      </c>
      <c r="C293">
        <f>COUNTIFS([3]!players[hero_name], A293,
[3]!players[lane_name], B293)</f>
        <v>27</v>
      </c>
      <c r="D293">
        <f>COUNTIFS([3]!players[hero_name], A293,
[3]!players[lane_name], B293,
[3]!players[win], 1)</f>
        <v>17</v>
      </c>
      <c r="E293" s="11">
        <f>D293/C293</f>
        <v>0.62962962962962965</v>
      </c>
      <c r="F293" t="str">
        <f>IF(C293&gt;=10, "Yes", "No")</f>
        <v>Yes</v>
      </c>
      <c r="G293">
        <f>IF(F293="No","N/A",COUNTIFS(B$2:B$409, B293, F$2:F$409, "Yes", E$2:E$409, "&gt;"&amp;E293)+1)</f>
        <v>4</v>
      </c>
    </row>
    <row r="294" spans="1:7" x14ac:dyDescent="0.3">
      <c r="A294" t="str">
        <v>Necrophos</v>
      </c>
      <c r="B294" t="str">
        <v>Carry</v>
      </c>
      <c r="C294">
        <f>COUNTIFS([3]!players[hero_name], A294,
[3]!players[lane_name], B294)</f>
        <v>28</v>
      </c>
      <c r="D294">
        <f>COUNTIFS([3]!players[hero_name], A294,
[3]!players[lane_name], B294,
[3]!players[win], 1)</f>
        <v>17</v>
      </c>
      <c r="E294" s="11">
        <f>D294/C294</f>
        <v>0.6071428571428571</v>
      </c>
      <c r="F294" t="str">
        <f>IF(C294&gt;=10, "Yes", "No")</f>
        <v>Yes</v>
      </c>
      <c r="G294">
        <f>IF(F294="No","N/A",COUNTIFS(B$2:B$409, B294, F$2:F$409, "Yes", E$2:E$409, "&gt;"&amp;E294)+1)</f>
        <v>5</v>
      </c>
    </row>
    <row r="295" spans="1:7" x14ac:dyDescent="0.3">
      <c r="A295" t="str">
        <v>Night Stalker</v>
      </c>
      <c r="B295" t="str">
        <v>Off Lane</v>
      </c>
      <c r="C295">
        <f>COUNTIFS([3]!players[hero_name], A295,
[3]!players[lane_name], B295)</f>
        <v>100</v>
      </c>
      <c r="D295">
        <f>COUNTIFS([3]!players[hero_name], A295,
[3]!players[lane_name], B295,
[3]!players[win], 1)</f>
        <v>46</v>
      </c>
      <c r="E295" s="11">
        <f>D295/C295</f>
        <v>0.46</v>
      </c>
      <c r="F295" t="str">
        <f>IF(C295&gt;=10, "Yes", "No")</f>
        <v>Yes</v>
      </c>
      <c r="G295">
        <f>IF(F295="No","N/A",COUNTIFS(B$2:B$409, B295, F$2:F$409, "Yes", E$2:E$409, "&gt;"&amp;E295)+1)</f>
        <v>29</v>
      </c>
    </row>
    <row r="296" spans="1:7" x14ac:dyDescent="0.3">
      <c r="A296" t="str">
        <v>Night Stalker</v>
      </c>
      <c r="B296" t="str">
        <v>Mid</v>
      </c>
      <c r="C296">
        <f>COUNTIFS([3]!players[hero_name], A296,
[3]!players[lane_name], B296)</f>
        <v>8</v>
      </c>
      <c r="D296">
        <f>COUNTIFS([3]!players[hero_name], A296,
[3]!players[lane_name], B296,
[3]!players[win], 1)</f>
        <v>4</v>
      </c>
      <c r="E296" s="11">
        <f>D296/C296</f>
        <v>0.5</v>
      </c>
      <c r="F296" t="str">
        <f>IF(C296&gt;=10, "Yes", "No")</f>
        <v>No</v>
      </c>
      <c r="G296" t="str">
        <f>IF(F296="No","N/A",COUNTIFS(B$2:B$409, B296, F$2:F$409, "Yes", E$2:E$409, "&gt;"&amp;E296)+1)</f>
        <v>N/A</v>
      </c>
    </row>
    <row r="297" spans="1:7" x14ac:dyDescent="0.3">
      <c r="A297" t="str">
        <v>Night Stalker</v>
      </c>
      <c r="B297" t="str">
        <v>Soft Support</v>
      </c>
      <c r="C297">
        <f>COUNTIFS([3]!players[hero_name], A297,
[3]!players[lane_name], B297)</f>
        <v>7</v>
      </c>
      <c r="D297">
        <f>COUNTIFS([3]!players[hero_name], A297,
[3]!players[lane_name], B297,
[3]!players[win], 1)</f>
        <v>4</v>
      </c>
      <c r="E297" s="11">
        <f>D297/C297</f>
        <v>0.5714285714285714</v>
      </c>
      <c r="F297" t="str">
        <f>IF(C297&gt;=10, "Yes", "No")</f>
        <v>No</v>
      </c>
      <c r="G297" t="str">
        <f>IF(F297="No","N/A",COUNTIFS(B$2:B$409, B297, F$2:F$409, "Yes", E$2:E$409, "&gt;"&amp;E297)+1)</f>
        <v>N/A</v>
      </c>
    </row>
    <row r="298" spans="1:7" x14ac:dyDescent="0.3">
      <c r="A298" t="str">
        <v>Night Stalker</v>
      </c>
      <c r="B298" t="str">
        <v>Hard Support</v>
      </c>
      <c r="C298">
        <f>COUNTIFS([3]!players[hero_name], A298,
[3]!players[lane_name], B298)</f>
        <v>1</v>
      </c>
      <c r="D298">
        <f>COUNTIFS([3]!players[hero_name], A298,
[3]!players[lane_name], B298,
[3]!players[win], 1)</f>
        <v>1</v>
      </c>
      <c r="E298" s="11">
        <f>D298/C298</f>
        <v>1</v>
      </c>
      <c r="F298" t="str">
        <f>IF(C298&gt;=10, "Yes", "No")</f>
        <v>No</v>
      </c>
      <c r="G298" t="str">
        <f>IF(F298="No","N/A",COUNTIFS(B$2:B$409, B298, F$2:F$409, "Yes", E$2:E$409, "&gt;"&amp;E298)+1)</f>
        <v>N/A</v>
      </c>
    </row>
    <row r="299" spans="1:7" x14ac:dyDescent="0.3">
      <c r="A299" t="str">
        <v>Nyx Assassin</v>
      </c>
      <c r="B299" t="str">
        <v>Roam</v>
      </c>
      <c r="C299">
        <f>COUNTIFS([3]!players[hero_name], A299,
[3]!players[lane_name], B299)</f>
        <v>34</v>
      </c>
      <c r="D299">
        <f>COUNTIFS([3]!players[hero_name], A299,
[3]!players[lane_name], B299,
[3]!players[win], 1)</f>
        <v>19</v>
      </c>
      <c r="E299" s="11">
        <f>D299/C299</f>
        <v>0.55882352941176472</v>
      </c>
      <c r="F299" t="str">
        <f>IF(C299&gt;=10, "Yes", "No")</f>
        <v>Yes</v>
      </c>
      <c r="G299">
        <f>IF(F299="No","N/A",COUNTIFS(B$2:B$409, B299, F$2:F$409, "Yes", E$2:E$409, "&gt;"&amp;E299)+1)</f>
        <v>6</v>
      </c>
    </row>
    <row r="300" spans="1:7" x14ac:dyDescent="0.3">
      <c r="A300" t="str">
        <v>Nyx Assassin</v>
      </c>
      <c r="B300" t="str">
        <v>Soft Support</v>
      </c>
      <c r="C300">
        <f>COUNTIFS([3]!players[hero_name], A300,
[3]!players[lane_name], B300)</f>
        <v>59</v>
      </c>
      <c r="D300">
        <f>COUNTIFS([3]!players[hero_name], A300,
[3]!players[lane_name], B300,
[3]!players[win], 1)</f>
        <v>30</v>
      </c>
      <c r="E300" s="11">
        <f>D300/C300</f>
        <v>0.50847457627118642</v>
      </c>
      <c r="F300" t="str">
        <f>IF(C300&gt;=10, "Yes", "No")</f>
        <v>Yes</v>
      </c>
      <c r="G300">
        <f>IF(F300="No","N/A",COUNTIFS(B$2:B$409, B300, F$2:F$409, "Yes", E$2:E$409, "&gt;"&amp;E300)+1)</f>
        <v>20</v>
      </c>
    </row>
    <row r="301" spans="1:7" x14ac:dyDescent="0.3">
      <c r="A301" t="str">
        <v>Nyx Assassin</v>
      </c>
      <c r="B301" t="str">
        <v>Hard Support</v>
      </c>
      <c r="C301">
        <f>COUNTIFS([3]!players[hero_name], A301,
[3]!players[lane_name], B301)</f>
        <v>82</v>
      </c>
      <c r="D301">
        <f>COUNTIFS([3]!players[hero_name], A301,
[3]!players[lane_name], B301,
[3]!players[win], 1)</f>
        <v>49</v>
      </c>
      <c r="E301" s="11">
        <f>D301/C301</f>
        <v>0.59756097560975607</v>
      </c>
      <c r="F301" t="str">
        <f>IF(C301&gt;=10, "Yes", "No")</f>
        <v>Yes</v>
      </c>
      <c r="G301">
        <f>IF(F301="No","N/A",COUNTIFS(B$2:B$409, B301, F$2:F$409, "Yes", E$2:E$409, "&gt;"&amp;E301)+1)</f>
        <v>8</v>
      </c>
    </row>
    <row r="302" spans="1:7" x14ac:dyDescent="0.3">
      <c r="A302" t="str">
        <v>Nyx Assassin</v>
      </c>
      <c r="B302" t="str">
        <v>Off Lane</v>
      </c>
      <c r="C302">
        <f>COUNTIFS([3]!players[hero_name], A302,
[3]!players[lane_name], B302)</f>
        <v>3</v>
      </c>
      <c r="D302">
        <f>COUNTIFS([3]!players[hero_name], A302,
[3]!players[lane_name], B302,
[3]!players[win], 1)</f>
        <v>1</v>
      </c>
      <c r="E302" s="11">
        <f>D302/C302</f>
        <v>0.33333333333333331</v>
      </c>
      <c r="F302" t="str">
        <f>IF(C302&gt;=10, "Yes", "No")</f>
        <v>No</v>
      </c>
      <c r="G302" t="str">
        <f>IF(F302="No","N/A",COUNTIFS(B$2:B$409, B302, F$2:F$409, "Yes", E$2:E$409, "&gt;"&amp;E302)+1)</f>
        <v>N/A</v>
      </c>
    </row>
    <row r="303" spans="1:7" x14ac:dyDescent="0.3">
      <c r="A303" t="str">
        <v>Nyx Assassin</v>
      </c>
      <c r="B303" t="str">
        <v>Mid</v>
      </c>
      <c r="C303">
        <f>COUNTIFS([3]!players[hero_name], A303,
[3]!players[lane_name], B303)</f>
        <v>1</v>
      </c>
      <c r="D303">
        <f>COUNTIFS([3]!players[hero_name], A303,
[3]!players[lane_name], B303,
[3]!players[win], 1)</f>
        <v>1</v>
      </c>
      <c r="E303" s="11">
        <f>D303/C303</f>
        <v>1</v>
      </c>
      <c r="F303" t="str">
        <f>IF(C303&gt;=10, "Yes", "No")</f>
        <v>No</v>
      </c>
      <c r="G303" t="str">
        <f>IF(F303="No","N/A",COUNTIFS(B$2:B$409, B303, F$2:F$409, "Yes", E$2:E$409, "&gt;"&amp;E303)+1)</f>
        <v>N/A</v>
      </c>
    </row>
    <row r="304" spans="1:7" x14ac:dyDescent="0.3">
      <c r="A304" t="str">
        <v>Ogre Magi</v>
      </c>
      <c r="B304" t="str">
        <v>Hard Support</v>
      </c>
      <c r="C304">
        <f>COUNTIFS([3]!players[hero_name], A304,
[3]!players[lane_name], B304)</f>
        <v>149</v>
      </c>
      <c r="D304">
        <f>COUNTIFS([3]!players[hero_name], A304,
[3]!players[lane_name], B304,
[3]!players[win], 1)</f>
        <v>67</v>
      </c>
      <c r="E304" s="11">
        <f>D304/C304</f>
        <v>0.44966442953020136</v>
      </c>
      <c r="F304" t="str">
        <f>IF(C304&gt;=10, "Yes", "No")</f>
        <v>Yes</v>
      </c>
      <c r="G304">
        <f>IF(F304="No","N/A",COUNTIFS(B$2:B$409, B304, F$2:F$409, "Yes", E$2:E$409, "&gt;"&amp;E304)+1)</f>
        <v>26</v>
      </c>
    </row>
    <row r="305" spans="1:7" x14ac:dyDescent="0.3">
      <c r="A305" t="str">
        <v>Ogre Magi</v>
      </c>
      <c r="B305" t="str">
        <v>Soft Support</v>
      </c>
      <c r="C305">
        <f>COUNTIFS([3]!players[hero_name], A305,
[3]!players[lane_name], B305)</f>
        <v>71</v>
      </c>
      <c r="D305">
        <f>COUNTIFS([3]!players[hero_name], A305,
[3]!players[lane_name], B305,
[3]!players[win], 1)</f>
        <v>38</v>
      </c>
      <c r="E305" s="11">
        <f>D305/C305</f>
        <v>0.53521126760563376</v>
      </c>
      <c r="F305" t="str">
        <f>IF(C305&gt;=10, "Yes", "No")</f>
        <v>Yes</v>
      </c>
      <c r="G305">
        <f>IF(F305="No","N/A",COUNTIFS(B$2:B$409, B305, F$2:F$409, "Yes", E$2:E$409, "&gt;"&amp;E305)+1)</f>
        <v>15</v>
      </c>
    </row>
    <row r="306" spans="1:7" x14ac:dyDescent="0.3">
      <c r="A306" t="str">
        <v>Ogre Magi</v>
      </c>
      <c r="B306" t="str">
        <v>Mid</v>
      </c>
      <c r="C306">
        <f>COUNTIFS([3]!players[hero_name], A306,
[3]!players[lane_name], B306)</f>
        <v>2</v>
      </c>
      <c r="D306">
        <f>COUNTIFS([3]!players[hero_name], A306,
[3]!players[lane_name], B306,
[3]!players[win], 1)</f>
        <v>1</v>
      </c>
      <c r="E306" s="11">
        <f>D306/C306</f>
        <v>0.5</v>
      </c>
      <c r="F306" t="str">
        <f>IF(C306&gt;=10, "Yes", "No")</f>
        <v>No</v>
      </c>
      <c r="G306" t="str">
        <f>IF(F306="No","N/A",COUNTIFS(B$2:B$409, B306, F$2:F$409, "Yes", E$2:E$409, "&gt;"&amp;E306)+1)</f>
        <v>N/A</v>
      </c>
    </row>
    <row r="307" spans="1:7" x14ac:dyDescent="0.3">
      <c r="A307" t="str">
        <v>Ogre Magi</v>
      </c>
      <c r="B307" t="str">
        <v>Off Lane</v>
      </c>
      <c r="C307">
        <f>COUNTIFS([3]!players[hero_name], A307,
[3]!players[lane_name], B307)</f>
        <v>22</v>
      </c>
      <c r="D307">
        <f>COUNTIFS([3]!players[hero_name], A307,
[3]!players[lane_name], B307,
[3]!players[win], 1)</f>
        <v>15</v>
      </c>
      <c r="E307" s="11">
        <f>D307/C307</f>
        <v>0.68181818181818177</v>
      </c>
      <c r="F307" t="str">
        <f>IF(C307&gt;=10, "Yes", "No")</f>
        <v>Yes</v>
      </c>
      <c r="G307">
        <f>IF(F307="No","N/A",COUNTIFS(B$2:B$409, B307, F$2:F$409, "Yes", E$2:E$409, "&gt;"&amp;E307)+1)</f>
        <v>2</v>
      </c>
    </row>
    <row r="308" spans="1:7" x14ac:dyDescent="0.3">
      <c r="A308" t="str">
        <v>Ogre Magi</v>
      </c>
      <c r="B308" t="str">
        <v>Carry</v>
      </c>
      <c r="C308">
        <f>COUNTIFS([3]!players[hero_name], A308,
[3]!players[lane_name], B308)</f>
        <v>4</v>
      </c>
      <c r="D308">
        <f>COUNTIFS([3]!players[hero_name], A308,
[3]!players[lane_name], B308,
[3]!players[win], 1)</f>
        <v>3</v>
      </c>
      <c r="E308" s="11">
        <f>D308/C308</f>
        <v>0.75</v>
      </c>
      <c r="F308" t="str">
        <f>IF(C308&gt;=10, "Yes", "No")</f>
        <v>No</v>
      </c>
      <c r="G308" t="str">
        <f>IF(F308="No","N/A",COUNTIFS(B$2:B$409, B308, F$2:F$409, "Yes", E$2:E$409, "&gt;"&amp;E308)+1)</f>
        <v>N/A</v>
      </c>
    </row>
    <row r="309" spans="1:7" x14ac:dyDescent="0.3">
      <c r="A309" t="str">
        <v>Ogre Magi</v>
      </c>
      <c r="B309" t="str">
        <v>Roam</v>
      </c>
      <c r="C309">
        <f>COUNTIFS([3]!players[hero_name], A309,
[3]!players[lane_name], B309)</f>
        <v>3</v>
      </c>
      <c r="D309">
        <f>COUNTIFS([3]!players[hero_name], A309,
[3]!players[lane_name], B309,
[3]!players[win], 1)</f>
        <v>1</v>
      </c>
      <c r="E309" s="11">
        <f>D309/C309</f>
        <v>0.33333333333333331</v>
      </c>
      <c r="F309" t="str">
        <f>IF(C309&gt;=10, "Yes", "No")</f>
        <v>No</v>
      </c>
      <c r="G309" t="str">
        <f>IF(F309="No","N/A",COUNTIFS(B$2:B$409, B309, F$2:F$409, "Yes", E$2:E$409, "&gt;"&amp;E309)+1)</f>
        <v>N/A</v>
      </c>
    </row>
    <row r="310" spans="1:7" x14ac:dyDescent="0.3">
      <c r="A310" t="str">
        <v>Omniknight</v>
      </c>
      <c r="B310" t="str">
        <v>Soft Support</v>
      </c>
      <c r="C310">
        <f>COUNTIFS([3]!players[hero_name], A310,
[3]!players[lane_name], B310)</f>
        <v>4</v>
      </c>
      <c r="D310">
        <f>COUNTIFS([3]!players[hero_name], A310,
[3]!players[lane_name], B310,
[3]!players[win], 1)</f>
        <v>3</v>
      </c>
      <c r="E310" s="11">
        <f>D310/C310</f>
        <v>0.75</v>
      </c>
      <c r="F310" t="str">
        <f>IF(C310&gt;=10, "Yes", "No")</f>
        <v>No</v>
      </c>
      <c r="G310" t="str">
        <f>IF(F310="No","N/A",COUNTIFS(B$2:B$409, B310, F$2:F$409, "Yes", E$2:E$409, "&gt;"&amp;E310)+1)</f>
        <v>N/A</v>
      </c>
    </row>
    <row r="311" spans="1:7" x14ac:dyDescent="0.3">
      <c r="A311" t="str">
        <v>Omniknight</v>
      </c>
      <c r="B311" t="str">
        <v>Off Lane</v>
      </c>
      <c r="C311">
        <f>COUNTIFS([3]!players[hero_name], A311,
[3]!players[lane_name], B311)</f>
        <v>15</v>
      </c>
      <c r="D311">
        <f>COUNTIFS([3]!players[hero_name], A311,
[3]!players[lane_name], B311,
[3]!players[win], 1)</f>
        <v>8</v>
      </c>
      <c r="E311" s="11">
        <f>D311/C311</f>
        <v>0.53333333333333333</v>
      </c>
      <c r="F311" t="str">
        <f>IF(C311&gt;=10, "Yes", "No")</f>
        <v>Yes</v>
      </c>
      <c r="G311">
        <f>IF(F311="No","N/A",COUNTIFS(B$2:B$409, B311, F$2:F$409, "Yes", E$2:E$409, "&gt;"&amp;E311)+1)</f>
        <v>13</v>
      </c>
    </row>
    <row r="312" spans="1:7" x14ac:dyDescent="0.3">
      <c r="A312" t="str">
        <v>Omniknight</v>
      </c>
      <c r="B312" t="str">
        <v>Hard Support</v>
      </c>
      <c r="C312">
        <f>COUNTIFS([3]!players[hero_name], A312,
[3]!players[lane_name], B312)</f>
        <v>3</v>
      </c>
      <c r="D312">
        <f>COUNTIFS([3]!players[hero_name], A312,
[3]!players[lane_name], B312,
[3]!players[win], 1)</f>
        <v>2</v>
      </c>
      <c r="E312" s="11">
        <f>D312/C312</f>
        <v>0.66666666666666663</v>
      </c>
      <c r="F312" t="str">
        <f>IF(C312&gt;=10, "Yes", "No")</f>
        <v>No</v>
      </c>
      <c r="G312" t="str">
        <f>IF(F312="No","N/A",COUNTIFS(B$2:B$409, B312, F$2:F$409, "Yes", E$2:E$409, "&gt;"&amp;E312)+1)</f>
        <v>N/A</v>
      </c>
    </row>
    <row r="313" spans="1:7" x14ac:dyDescent="0.3">
      <c r="A313" t="str">
        <v>Omniknight</v>
      </c>
      <c r="B313" t="str">
        <v>Carry</v>
      </c>
      <c r="C313">
        <f>COUNTIFS([3]!players[hero_name], A313,
[3]!players[lane_name], B313)</f>
        <v>2</v>
      </c>
      <c r="D313">
        <f>COUNTIFS([3]!players[hero_name], A313,
[3]!players[lane_name], B313,
[3]!players[win], 1)</f>
        <v>0</v>
      </c>
      <c r="E313" s="11">
        <f>D313/C313</f>
        <v>0</v>
      </c>
      <c r="F313" t="str">
        <f>IF(C313&gt;=10, "Yes", "No")</f>
        <v>No</v>
      </c>
      <c r="G313" t="str">
        <f>IF(F313="No","N/A",COUNTIFS(B$2:B$409, B313, F$2:F$409, "Yes", E$2:E$409, "&gt;"&amp;E313)+1)</f>
        <v>N/A</v>
      </c>
    </row>
    <row r="314" spans="1:7" x14ac:dyDescent="0.3">
      <c r="A314" t="str">
        <v>Omniknight</v>
      </c>
      <c r="B314" t="str">
        <v>Mid</v>
      </c>
      <c r="C314">
        <f>COUNTIFS([3]!players[hero_name], A314,
[3]!players[lane_name], B314)</f>
        <v>2</v>
      </c>
      <c r="D314">
        <f>COUNTIFS([3]!players[hero_name], A314,
[3]!players[lane_name], B314,
[3]!players[win], 1)</f>
        <v>1</v>
      </c>
      <c r="E314" s="11">
        <f>D314/C314</f>
        <v>0.5</v>
      </c>
      <c r="F314" t="str">
        <f>IF(C314&gt;=10, "Yes", "No")</f>
        <v>No</v>
      </c>
      <c r="G314" t="str">
        <f>IF(F314="No","N/A",COUNTIFS(B$2:B$409, B314, F$2:F$409, "Yes", E$2:E$409, "&gt;"&amp;E314)+1)</f>
        <v>N/A</v>
      </c>
    </row>
    <row r="315" spans="1:7" x14ac:dyDescent="0.3">
      <c r="A315" t="str">
        <v>Oracle</v>
      </c>
      <c r="B315" t="str">
        <v>Hard Support</v>
      </c>
      <c r="C315">
        <f>COUNTIFS([3]!players[hero_name], A315,
[3]!players[lane_name], B315)</f>
        <v>42</v>
      </c>
      <c r="D315">
        <f>COUNTIFS([3]!players[hero_name], A315,
[3]!players[lane_name], B315,
[3]!players[win], 1)</f>
        <v>26</v>
      </c>
      <c r="E315" s="11">
        <f>D315/C315</f>
        <v>0.61904761904761907</v>
      </c>
      <c r="F315" t="str">
        <f>IF(C315&gt;=10, "Yes", "No")</f>
        <v>Yes</v>
      </c>
      <c r="G315">
        <f>IF(F315="No","N/A",COUNTIFS(B$2:B$409, B315, F$2:F$409, "Yes", E$2:E$409, "&gt;"&amp;E315)+1)</f>
        <v>6</v>
      </c>
    </row>
    <row r="316" spans="1:7" x14ac:dyDescent="0.3">
      <c r="A316" t="str">
        <v>Oracle</v>
      </c>
      <c r="B316" t="str">
        <v>Soft Support</v>
      </c>
      <c r="C316">
        <f>COUNTIFS([3]!players[hero_name], A316,
[3]!players[lane_name], B316)</f>
        <v>19</v>
      </c>
      <c r="D316">
        <f>COUNTIFS([3]!players[hero_name], A316,
[3]!players[lane_name], B316,
[3]!players[win], 1)</f>
        <v>8</v>
      </c>
      <c r="E316" s="11">
        <f>D316/C316</f>
        <v>0.42105263157894735</v>
      </c>
      <c r="F316" t="str">
        <f>IF(C316&gt;=10, "Yes", "No")</f>
        <v>Yes</v>
      </c>
      <c r="G316">
        <f>IF(F316="No","N/A",COUNTIFS(B$2:B$409, B316, F$2:F$409, "Yes", E$2:E$409, "&gt;"&amp;E316)+1)</f>
        <v>35</v>
      </c>
    </row>
    <row r="317" spans="1:7" x14ac:dyDescent="0.3">
      <c r="A317" t="str">
        <v>Oracle</v>
      </c>
      <c r="B317" t="str">
        <v>Roam</v>
      </c>
      <c r="C317">
        <f>COUNTIFS([3]!players[hero_name], A317,
[3]!players[lane_name], B317)</f>
        <v>8</v>
      </c>
      <c r="D317">
        <f>COUNTIFS([3]!players[hero_name], A317,
[3]!players[lane_name], B317,
[3]!players[win], 1)</f>
        <v>4</v>
      </c>
      <c r="E317" s="11">
        <f>D317/C317</f>
        <v>0.5</v>
      </c>
      <c r="F317" t="str">
        <f>IF(C317&gt;=10, "Yes", "No")</f>
        <v>No</v>
      </c>
      <c r="G317" t="str">
        <f>IF(F317="No","N/A",COUNTIFS(B$2:B$409, B317, F$2:F$409, "Yes", E$2:E$409, "&gt;"&amp;E317)+1)</f>
        <v>N/A</v>
      </c>
    </row>
    <row r="318" spans="1:7" x14ac:dyDescent="0.3">
      <c r="A318" t="str">
        <v>Oracle</v>
      </c>
      <c r="B318" t="str">
        <v>Carry</v>
      </c>
      <c r="C318">
        <f>COUNTIFS([3]!players[hero_name], A318,
[3]!players[lane_name], B318)</f>
        <v>1</v>
      </c>
      <c r="D318">
        <f>COUNTIFS([3]!players[hero_name], A318,
[3]!players[lane_name], B318,
[3]!players[win], 1)</f>
        <v>0</v>
      </c>
      <c r="E318" s="11">
        <f>D318/C318</f>
        <v>0</v>
      </c>
      <c r="F318" t="str">
        <f>IF(C318&gt;=10, "Yes", "No")</f>
        <v>No</v>
      </c>
      <c r="G318" t="str">
        <f>IF(F318="No","N/A",COUNTIFS(B$2:B$409, B318, F$2:F$409, "Yes", E$2:E$409, "&gt;"&amp;E318)+1)</f>
        <v>N/A</v>
      </c>
    </row>
    <row r="319" spans="1:7" x14ac:dyDescent="0.3">
      <c r="A319" t="str">
        <v>Oracle</v>
      </c>
      <c r="B319" t="str">
        <v>Mid</v>
      </c>
      <c r="C319">
        <f>COUNTIFS([3]!players[hero_name], A319,
[3]!players[lane_name], B319)</f>
        <v>1</v>
      </c>
      <c r="D319">
        <f>COUNTIFS([3]!players[hero_name], A319,
[3]!players[lane_name], B319,
[3]!players[win], 1)</f>
        <v>0</v>
      </c>
      <c r="E319" s="11">
        <f>D319/C319</f>
        <v>0</v>
      </c>
      <c r="F319" t="str">
        <f>IF(C319&gt;=10, "Yes", "No")</f>
        <v>No</v>
      </c>
      <c r="G319" t="str">
        <f>IF(F319="No","N/A",COUNTIFS(B$2:B$409, B319, F$2:F$409, "Yes", E$2:E$409, "&gt;"&amp;E319)+1)</f>
        <v>N/A</v>
      </c>
    </row>
    <row r="320" spans="1:7" x14ac:dyDescent="0.3">
      <c r="A320" t="str">
        <v>Outworld Destroyer</v>
      </c>
      <c r="B320" t="str">
        <v>Mid</v>
      </c>
      <c r="C320">
        <f>COUNTIFS([3]!players[hero_name], A320,
[3]!players[lane_name], B320)</f>
        <v>45</v>
      </c>
      <c r="D320">
        <f>COUNTIFS([3]!players[hero_name], A320,
[3]!players[lane_name], B320,
[3]!players[win], 1)</f>
        <v>25</v>
      </c>
      <c r="E320" s="11">
        <f>D320/C320</f>
        <v>0.55555555555555558</v>
      </c>
      <c r="F320" t="str">
        <f>IF(C320&gt;=10, "Yes", "No")</f>
        <v>Yes</v>
      </c>
      <c r="G320">
        <f>IF(F320="No","N/A",COUNTIFS(B$2:B$409, B320, F$2:F$409, "Yes", E$2:E$409, "&gt;"&amp;E320)+1)</f>
        <v>11</v>
      </c>
    </row>
    <row r="321" spans="1:7" x14ac:dyDescent="0.3">
      <c r="A321" t="str">
        <v>Outworld Destroyer</v>
      </c>
      <c r="B321" t="str">
        <v>Carry</v>
      </c>
      <c r="C321">
        <f>COUNTIFS([3]!players[hero_name], A321,
[3]!players[lane_name], B321)</f>
        <v>1</v>
      </c>
      <c r="D321">
        <f>COUNTIFS([3]!players[hero_name], A321,
[3]!players[lane_name], B321,
[3]!players[win], 1)</f>
        <v>0</v>
      </c>
      <c r="E321" s="11">
        <f>D321/C321</f>
        <v>0</v>
      </c>
      <c r="F321" t="str">
        <f>IF(C321&gt;=10, "Yes", "No")</f>
        <v>No</v>
      </c>
      <c r="G321" t="str">
        <f>IF(F321="No","N/A",COUNTIFS(B$2:B$409, B321, F$2:F$409, "Yes", E$2:E$409, "&gt;"&amp;E321)+1)</f>
        <v>N/A</v>
      </c>
    </row>
    <row r="322" spans="1:7" x14ac:dyDescent="0.3">
      <c r="A322" t="str">
        <v>Pangolier</v>
      </c>
      <c r="B322" t="str">
        <v>Off Lane</v>
      </c>
      <c r="C322">
        <f>COUNTIFS([3]!players[hero_name], A322,
[3]!players[lane_name], B322)</f>
        <v>303</v>
      </c>
      <c r="D322">
        <f>COUNTIFS([3]!players[hero_name], A322,
[3]!players[lane_name], B322,
[3]!players[win], 1)</f>
        <v>155</v>
      </c>
      <c r="E322" s="11">
        <f>D322/C322</f>
        <v>0.51155115511551152</v>
      </c>
      <c r="F322" t="str">
        <f>IF(C322&gt;=10, "Yes", "No")</f>
        <v>Yes</v>
      </c>
      <c r="G322">
        <f>IF(F322="No","N/A",COUNTIFS(B$2:B$409, B322, F$2:F$409, "Yes", E$2:E$409, "&gt;"&amp;E322)+1)</f>
        <v>20</v>
      </c>
    </row>
    <row r="323" spans="1:7" x14ac:dyDescent="0.3">
      <c r="A323" t="str">
        <v>Pangolier</v>
      </c>
      <c r="B323" t="str">
        <v>Mid</v>
      </c>
      <c r="C323">
        <f>COUNTIFS([3]!players[hero_name], A323,
[3]!players[lane_name], B323)</f>
        <v>335</v>
      </c>
      <c r="D323">
        <f>COUNTIFS([3]!players[hero_name], A323,
[3]!players[lane_name], B323,
[3]!players[win], 1)</f>
        <v>184</v>
      </c>
      <c r="E323" s="11">
        <f>D323/C323</f>
        <v>0.54925373134328359</v>
      </c>
      <c r="F323" t="str">
        <f>IF(C323&gt;=10, "Yes", "No")</f>
        <v>Yes</v>
      </c>
      <c r="G323">
        <f>IF(F323="No","N/A",COUNTIFS(B$2:B$409, B323, F$2:F$409, "Yes", E$2:E$409, "&gt;"&amp;E323)+1)</f>
        <v>12</v>
      </c>
    </row>
    <row r="324" spans="1:7" x14ac:dyDescent="0.3">
      <c r="A324" t="str">
        <v>Pangolier</v>
      </c>
      <c r="B324" t="str">
        <v>Soft Support</v>
      </c>
      <c r="C324">
        <f>COUNTIFS([3]!players[hero_name], A324,
[3]!players[lane_name], B324)</f>
        <v>2</v>
      </c>
      <c r="D324">
        <f>COUNTIFS([3]!players[hero_name], A324,
[3]!players[lane_name], B324,
[3]!players[win], 1)</f>
        <v>1</v>
      </c>
      <c r="E324" s="11">
        <f>D324/C324</f>
        <v>0.5</v>
      </c>
      <c r="F324" t="str">
        <f>IF(C324&gt;=10, "Yes", "No")</f>
        <v>No</v>
      </c>
      <c r="G324" t="str">
        <f>IF(F324="No","N/A",COUNTIFS(B$2:B$409, B324, F$2:F$409, "Yes", E$2:E$409, "&gt;"&amp;E324)+1)</f>
        <v>N/A</v>
      </c>
    </row>
    <row r="325" spans="1:7" x14ac:dyDescent="0.3">
      <c r="A325" t="str">
        <v>Pangolier</v>
      </c>
      <c r="B325" t="str">
        <v>Roam</v>
      </c>
      <c r="C325">
        <f>COUNTIFS([3]!players[hero_name], A325,
[3]!players[lane_name], B325)</f>
        <v>1</v>
      </c>
      <c r="D325">
        <f>COUNTIFS([3]!players[hero_name], A325,
[3]!players[lane_name], B325,
[3]!players[win], 1)</f>
        <v>0</v>
      </c>
      <c r="E325" s="11">
        <f>D325/C325</f>
        <v>0</v>
      </c>
      <c r="F325" t="str">
        <f>IF(C325&gt;=10, "Yes", "No")</f>
        <v>No</v>
      </c>
      <c r="G325" t="str">
        <f>IF(F325="No","N/A",COUNTIFS(B$2:B$409, B325, F$2:F$409, "Yes", E$2:E$409, "&gt;"&amp;E325)+1)</f>
        <v>N/A</v>
      </c>
    </row>
    <row r="326" spans="1:7" x14ac:dyDescent="0.3">
      <c r="A326" t="str">
        <v>Pangolier</v>
      </c>
      <c r="B326" t="str">
        <v>Carry</v>
      </c>
      <c r="C326">
        <f>COUNTIFS([3]!players[hero_name], A326,
[3]!players[lane_name], B326)</f>
        <v>2</v>
      </c>
      <c r="D326">
        <f>COUNTIFS([3]!players[hero_name], A326,
[3]!players[lane_name], B326,
[3]!players[win], 1)</f>
        <v>2</v>
      </c>
      <c r="E326" s="11">
        <f>D326/C326</f>
        <v>1</v>
      </c>
      <c r="F326" t="str">
        <f>IF(C326&gt;=10, "Yes", "No")</f>
        <v>No</v>
      </c>
      <c r="G326" t="str">
        <f>IF(F326="No","N/A",COUNTIFS(B$2:B$409, B326, F$2:F$409, "Yes", E$2:E$409, "&gt;"&amp;E326)+1)</f>
        <v>N/A</v>
      </c>
    </row>
    <row r="327" spans="1:7" x14ac:dyDescent="0.3">
      <c r="A327" t="str">
        <v>Phantom Assassin</v>
      </c>
      <c r="B327" t="str">
        <v>Hard Support</v>
      </c>
      <c r="C327">
        <f>COUNTIFS([3]!players[hero_name], A327,
[3]!players[lane_name], B327)</f>
        <v>2</v>
      </c>
      <c r="D327">
        <f>COUNTIFS([3]!players[hero_name], A327,
[3]!players[lane_name], B327,
[3]!players[win], 1)</f>
        <v>1</v>
      </c>
      <c r="E327" s="11">
        <f>D327/C327</f>
        <v>0.5</v>
      </c>
      <c r="F327" t="str">
        <f>IF(C327&gt;=10, "Yes", "No")</f>
        <v>No</v>
      </c>
      <c r="G327" t="str">
        <f>IF(F327="No","N/A",COUNTIFS(B$2:B$409, B327, F$2:F$409, "Yes", E$2:E$409, "&gt;"&amp;E327)+1)</f>
        <v>N/A</v>
      </c>
    </row>
    <row r="328" spans="1:7" x14ac:dyDescent="0.3">
      <c r="A328" t="str">
        <v>Phantom Assassin</v>
      </c>
      <c r="B328" t="str">
        <v>Carry</v>
      </c>
      <c r="C328">
        <f>COUNTIFS([3]!players[hero_name], A328,
[3]!players[lane_name], B328)</f>
        <v>64</v>
      </c>
      <c r="D328">
        <f>COUNTIFS([3]!players[hero_name], A328,
[3]!players[lane_name], B328,
[3]!players[win], 1)</f>
        <v>26</v>
      </c>
      <c r="E328" s="11">
        <f>D328/C328</f>
        <v>0.40625</v>
      </c>
      <c r="F328" t="str">
        <f>IF(C328&gt;=10, "Yes", "No")</f>
        <v>Yes</v>
      </c>
      <c r="G328">
        <f>IF(F328="No","N/A",COUNTIFS(B$2:B$409, B328, F$2:F$409, "Yes", E$2:E$409, "&gt;"&amp;E328)+1)</f>
        <v>29</v>
      </c>
    </row>
    <row r="329" spans="1:7" x14ac:dyDescent="0.3">
      <c r="A329" t="str">
        <v>Phantom Assassin</v>
      </c>
      <c r="B329" t="str">
        <v>Soft Support</v>
      </c>
      <c r="C329">
        <f>COUNTIFS([3]!players[hero_name], A329,
[3]!players[lane_name], B329)</f>
        <v>1</v>
      </c>
      <c r="D329">
        <f>COUNTIFS([3]!players[hero_name], A329,
[3]!players[lane_name], B329,
[3]!players[win], 1)</f>
        <v>0</v>
      </c>
      <c r="E329" s="11">
        <f>D329/C329</f>
        <v>0</v>
      </c>
      <c r="F329" t="str">
        <f>IF(C329&gt;=10, "Yes", "No")</f>
        <v>No</v>
      </c>
      <c r="G329" t="str">
        <f>IF(F329="No","N/A",COUNTIFS(B$2:B$409, B329, F$2:F$409, "Yes", E$2:E$409, "&gt;"&amp;E329)+1)</f>
        <v>N/A</v>
      </c>
    </row>
    <row r="330" spans="1:7" x14ac:dyDescent="0.3">
      <c r="A330" t="str">
        <v>Phantom Lancer</v>
      </c>
      <c r="B330" t="str">
        <v>Carry</v>
      </c>
      <c r="C330">
        <f>COUNTIFS([3]!players[hero_name], A330,
[3]!players[lane_name], B330)</f>
        <v>51</v>
      </c>
      <c r="D330">
        <f>COUNTIFS([3]!players[hero_name], A330,
[3]!players[lane_name], B330,
[3]!players[win], 1)</f>
        <v>23</v>
      </c>
      <c r="E330" s="11">
        <f>D330/C330</f>
        <v>0.45098039215686275</v>
      </c>
      <c r="F330" t="str">
        <f>IF(C330&gt;=10, "Yes", "No")</f>
        <v>Yes</v>
      </c>
      <c r="G330">
        <f>IF(F330="No","N/A",COUNTIFS(B$2:B$409, B330, F$2:F$409, "Yes", E$2:E$409, "&gt;"&amp;E330)+1)</f>
        <v>23</v>
      </c>
    </row>
    <row r="331" spans="1:7" x14ac:dyDescent="0.3">
      <c r="A331" t="str">
        <v>Phoenix</v>
      </c>
      <c r="B331" t="str">
        <v>Off Lane</v>
      </c>
      <c r="C331">
        <f>COUNTIFS([3]!players[hero_name], A331,
[3]!players[lane_name], B331)</f>
        <v>97</v>
      </c>
      <c r="D331">
        <f>COUNTIFS([3]!players[hero_name], A331,
[3]!players[lane_name], B331,
[3]!players[win], 1)</f>
        <v>71</v>
      </c>
      <c r="E331" s="11">
        <f>D331/C331</f>
        <v>0.73195876288659789</v>
      </c>
      <c r="F331" t="str">
        <f>IF(C331&gt;=10, "Yes", "No")</f>
        <v>Yes</v>
      </c>
      <c r="G331">
        <f>IF(F331="No","N/A",COUNTIFS(B$2:B$409, B331, F$2:F$409, "Yes", E$2:E$409, "&gt;"&amp;E331)+1)</f>
        <v>1</v>
      </c>
    </row>
    <row r="332" spans="1:7" x14ac:dyDescent="0.3">
      <c r="A332" t="str">
        <v>Phoenix</v>
      </c>
      <c r="B332" t="str">
        <v>Roam</v>
      </c>
      <c r="C332">
        <f>COUNTIFS([3]!players[hero_name], A332,
[3]!players[lane_name], B332)</f>
        <v>84</v>
      </c>
      <c r="D332">
        <f>COUNTIFS([3]!players[hero_name], A332,
[3]!players[lane_name], B332,
[3]!players[win], 1)</f>
        <v>41</v>
      </c>
      <c r="E332" s="11">
        <f>D332/C332</f>
        <v>0.48809523809523808</v>
      </c>
      <c r="F332" t="str">
        <f>IF(C332&gt;=10, "Yes", "No")</f>
        <v>Yes</v>
      </c>
      <c r="G332">
        <f>IF(F332="No","N/A",COUNTIFS(B$2:B$409, B332, F$2:F$409, "Yes", E$2:E$409, "&gt;"&amp;E332)+1)</f>
        <v>15</v>
      </c>
    </row>
    <row r="333" spans="1:7" x14ac:dyDescent="0.3">
      <c r="A333" t="str">
        <v>Phoenix</v>
      </c>
      <c r="B333" t="str">
        <v>Soft Support</v>
      </c>
      <c r="C333">
        <f>COUNTIFS([3]!players[hero_name], A333,
[3]!players[lane_name], B333)</f>
        <v>302</v>
      </c>
      <c r="D333">
        <f>COUNTIFS([3]!players[hero_name], A333,
[3]!players[lane_name], B333,
[3]!players[win], 1)</f>
        <v>172</v>
      </c>
      <c r="E333" s="11">
        <f>D333/C333</f>
        <v>0.56953642384105962</v>
      </c>
      <c r="F333" t="str">
        <f>IF(C333&gt;=10, "Yes", "No")</f>
        <v>Yes</v>
      </c>
      <c r="G333">
        <f>IF(F333="No","N/A",COUNTIFS(B$2:B$409, B333, F$2:F$409, "Yes", E$2:E$409, "&gt;"&amp;E333)+1)</f>
        <v>12</v>
      </c>
    </row>
    <row r="334" spans="1:7" x14ac:dyDescent="0.3">
      <c r="A334" t="str">
        <v>Phoenix</v>
      </c>
      <c r="B334" t="str">
        <v>Hard Support</v>
      </c>
      <c r="C334">
        <f>COUNTIFS([3]!players[hero_name], A334,
[3]!players[lane_name], B334)</f>
        <v>85</v>
      </c>
      <c r="D334">
        <f>COUNTIFS([3]!players[hero_name], A334,
[3]!players[lane_name], B334,
[3]!players[win], 1)</f>
        <v>56</v>
      </c>
      <c r="E334" s="11">
        <f>D334/C334</f>
        <v>0.6588235294117647</v>
      </c>
      <c r="F334" t="str">
        <f>IF(C334&gt;=10, "Yes", "No")</f>
        <v>Yes</v>
      </c>
      <c r="G334">
        <f>IF(F334="No","N/A",COUNTIFS(B$2:B$409, B334, F$2:F$409, "Yes", E$2:E$409, "&gt;"&amp;E334)+1)</f>
        <v>4</v>
      </c>
    </row>
    <row r="335" spans="1:7" x14ac:dyDescent="0.3">
      <c r="A335" t="str">
        <v>Phoenix</v>
      </c>
      <c r="B335" t="str">
        <v>Mid</v>
      </c>
      <c r="C335">
        <f>COUNTIFS([3]!players[hero_name], A335,
[3]!players[lane_name], B335)</f>
        <v>13</v>
      </c>
      <c r="D335">
        <f>COUNTIFS([3]!players[hero_name], A335,
[3]!players[lane_name], B335,
[3]!players[win], 1)</f>
        <v>7</v>
      </c>
      <c r="E335" s="11">
        <f>D335/C335</f>
        <v>0.53846153846153844</v>
      </c>
      <c r="F335" t="str">
        <f>IF(C335&gt;=10, "Yes", "No")</f>
        <v>Yes</v>
      </c>
      <c r="G335">
        <f>IF(F335="No","N/A",COUNTIFS(B$2:B$409, B335, F$2:F$409, "Yes", E$2:E$409, "&gt;"&amp;E335)+1)</f>
        <v>14</v>
      </c>
    </row>
    <row r="336" spans="1:7" x14ac:dyDescent="0.3">
      <c r="A336" t="str">
        <v>Phoenix</v>
      </c>
      <c r="B336" t="str">
        <v>Carry</v>
      </c>
      <c r="C336">
        <f>COUNTIFS([3]!players[hero_name], A336,
[3]!players[lane_name], B336)</f>
        <v>10</v>
      </c>
      <c r="D336">
        <f>COUNTIFS([3]!players[hero_name], A336,
[3]!players[lane_name], B336,
[3]!players[win], 1)</f>
        <v>7</v>
      </c>
      <c r="E336" s="11">
        <f>D336/C336</f>
        <v>0.7</v>
      </c>
      <c r="F336" t="str">
        <f>IF(C336&gt;=10, "Yes", "No")</f>
        <v>Yes</v>
      </c>
      <c r="G336">
        <f>IF(F336="No","N/A",COUNTIFS(B$2:B$409, B336, F$2:F$409, "Yes", E$2:E$409, "&gt;"&amp;E336)+1)</f>
        <v>2</v>
      </c>
    </row>
    <row r="337" spans="1:7" x14ac:dyDescent="0.3">
      <c r="A337" t="str">
        <v>Primal Beast</v>
      </c>
      <c r="B337" t="str">
        <v>Off Lane</v>
      </c>
      <c r="C337">
        <f>COUNTIFS([3]!players[hero_name], A337,
[3]!players[lane_name], B337)</f>
        <v>89</v>
      </c>
      <c r="D337">
        <f>COUNTIFS([3]!players[hero_name], A337,
[3]!players[lane_name], B337,
[3]!players[win], 1)</f>
        <v>42</v>
      </c>
      <c r="E337" s="11">
        <f>D337/C337</f>
        <v>0.47191011235955055</v>
      </c>
      <c r="F337" t="str">
        <f>IF(C337&gt;=10, "Yes", "No")</f>
        <v>Yes</v>
      </c>
      <c r="G337">
        <f>IF(F337="No","N/A",COUNTIFS(B$2:B$409, B337, F$2:F$409, "Yes", E$2:E$409, "&gt;"&amp;E337)+1)</f>
        <v>25</v>
      </c>
    </row>
    <row r="338" spans="1:7" x14ac:dyDescent="0.3">
      <c r="A338" t="str">
        <v>Primal Beast</v>
      </c>
      <c r="B338" t="str">
        <v>Mid</v>
      </c>
      <c r="C338">
        <f>COUNTIFS([3]!players[hero_name], A338,
[3]!players[lane_name], B338)</f>
        <v>27</v>
      </c>
      <c r="D338">
        <f>COUNTIFS([3]!players[hero_name], A338,
[3]!players[lane_name], B338,
[3]!players[win], 1)</f>
        <v>13</v>
      </c>
      <c r="E338" s="11">
        <f>D338/C338</f>
        <v>0.48148148148148145</v>
      </c>
      <c r="F338" t="str">
        <f>IF(C338&gt;=10, "Yes", "No")</f>
        <v>Yes</v>
      </c>
      <c r="G338">
        <f>IF(F338="No","N/A",COUNTIFS(B$2:B$409, B338, F$2:F$409, "Yes", E$2:E$409, "&gt;"&amp;E338)+1)</f>
        <v>26</v>
      </c>
    </row>
    <row r="339" spans="1:7" x14ac:dyDescent="0.3">
      <c r="A339" t="str">
        <v>Primal Beast</v>
      </c>
      <c r="B339" t="str">
        <v>Soft Support</v>
      </c>
      <c r="C339">
        <f>COUNTIFS([3]!players[hero_name], A339,
[3]!players[lane_name], B339)</f>
        <v>4</v>
      </c>
      <c r="D339">
        <f>COUNTIFS([3]!players[hero_name], A339,
[3]!players[lane_name], B339,
[3]!players[win], 1)</f>
        <v>3</v>
      </c>
      <c r="E339" s="11">
        <f>D339/C339</f>
        <v>0.75</v>
      </c>
      <c r="F339" t="str">
        <f>IF(C339&gt;=10, "Yes", "No")</f>
        <v>No</v>
      </c>
      <c r="G339" t="str">
        <f>IF(F339="No","N/A",COUNTIFS(B$2:B$409, B339, F$2:F$409, "Yes", E$2:E$409, "&gt;"&amp;E339)+1)</f>
        <v>N/A</v>
      </c>
    </row>
    <row r="340" spans="1:7" x14ac:dyDescent="0.3">
      <c r="A340" t="str">
        <v>Puck</v>
      </c>
      <c r="B340" t="str">
        <v>Mid</v>
      </c>
      <c r="C340">
        <f>COUNTIFS([3]!players[hero_name], A340,
[3]!players[lane_name], B340)</f>
        <v>273</v>
      </c>
      <c r="D340">
        <f>COUNTIFS([3]!players[hero_name], A340,
[3]!players[lane_name], B340,
[3]!players[win], 1)</f>
        <v>155</v>
      </c>
      <c r="E340" s="11">
        <f>D340/C340</f>
        <v>0.56776556776556775</v>
      </c>
      <c r="F340" t="str">
        <f>IF(C340&gt;=10, "Yes", "No")</f>
        <v>Yes</v>
      </c>
      <c r="G340">
        <f>IF(F340="No","N/A",COUNTIFS(B$2:B$409, B340, F$2:F$409, "Yes", E$2:E$409, "&gt;"&amp;E340)+1)</f>
        <v>9</v>
      </c>
    </row>
    <row r="341" spans="1:7" x14ac:dyDescent="0.3">
      <c r="A341" t="str">
        <v>Puck</v>
      </c>
      <c r="B341" t="str">
        <v>Soft Support</v>
      </c>
      <c r="C341">
        <f>COUNTIFS([3]!players[hero_name], A341,
[3]!players[lane_name], B341)</f>
        <v>1</v>
      </c>
      <c r="D341">
        <f>COUNTIFS([3]!players[hero_name], A341,
[3]!players[lane_name], B341,
[3]!players[win], 1)</f>
        <v>1</v>
      </c>
      <c r="E341" s="11">
        <f>D341/C341</f>
        <v>1</v>
      </c>
      <c r="F341" t="str">
        <f>IF(C341&gt;=10, "Yes", "No")</f>
        <v>No</v>
      </c>
      <c r="G341" t="str">
        <f>IF(F341="No","N/A",COUNTIFS(B$2:B$409, B341, F$2:F$409, "Yes", E$2:E$409, "&gt;"&amp;E341)+1)</f>
        <v>N/A</v>
      </c>
    </row>
    <row r="342" spans="1:7" x14ac:dyDescent="0.3">
      <c r="A342" t="str">
        <v>Pudge</v>
      </c>
      <c r="B342" t="str">
        <v>Soft Support</v>
      </c>
      <c r="C342">
        <f>COUNTIFS([3]!players[hero_name], A342,
[3]!players[lane_name], B342)</f>
        <v>77</v>
      </c>
      <c r="D342">
        <f>COUNTIFS([3]!players[hero_name], A342,
[3]!players[lane_name], B342,
[3]!players[win], 1)</f>
        <v>41</v>
      </c>
      <c r="E342" s="11">
        <f>D342/C342</f>
        <v>0.53246753246753242</v>
      </c>
      <c r="F342" t="str">
        <f>IF(C342&gt;=10, "Yes", "No")</f>
        <v>Yes</v>
      </c>
      <c r="G342">
        <f>IF(F342="No","N/A",COUNTIFS(B$2:B$409, B342, F$2:F$409, "Yes", E$2:E$409, "&gt;"&amp;E342)+1)</f>
        <v>16</v>
      </c>
    </row>
    <row r="343" spans="1:7" x14ac:dyDescent="0.3">
      <c r="A343" t="str">
        <v>Pudge</v>
      </c>
      <c r="B343" t="str">
        <v>Mid</v>
      </c>
      <c r="C343">
        <f>COUNTIFS([3]!players[hero_name], A343,
[3]!players[lane_name], B343)</f>
        <v>55</v>
      </c>
      <c r="D343">
        <f>COUNTIFS([3]!players[hero_name], A343,
[3]!players[lane_name], B343,
[3]!players[win], 1)</f>
        <v>26</v>
      </c>
      <c r="E343" s="11">
        <f>D343/C343</f>
        <v>0.47272727272727272</v>
      </c>
      <c r="F343" t="str">
        <f>IF(C343&gt;=10, "Yes", "No")</f>
        <v>Yes</v>
      </c>
      <c r="G343">
        <f>IF(F343="No","N/A",COUNTIFS(B$2:B$409, B343, F$2:F$409, "Yes", E$2:E$409, "&gt;"&amp;E343)+1)</f>
        <v>29</v>
      </c>
    </row>
    <row r="344" spans="1:7" x14ac:dyDescent="0.3">
      <c r="A344" t="str">
        <v>Pudge</v>
      </c>
      <c r="B344" t="str">
        <v>Off Lane</v>
      </c>
      <c r="C344">
        <f>COUNTIFS([3]!players[hero_name], A344,
[3]!players[lane_name], B344)</f>
        <v>56</v>
      </c>
      <c r="D344">
        <f>COUNTIFS([3]!players[hero_name], A344,
[3]!players[lane_name], B344,
[3]!players[win], 1)</f>
        <v>23</v>
      </c>
      <c r="E344" s="11">
        <f>D344/C344</f>
        <v>0.4107142857142857</v>
      </c>
      <c r="F344" t="str">
        <f>IF(C344&gt;=10, "Yes", "No")</f>
        <v>Yes</v>
      </c>
      <c r="G344">
        <f>IF(F344="No","N/A",COUNTIFS(B$2:B$409, B344, F$2:F$409, "Yes", E$2:E$409, "&gt;"&amp;E344)+1)</f>
        <v>33</v>
      </c>
    </row>
    <row r="345" spans="1:7" x14ac:dyDescent="0.3">
      <c r="A345" t="str">
        <v>Pudge</v>
      </c>
      <c r="B345" t="str">
        <v>Carry</v>
      </c>
      <c r="C345">
        <f>COUNTIFS([3]!players[hero_name], A345,
[3]!players[lane_name], B345)</f>
        <v>22</v>
      </c>
      <c r="D345">
        <f>COUNTIFS([3]!players[hero_name], A345,
[3]!players[lane_name], B345,
[3]!players[win], 1)</f>
        <v>18</v>
      </c>
      <c r="E345" s="11">
        <f>D345/C345</f>
        <v>0.81818181818181823</v>
      </c>
      <c r="F345" t="str">
        <f>IF(C345&gt;=10, "Yes", "No")</f>
        <v>Yes</v>
      </c>
      <c r="G345">
        <f>IF(F345="No","N/A",COUNTIFS(B$2:B$409, B345, F$2:F$409, "Yes", E$2:E$409, "&gt;"&amp;E345)+1)</f>
        <v>1</v>
      </c>
    </row>
    <row r="346" spans="1:7" x14ac:dyDescent="0.3">
      <c r="A346" t="str">
        <v>Pudge</v>
      </c>
      <c r="B346" t="str">
        <v>Roam</v>
      </c>
      <c r="C346">
        <f>COUNTIFS([3]!players[hero_name], A346,
[3]!players[lane_name], B346)</f>
        <v>19</v>
      </c>
      <c r="D346">
        <f>COUNTIFS([3]!players[hero_name], A346,
[3]!players[lane_name], B346,
[3]!players[win], 1)</f>
        <v>8</v>
      </c>
      <c r="E346" s="11">
        <f>D346/C346</f>
        <v>0.42105263157894735</v>
      </c>
      <c r="F346" t="str">
        <f>IF(C346&gt;=10, "Yes", "No")</f>
        <v>Yes</v>
      </c>
      <c r="G346">
        <f>IF(F346="No","N/A",COUNTIFS(B$2:B$409, B346, F$2:F$409, "Yes", E$2:E$409, "&gt;"&amp;E346)+1)</f>
        <v>22</v>
      </c>
    </row>
    <row r="347" spans="1:7" x14ac:dyDescent="0.3">
      <c r="A347" t="str">
        <v>Pudge</v>
      </c>
      <c r="B347" t="str">
        <v>Hard Support</v>
      </c>
      <c r="C347">
        <f>COUNTIFS([3]!players[hero_name], A347,
[3]!players[lane_name], B347)</f>
        <v>71</v>
      </c>
      <c r="D347">
        <f>COUNTIFS([3]!players[hero_name], A347,
[3]!players[lane_name], B347,
[3]!players[win], 1)</f>
        <v>28</v>
      </c>
      <c r="E347" s="11">
        <f>D347/C347</f>
        <v>0.39436619718309857</v>
      </c>
      <c r="F347" t="str">
        <f>IF(C347&gt;=10, "Yes", "No")</f>
        <v>Yes</v>
      </c>
      <c r="G347">
        <f>IF(F347="No","N/A",COUNTIFS(B$2:B$409, B347, F$2:F$409, "Yes", E$2:E$409, "&gt;"&amp;E347)+1)</f>
        <v>32</v>
      </c>
    </row>
    <row r="348" spans="1:7" x14ac:dyDescent="0.3">
      <c r="A348" t="str">
        <v>Pugna</v>
      </c>
      <c r="B348" t="str">
        <v>Hard Support</v>
      </c>
      <c r="C348">
        <f>COUNTIFS([3]!players[hero_name], A348,
[3]!players[lane_name], B348)</f>
        <v>14</v>
      </c>
      <c r="D348">
        <f>COUNTIFS([3]!players[hero_name], A348,
[3]!players[lane_name], B348,
[3]!players[win], 1)</f>
        <v>11</v>
      </c>
      <c r="E348" s="11">
        <f>D348/C348</f>
        <v>0.7857142857142857</v>
      </c>
      <c r="F348" t="str">
        <f>IF(C348&gt;=10, "Yes", "No")</f>
        <v>Yes</v>
      </c>
      <c r="G348">
        <f>IF(F348="No","N/A",COUNTIFS(B$2:B$409, B348, F$2:F$409, "Yes", E$2:E$409, "&gt;"&amp;E348)+1)</f>
        <v>1</v>
      </c>
    </row>
    <row r="349" spans="1:7" x14ac:dyDescent="0.3">
      <c r="A349" t="str">
        <v>Pugna</v>
      </c>
      <c r="B349" t="str">
        <v>Roam</v>
      </c>
      <c r="C349">
        <f>COUNTIFS([3]!players[hero_name], A349,
[3]!players[lane_name], B349)</f>
        <v>7</v>
      </c>
      <c r="D349">
        <f>COUNTIFS([3]!players[hero_name], A349,
[3]!players[lane_name], B349,
[3]!players[win], 1)</f>
        <v>3</v>
      </c>
      <c r="E349" s="11">
        <f>D349/C349</f>
        <v>0.42857142857142855</v>
      </c>
      <c r="F349" t="str">
        <f>IF(C349&gt;=10, "Yes", "No")</f>
        <v>No</v>
      </c>
      <c r="G349" t="str">
        <f>IF(F349="No","N/A",COUNTIFS(B$2:B$409, B349, F$2:F$409, "Yes", E$2:E$409, "&gt;"&amp;E349)+1)</f>
        <v>N/A</v>
      </c>
    </row>
    <row r="350" spans="1:7" x14ac:dyDescent="0.3">
      <c r="A350" t="str">
        <v>Pugna</v>
      </c>
      <c r="B350" t="str">
        <v>Soft Support</v>
      </c>
      <c r="C350">
        <f>COUNTIFS([3]!players[hero_name], A350,
[3]!players[lane_name], B350)</f>
        <v>28</v>
      </c>
      <c r="D350">
        <f>COUNTIFS([3]!players[hero_name], A350,
[3]!players[lane_name], B350,
[3]!players[win], 1)</f>
        <v>16</v>
      </c>
      <c r="E350" s="11">
        <f>D350/C350</f>
        <v>0.5714285714285714</v>
      </c>
      <c r="F350" t="str">
        <f>IF(C350&gt;=10, "Yes", "No")</f>
        <v>Yes</v>
      </c>
      <c r="G350">
        <f>IF(F350="No","N/A",COUNTIFS(B$2:B$409, B350, F$2:F$409, "Yes", E$2:E$409, "&gt;"&amp;E350)+1)</f>
        <v>9</v>
      </c>
    </row>
    <row r="351" spans="1:7" x14ac:dyDescent="0.3">
      <c r="A351" t="str">
        <v>Pugna</v>
      </c>
      <c r="B351" t="str">
        <v>Mid</v>
      </c>
      <c r="C351">
        <f>COUNTIFS([3]!players[hero_name], A351,
[3]!players[lane_name], B351)</f>
        <v>2</v>
      </c>
      <c r="D351">
        <f>COUNTIFS([3]!players[hero_name], A351,
[3]!players[lane_name], B351,
[3]!players[win], 1)</f>
        <v>1</v>
      </c>
      <c r="E351" s="11">
        <f>D351/C351</f>
        <v>0.5</v>
      </c>
      <c r="F351" t="str">
        <f>IF(C351&gt;=10, "Yes", "No")</f>
        <v>No</v>
      </c>
      <c r="G351" t="str">
        <f>IF(F351="No","N/A",COUNTIFS(B$2:B$409, B351, F$2:F$409, "Yes", E$2:E$409, "&gt;"&amp;E351)+1)</f>
        <v>N/A</v>
      </c>
    </row>
    <row r="352" spans="1:7" x14ac:dyDescent="0.3">
      <c r="A352" t="str">
        <v>Pugna</v>
      </c>
      <c r="B352" t="str">
        <v>Off Lane</v>
      </c>
      <c r="C352">
        <f>COUNTIFS([3]!players[hero_name], A352,
[3]!players[lane_name], B352)</f>
        <v>1</v>
      </c>
      <c r="D352">
        <f>COUNTIFS([3]!players[hero_name], A352,
[3]!players[lane_name], B352,
[3]!players[win], 1)</f>
        <v>0</v>
      </c>
      <c r="E352" s="11">
        <f>D352/C352</f>
        <v>0</v>
      </c>
      <c r="F352" t="str">
        <f>IF(C352&gt;=10, "Yes", "No")</f>
        <v>No</v>
      </c>
      <c r="G352" t="str">
        <f>IF(F352="No","N/A",COUNTIFS(B$2:B$409, B352, F$2:F$409, "Yes", E$2:E$409, "&gt;"&amp;E352)+1)</f>
        <v>N/A</v>
      </c>
    </row>
    <row r="353" spans="1:7" x14ac:dyDescent="0.3">
      <c r="A353" t="str">
        <v>Queen of Pain</v>
      </c>
      <c r="B353" t="str">
        <v>Mid</v>
      </c>
      <c r="C353">
        <f>COUNTIFS([3]!players[hero_name], A353,
[3]!players[lane_name], B353)</f>
        <v>438</v>
      </c>
      <c r="D353">
        <f>COUNTIFS([3]!players[hero_name], A353,
[3]!players[lane_name], B353,
[3]!players[win], 1)</f>
        <v>221</v>
      </c>
      <c r="E353" s="11">
        <f>D353/C353</f>
        <v>0.50456621004566216</v>
      </c>
      <c r="F353" t="str">
        <f>IF(C353&gt;=10, "Yes", "No")</f>
        <v>Yes</v>
      </c>
      <c r="G353">
        <f>IF(F353="No","N/A",COUNTIFS(B$2:B$409, B353, F$2:F$409, "Yes", E$2:E$409, "&gt;"&amp;E353)+1)</f>
        <v>20</v>
      </c>
    </row>
    <row r="354" spans="1:7" x14ac:dyDescent="0.3">
      <c r="A354" t="str">
        <v>Queen of Pain</v>
      </c>
      <c r="B354" t="str">
        <v>Off Lane</v>
      </c>
      <c r="C354">
        <f>COUNTIFS([3]!players[hero_name], A354,
[3]!players[lane_name], B354)</f>
        <v>18</v>
      </c>
      <c r="D354">
        <f>COUNTIFS([3]!players[hero_name], A354,
[3]!players[lane_name], B354,
[3]!players[win], 1)</f>
        <v>7</v>
      </c>
      <c r="E354" s="11">
        <f>D354/C354</f>
        <v>0.3888888888888889</v>
      </c>
      <c r="F354" t="str">
        <f>IF(C354&gt;=10, "Yes", "No")</f>
        <v>Yes</v>
      </c>
      <c r="G354">
        <f>IF(F354="No","N/A",COUNTIFS(B$2:B$409, B354, F$2:F$409, "Yes", E$2:E$409, "&gt;"&amp;E354)+1)</f>
        <v>35</v>
      </c>
    </row>
    <row r="355" spans="1:7" x14ac:dyDescent="0.3">
      <c r="A355" t="str">
        <v>Queen of Pain</v>
      </c>
      <c r="B355" t="str">
        <v>Soft Support</v>
      </c>
      <c r="C355">
        <f>COUNTIFS([3]!players[hero_name], A355,
[3]!players[lane_name], B355)</f>
        <v>7</v>
      </c>
      <c r="D355">
        <f>COUNTIFS([3]!players[hero_name], A355,
[3]!players[lane_name], B355,
[3]!players[win], 1)</f>
        <v>1</v>
      </c>
      <c r="E355" s="11">
        <f>D355/C355</f>
        <v>0.14285714285714285</v>
      </c>
      <c r="F355" t="str">
        <f>IF(C355&gt;=10, "Yes", "No")</f>
        <v>No</v>
      </c>
      <c r="G355" t="str">
        <f>IF(F355="No","N/A",COUNTIFS(B$2:B$409, B355, F$2:F$409, "Yes", E$2:E$409, "&gt;"&amp;E355)+1)</f>
        <v>N/A</v>
      </c>
    </row>
    <row r="356" spans="1:7" x14ac:dyDescent="0.3">
      <c r="A356" t="str">
        <v>Queen of Pain</v>
      </c>
      <c r="B356" t="str">
        <v>Carry</v>
      </c>
      <c r="C356">
        <f>COUNTIFS([3]!players[hero_name], A356,
[3]!players[lane_name], B356)</f>
        <v>18</v>
      </c>
      <c r="D356">
        <f>COUNTIFS([3]!players[hero_name], A356,
[3]!players[lane_name], B356,
[3]!players[win], 1)</f>
        <v>7</v>
      </c>
      <c r="E356" s="11">
        <f>D356/C356</f>
        <v>0.3888888888888889</v>
      </c>
      <c r="F356" t="str">
        <f>IF(C356&gt;=10, "Yes", "No")</f>
        <v>Yes</v>
      </c>
      <c r="G356">
        <f>IF(F356="No","N/A",COUNTIFS(B$2:B$409, B356, F$2:F$409, "Yes", E$2:E$409, "&gt;"&amp;E356)+1)</f>
        <v>33</v>
      </c>
    </row>
    <row r="357" spans="1:7" x14ac:dyDescent="0.3">
      <c r="A357" t="str">
        <v>Queen of Pain</v>
      </c>
      <c r="B357" t="str">
        <v>Hard Support</v>
      </c>
      <c r="C357">
        <f>COUNTIFS([3]!players[hero_name], A357,
[3]!players[lane_name], B357)</f>
        <v>3</v>
      </c>
      <c r="D357">
        <f>COUNTIFS([3]!players[hero_name], A357,
[3]!players[lane_name], B357,
[3]!players[win], 1)</f>
        <v>2</v>
      </c>
      <c r="E357" s="11">
        <f>D357/C357</f>
        <v>0.66666666666666663</v>
      </c>
      <c r="F357" t="str">
        <f>IF(C357&gt;=10, "Yes", "No")</f>
        <v>No</v>
      </c>
      <c r="G357" t="str">
        <f>IF(F357="No","N/A",COUNTIFS(B$2:B$409, B357, F$2:F$409, "Yes", E$2:E$409, "&gt;"&amp;E357)+1)</f>
        <v>N/A</v>
      </c>
    </row>
    <row r="358" spans="1:7" x14ac:dyDescent="0.3">
      <c r="A358" t="str">
        <v>Razor</v>
      </c>
      <c r="B358" t="str">
        <v>Carry</v>
      </c>
      <c r="C358">
        <f>COUNTIFS([3]!players[hero_name], A358,
[3]!players[lane_name], B358)</f>
        <v>88</v>
      </c>
      <c r="D358">
        <f>COUNTIFS([3]!players[hero_name], A358,
[3]!players[lane_name], B358,
[3]!players[win], 1)</f>
        <v>31</v>
      </c>
      <c r="E358" s="11">
        <f>D358/C358</f>
        <v>0.35227272727272729</v>
      </c>
      <c r="F358" t="str">
        <f>IF(C358&gt;=10, "Yes", "No")</f>
        <v>Yes</v>
      </c>
      <c r="G358">
        <f>IF(F358="No","N/A",COUNTIFS(B$2:B$409, B358, F$2:F$409, "Yes", E$2:E$409, "&gt;"&amp;E358)+1)</f>
        <v>35</v>
      </c>
    </row>
    <row r="359" spans="1:7" x14ac:dyDescent="0.3">
      <c r="A359" t="str">
        <v>Razor</v>
      </c>
      <c r="B359" t="str">
        <v>Mid</v>
      </c>
      <c r="C359">
        <f>COUNTIFS([3]!players[hero_name], A359,
[3]!players[lane_name], B359)</f>
        <v>28</v>
      </c>
      <c r="D359">
        <f>COUNTIFS([3]!players[hero_name], A359,
[3]!players[lane_name], B359,
[3]!players[win], 1)</f>
        <v>13</v>
      </c>
      <c r="E359" s="11">
        <f>D359/C359</f>
        <v>0.4642857142857143</v>
      </c>
      <c r="F359" t="str">
        <f>IF(C359&gt;=10, "Yes", "No")</f>
        <v>Yes</v>
      </c>
      <c r="G359">
        <f>IF(F359="No","N/A",COUNTIFS(B$2:B$409, B359, F$2:F$409, "Yes", E$2:E$409, "&gt;"&amp;E359)+1)</f>
        <v>30</v>
      </c>
    </row>
    <row r="360" spans="1:7" x14ac:dyDescent="0.3">
      <c r="A360" t="str">
        <v>Razor</v>
      </c>
      <c r="B360" t="str">
        <v>Off Lane</v>
      </c>
      <c r="C360">
        <f>COUNTIFS([3]!players[hero_name], A360,
[3]!players[lane_name], B360)</f>
        <v>68</v>
      </c>
      <c r="D360">
        <f>COUNTIFS([3]!players[hero_name], A360,
[3]!players[lane_name], B360,
[3]!players[win], 1)</f>
        <v>28</v>
      </c>
      <c r="E360" s="11">
        <f>D360/C360</f>
        <v>0.41176470588235292</v>
      </c>
      <c r="F360" t="str">
        <f>IF(C360&gt;=10, "Yes", "No")</f>
        <v>Yes</v>
      </c>
      <c r="G360">
        <f>IF(F360="No","N/A",COUNTIFS(B$2:B$409, B360, F$2:F$409, "Yes", E$2:E$409, "&gt;"&amp;E360)+1)</f>
        <v>32</v>
      </c>
    </row>
    <row r="361" spans="1:7" x14ac:dyDescent="0.3">
      <c r="A361" t="str">
        <v>Razor</v>
      </c>
      <c r="B361" t="str">
        <v>Soft Support</v>
      </c>
      <c r="C361">
        <f>COUNTIFS([3]!players[hero_name], A361,
[3]!players[lane_name], B361)</f>
        <v>3</v>
      </c>
      <c r="D361">
        <f>COUNTIFS([3]!players[hero_name], A361,
[3]!players[lane_name], B361,
[3]!players[win], 1)</f>
        <v>1</v>
      </c>
      <c r="E361" s="11">
        <f>D361/C361</f>
        <v>0.33333333333333331</v>
      </c>
      <c r="F361" t="str">
        <f>IF(C361&gt;=10, "Yes", "No")</f>
        <v>No</v>
      </c>
      <c r="G361" t="str">
        <f>IF(F361="No","N/A",COUNTIFS(B$2:B$409, B361, F$2:F$409, "Yes", E$2:E$409, "&gt;"&amp;E361)+1)</f>
        <v>N/A</v>
      </c>
    </row>
    <row r="362" spans="1:7" x14ac:dyDescent="0.3">
      <c r="A362" t="str">
        <v>Riki</v>
      </c>
      <c r="B362" t="str">
        <v>Mid</v>
      </c>
      <c r="C362">
        <f>COUNTIFS([3]!players[hero_name], A362,
[3]!players[lane_name], B362)</f>
        <v>24</v>
      </c>
      <c r="D362">
        <f>COUNTIFS([3]!players[hero_name], A362,
[3]!players[lane_name], B362,
[3]!players[win], 1)</f>
        <v>8</v>
      </c>
      <c r="E362" s="11">
        <f>D362/C362</f>
        <v>0.33333333333333331</v>
      </c>
      <c r="F362" t="str">
        <f>IF(C362&gt;=10, "Yes", "No")</f>
        <v>Yes</v>
      </c>
      <c r="G362">
        <f>IF(F362="No","N/A",COUNTIFS(B$2:B$409, B362, F$2:F$409, "Yes", E$2:E$409, "&gt;"&amp;E362)+1)</f>
        <v>38</v>
      </c>
    </row>
    <row r="363" spans="1:7" x14ac:dyDescent="0.3">
      <c r="A363" t="str">
        <v>Riki</v>
      </c>
      <c r="B363" t="str">
        <v>Carry</v>
      </c>
      <c r="C363">
        <f>COUNTIFS([3]!players[hero_name], A363,
[3]!players[lane_name], B363)</f>
        <v>7</v>
      </c>
      <c r="D363">
        <f>COUNTIFS([3]!players[hero_name], A363,
[3]!players[lane_name], B363,
[3]!players[win], 1)</f>
        <v>3</v>
      </c>
      <c r="E363" s="11">
        <f>D363/C363</f>
        <v>0.42857142857142855</v>
      </c>
      <c r="F363" t="str">
        <f>IF(C363&gt;=10, "Yes", "No")</f>
        <v>No</v>
      </c>
      <c r="G363" t="str">
        <f>IF(F363="No","N/A",COUNTIFS(B$2:B$409, B363, F$2:F$409, "Yes", E$2:E$409, "&gt;"&amp;E363)+1)</f>
        <v>N/A</v>
      </c>
    </row>
    <row r="364" spans="1:7" x14ac:dyDescent="0.3">
      <c r="A364" t="str">
        <v>Riki</v>
      </c>
      <c r="B364" t="str">
        <v>Soft Support</v>
      </c>
      <c r="C364">
        <f>COUNTIFS([3]!players[hero_name], A364,
[3]!players[lane_name], B364)</f>
        <v>1</v>
      </c>
      <c r="D364">
        <f>COUNTIFS([3]!players[hero_name], A364,
[3]!players[lane_name], B364,
[3]!players[win], 1)</f>
        <v>0</v>
      </c>
      <c r="E364" s="11">
        <f>D364/C364</f>
        <v>0</v>
      </c>
      <c r="F364" t="str">
        <f>IF(C364&gt;=10, "Yes", "No")</f>
        <v>No</v>
      </c>
      <c r="G364" t="str">
        <f>IF(F364="No","N/A",COUNTIFS(B$2:B$409, B364, F$2:F$409, "Yes", E$2:E$409, "&gt;"&amp;E364)+1)</f>
        <v>N/A</v>
      </c>
    </row>
    <row r="365" spans="1:7" x14ac:dyDescent="0.3">
      <c r="A365" t="str">
        <v>Riki</v>
      </c>
      <c r="B365" t="str">
        <v>Off Lane</v>
      </c>
      <c r="C365">
        <f>COUNTIFS([3]!players[hero_name], A365,
[3]!players[lane_name], B365)</f>
        <v>3</v>
      </c>
      <c r="D365">
        <f>COUNTIFS([3]!players[hero_name], A365,
[3]!players[lane_name], B365,
[3]!players[win], 1)</f>
        <v>2</v>
      </c>
      <c r="E365" s="11">
        <f>D365/C365</f>
        <v>0.66666666666666663</v>
      </c>
      <c r="F365" t="str">
        <f>IF(C365&gt;=10, "Yes", "No")</f>
        <v>No</v>
      </c>
      <c r="G365" t="str">
        <f>IF(F365="No","N/A",COUNTIFS(B$2:B$409, B365, F$2:F$409, "Yes", E$2:E$409, "&gt;"&amp;E365)+1)</f>
        <v>N/A</v>
      </c>
    </row>
    <row r="366" spans="1:7" x14ac:dyDescent="0.3">
      <c r="A366" t="str">
        <v>Ringmaster</v>
      </c>
      <c r="B366" t="str">
        <v>Soft Support</v>
      </c>
      <c r="C366">
        <f>COUNTIFS([3]!players[hero_name], A366,
[3]!players[lane_name], B366)</f>
        <v>109</v>
      </c>
      <c r="D366">
        <f>COUNTIFS([3]!players[hero_name], A366,
[3]!players[lane_name], B366,
[3]!players[win], 1)</f>
        <v>52</v>
      </c>
      <c r="E366" s="11">
        <f>D366/C366</f>
        <v>0.47706422018348627</v>
      </c>
      <c r="F366" t="str">
        <f>IF(C366&gt;=10, "Yes", "No")</f>
        <v>Yes</v>
      </c>
      <c r="G366">
        <f>IF(F366="No","N/A",COUNTIFS(B$2:B$409, B366, F$2:F$409, "Yes", E$2:E$409, "&gt;"&amp;E366)+1)</f>
        <v>29</v>
      </c>
    </row>
    <row r="367" spans="1:7" x14ac:dyDescent="0.3">
      <c r="A367" t="str">
        <v>Ringmaster</v>
      </c>
      <c r="B367" t="str">
        <v>Hard Support</v>
      </c>
      <c r="C367">
        <f>COUNTIFS([3]!players[hero_name], A367,
[3]!players[lane_name], B367)</f>
        <v>113</v>
      </c>
      <c r="D367">
        <f>COUNTIFS([3]!players[hero_name], A367,
[3]!players[lane_name], B367,
[3]!players[win], 1)</f>
        <v>48</v>
      </c>
      <c r="E367" s="11">
        <f>D367/C367</f>
        <v>0.4247787610619469</v>
      </c>
      <c r="F367" t="str">
        <f>IF(C367&gt;=10, "Yes", "No")</f>
        <v>Yes</v>
      </c>
      <c r="G367">
        <f>IF(F367="No","N/A",COUNTIFS(B$2:B$409, B367, F$2:F$409, "Yes", E$2:E$409, "&gt;"&amp;E367)+1)</f>
        <v>31</v>
      </c>
    </row>
    <row r="368" spans="1:7" x14ac:dyDescent="0.3">
      <c r="A368" t="str">
        <v>Ringmaster</v>
      </c>
      <c r="B368" t="str">
        <v>Roam</v>
      </c>
      <c r="C368">
        <f>COUNTIFS([3]!players[hero_name], A368,
[3]!players[lane_name], B368)</f>
        <v>49</v>
      </c>
      <c r="D368">
        <f>COUNTIFS([3]!players[hero_name], A368,
[3]!players[lane_name], B368,
[3]!players[win], 1)</f>
        <v>23</v>
      </c>
      <c r="E368" s="11">
        <f>D368/C368</f>
        <v>0.46938775510204084</v>
      </c>
      <c r="F368" t="str">
        <f>IF(C368&gt;=10, "Yes", "No")</f>
        <v>Yes</v>
      </c>
      <c r="G368">
        <f>IF(F368="No","N/A",COUNTIFS(B$2:B$409, B368, F$2:F$409, "Yes", E$2:E$409, "&gt;"&amp;E368)+1)</f>
        <v>18</v>
      </c>
    </row>
    <row r="369" spans="1:7" x14ac:dyDescent="0.3">
      <c r="A369" t="str">
        <v>Ringmaster</v>
      </c>
      <c r="B369" t="str">
        <v>Carry</v>
      </c>
      <c r="C369">
        <f>COUNTIFS([3]!players[hero_name], A369,
[3]!players[lane_name], B369)</f>
        <v>1</v>
      </c>
      <c r="D369">
        <f>COUNTIFS([3]!players[hero_name], A369,
[3]!players[lane_name], B369,
[3]!players[win], 1)</f>
        <v>0</v>
      </c>
      <c r="E369" s="11">
        <f>D369/C369</f>
        <v>0</v>
      </c>
      <c r="F369" t="str">
        <f>IF(C369&gt;=10, "Yes", "No")</f>
        <v>No</v>
      </c>
      <c r="G369" t="str">
        <f>IF(F369="No","N/A",COUNTIFS(B$2:B$409, B369, F$2:F$409, "Yes", E$2:E$409, "&gt;"&amp;E369)+1)</f>
        <v>N/A</v>
      </c>
    </row>
    <row r="370" spans="1:7" x14ac:dyDescent="0.3">
      <c r="A370" t="str">
        <v>Rubick</v>
      </c>
      <c r="B370" t="str">
        <v>Hard Support</v>
      </c>
      <c r="C370">
        <f>COUNTIFS([3]!players[hero_name], A370,
[3]!players[lane_name], B370)</f>
        <v>310</v>
      </c>
      <c r="D370">
        <f>COUNTIFS([3]!players[hero_name], A370,
[3]!players[lane_name], B370,
[3]!players[win], 1)</f>
        <v>156</v>
      </c>
      <c r="E370" s="11">
        <f>D370/C370</f>
        <v>0.50322580645161286</v>
      </c>
      <c r="F370" t="str">
        <f>IF(C370&gt;=10, "Yes", "No")</f>
        <v>Yes</v>
      </c>
      <c r="G370">
        <f>IF(F370="No","N/A",COUNTIFS(B$2:B$409, B370, F$2:F$409, "Yes", E$2:E$409, "&gt;"&amp;E370)+1)</f>
        <v>18</v>
      </c>
    </row>
    <row r="371" spans="1:7" x14ac:dyDescent="0.3">
      <c r="A371" t="str">
        <v>Rubick</v>
      </c>
      <c r="B371" t="str">
        <v>Soft Support</v>
      </c>
      <c r="C371">
        <f>COUNTIFS([3]!players[hero_name], A371,
[3]!players[lane_name], B371)</f>
        <v>482</v>
      </c>
      <c r="D371">
        <f>COUNTIFS([3]!players[hero_name], A371,
[3]!players[lane_name], B371,
[3]!players[win], 1)</f>
        <v>238</v>
      </c>
      <c r="E371" s="11">
        <f>D371/C371</f>
        <v>0.49377593360995853</v>
      </c>
      <c r="F371" t="str">
        <f>IF(C371&gt;=10, "Yes", "No")</f>
        <v>Yes</v>
      </c>
      <c r="G371">
        <f>IF(F371="No","N/A",COUNTIFS(B$2:B$409, B371, F$2:F$409, "Yes", E$2:E$409, "&gt;"&amp;E371)+1)</f>
        <v>25</v>
      </c>
    </row>
    <row r="372" spans="1:7" x14ac:dyDescent="0.3">
      <c r="A372" t="str">
        <v>Rubick</v>
      </c>
      <c r="B372" t="str">
        <v>Mid</v>
      </c>
      <c r="C372">
        <f>COUNTIFS([3]!players[hero_name], A372,
[3]!players[lane_name], B372)</f>
        <v>126</v>
      </c>
      <c r="D372">
        <f>COUNTIFS([3]!players[hero_name], A372,
[3]!players[lane_name], B372,
[3]!players[win], 1)</f>
        <v>76</v>
      </c>
      <c r="E372" s="11">
        <f>D372/C372</f>
        <v>0.60317460317460314</v>
      </c>
      <c r="F372" t="str">
        <f>IF(C372&gt;=10, "Yes", "No")</f>
        <v>Yes</v>
      </c>
      <c r="G372">
        <f>IF(F372="No","N/A",COUNTIFS(B$2:B$409, B372, F$2:F$409, "Yes", E$2:E$409, "&gt;"&amp;E372)+1)</f>
        <v>6</v>
      </c>
    </row>
    <row r="373" spans="1:7" x14ac:dyDescent="0.3">
      <c r="A373" t="str">
        <v>Rubick</v>
      </c>
      <c r="B373" t="str">
        <v>Roam</v>
      </c>
      <c r="C373">
        <f>COUNTIFS([3]!players[hero_name], A373,
[3]!players[lane_name], B373)</f>
        <v>133</v>
      </c>
      <c r="D373">
        <f>COUNTIFS([3]!players[hero_name], A373,
[3]!players[lane_name], B373,
[3]!players[win], 1)</f>
        <v>66</v>
      </c>
      <c r="E373" s="11">
        <f>D373/C373</f>
        <v>0.49624060150375937</v>
      </c>
      <c r="F373" t="str">
        <f>IF(C373&gt;=10, "Yes", "No")</f>
        <v>Yes</v>
      </c>
      <c r="G373">
        <f>IF(F373="No","N/A",COUNTIFS(B$2:B$409, B373, F$2:F$409, "Yes", E$2:E$409, "&gt;"&amp;E373)+1)</f>
        <v>14</v>
      </c>
    </row>
    <row r="374" spans="1:7" x14ac:dyDescent="0.3">
      <c r="A374" t="str">
        <v>Rubick</v>
      </c>
      <c r="B374" t="str">
        <v>Off Lane</v>
      </c>
      <c r="C374">
        <f>COUNTIFS([3]!players[hero_name], A374,
[3]!players[lane_name], B374)</f>
        <v>16</v>
      </c>
      <c r="D374">
        <f>COUNTIFS([3]!players[hero_name], A374,
[3]!players[lane_name], B374,
[3]!players[win], 1)</f>
        <v>9</v>
      </c>
      <c r="E374" s="11">
        <f>D374/C374</f>
        <v>0.5625</v>
      </c>
      <c r="F374" t="str">
        <f>IF(C374&gt;=10, "Yes", "No")</f>
        <v>Yes</v>
      </c>
      <c r="G374">
        <f>IF(F374="No","N/A",COUNTIFS(B$2:B$409, B374, F$2:F$409, "Yes", E$2:E$409, "&gt;"&amp;E374)+1)</f>
        <v>9</v>
      </c>
    </row>
    <row r="375" spans="1:7" x14ac:dyDescent="0.3">
      <c r="A375" t="str">
        <v>Rubick</v>
      </c>
      <c r="B375" t="str">
        <v>Carry</v>
      </c>
      <c r="C375">
        <f>COUNTIFS([3]!players[hero_name], A375,
[3]!players[lane_name], B375)</f>
        <v>3</v>
      </c>
      <c r="D375">
        <f>COUNTIFS([3]!players[hero_name], A375,
[3]!players[lane_name], B375,
[3]!players[win], 1)</f>
        <v>2</v>
      </c>
      <c r="E375" s="11">
        <f>D375/C375</f>
        <v>0.66666666666666663</v>
      </c>
      <c r="F375" t="str">
        <f>IF(C375&gt;=10, "Yes", "No")</f>
        <v>No</v>
      </c>
      <c r="G375" t="str">
        <f>IF(F375="No","N/A",COUNTIFS(B$2:B$409, B375, F$2:F$409, "Yes", E$2:E$409, "&gt;"&amp;E375)+1)</f>
        <v>N/A</v>
      </c>
    </row>
    <row r="376" spans="1:7" x14ac:dyDescent="0.3">
      <c r="A376" t="str">
        <v>Sand King</v>
      </c>
      <c r="B376" t="str">
        <v>Off Lane</v>
      </c>
      <c r="C376">
        <f>COUNTIFS([3]!players[hero_name], A376,
[3]!players[lane_name], B376)</f>
        <v>71</v>
      </c>
      <c r="D376">
        <f>COUNTIFS([3]!players[hero_name], A376,
[3]!players[lane_name], B376,
[3]!players[win], 1)</f>
        <v>29</v>
      </c>
      <c r="E376" s="11">
        <f>D376/C376</f>
        <v>0.40845070422535212</v>
      </c>
      <c r="F376" t="str">
        <f>IF(C376&gt;=10, "Yes", "No")</f>
        <v>Yes</v>
      </c>
      <c r="G376">
        <f>IF(F376="No","N/A",COUNTIFS(B$2:B$409, B376, F$2:F$409, "Yes", E$2:E$409, "&gt;"&amp;E376)+1)</f>
        <v>34</v>
      </c>
    </row>
    <row r="377" spans="1:7" x14ac:dyDescent="0.3">
      <c r="A377" t="str">
        <v>Sand King</v>
      </c>
      <c r="B377" t="str">
        <v>Mid</v>
      </c>
      <c r="C377">
        <f>COUNTIFS([3]!players[hero_name], A377,
[3]!players[lane_name], B377)</f>
        <v>175</v>
      </c>
      <c r="D377">
        <f>COUNTIFS([3]!players[hero_name], A377,
[3]!players[lane_name], B377,
[3]!players[win], 1)</f>
        <v>84</v>
      </c>
      <c r="E377" s="11">
        <f>D377/C377</f>
        <v>0.48</v>
      </c>
      <c r="F377" t="str">
        <f>IF(C377&gt;=10, "Yes", "No")</f>
        <v>Yes</v>
      </c>
      <c r="G377">
        <f>IF(F377="No","N/A",COUNTIFS(B$2:B$409, B377, F$2:F$409, "Yes", E$2:E$409, "&gt;"&amp;E377)+1)</f>
        <v>27</v>
      </c>
    </row>
    <row r="378" spans="1:7" x14ac:dyDescent="0.3">
      <c r="A378" t="str">
        <v>Sand King</v>
      </c>
      <c r="B378" t="str">
        <v>Carry</v>
      </c>
      <c r="C378">
        <f>COUNTIFS([3]!players[hero_name], A378,
[3]!players[lane_name], B378)</f>
        <v>1</v>
      </c>
      <c r="D378">
        <f>COUNTIFS([3]!players[hero_name], A378,
[3]!players[lane_name], B378,
[3]!players[win], 1)</f>
        <v>0</v>
      </c>
      <c r="E378" s="11">
        <f>D378/C378</f>
        <v>0</v>
      </c>
      <c r="F378" t="str">
        <f>IF(C378&gt;=10, "Yes", "No")</f>
        <v>No</v>
      </c>
      <c r="G378" t="str">
        <f>IF(F378="No","N/A",COUNTIFS(B$2:B$409, B378, F$2:F$409, "Yes", E$2:E$409, "&gt;"&amp;E378)+1)</f>
        <v>N/A</v>
      </c>
    </row>
    <row r="379" spans="1:7" x14ac:dyDescent="0.3">
      <c r="A379" t="str">
        <v>Sand King</v>
      </c>
      <c r="B379" t="str">
        <v>Hard Support</v>
      </c>
      <c r="C379">
        <f>COUNTIFS([3]!players[hero_name], A379,
[3]!players[lane_name], B379)</f>
        <v>1</v>
      </c>
      <c r="D379">
        <f>COUNTIFS([3]!players[hero_name], A379,
[3]!players[lane_name], B379,
[3]!players[win], 1)</f>
        <v>0</v>
      </c>
      <c r="E379" s="11">
        <f>D379/C379</f>
        <v>0</v>
      </c>
      <c r="F379" t="str">
        <f>IF(C379&gt;=10, "Yes", "No")</f>
        <v>No</v>
      </c>
      <c r="G379" t="str">
        <f>IF(F379="No","N/A",COUNTIFS(B$2:B$409, B379, F$2:F$409, "Yes", E$2:E$409, "&gt;"&amp;E379)+1)</f>
        <v>N/A</v>
      </c>
    </row>
    <row r="380" spans="1:7" x14ac:dyDescent="0.3">
      <c r="A380" t="str">
        <v>Sand King</v>
      </c>
      <c r="B380" t="str">
        <v>Soft Support</v>
      </c>
      <c r="C380">
        <f>COUNTIFS([3]!players[hero_name], A380,
[3]!players[lane_name], B380)</f>
        <v>2</v>
      </c>
      <c r="D380">
        <f>COUNTIFS([3]!players[hero_name], A380,
[3]!players[lane_name], B380,
[3]!players[win], 1)</f>
        <v>1</v>
      </c>
      <c r="E380" s="11">
        <f>D380/C380</f>
        <v>0.5</v>
      </c>
      <c r="F380" t="str">
        <f>IF(C380&gt;=10, "Yes", "No")</f>
        <v>No</v>
      </c>
      <c r="G380" t="str">
        <f>IF(F380="No","N/A",COUNTIFS(B$2:B$409, B380, F$2:F$409, "Yes", E$2:E$409, "&gt;"&amp;E380)+1)</f>
        <v>N/A</v>
      </c>
    </row>
    <row r="381" spans="1:7" x14ac:dyDescent="0.3">
      <c r="A381" t="str">
        <v>Shadow Demon</v>
      </c>
      <c r="B381" t="str">
        <v>Soft Support</v>
      </c>
      <c r="C381">
        <f>COUNTIFS([3]!players[hero_name], A381,
[3]!players[lane_name], B381)</f>
        <v>114</v>
      </c>
      <c r="D381">
        <f>COUNTIFS([3]!players[hero_name], A381,
[3]!players[lane_name], B381,
[3]!players[win], 1)</f>
        <v>45</v>
      </c>
      <c r="E381" s="11">
        <f>D381/C381</f>
        <v>0.39473684210526316</v>
      </c>
      <c r="F381" t="str">
        <f>IF(C381&gt;=10, "Yes", "No")</f>
        <v>Yes</v>
      </c>
      <c r="G381">
        <f>IF(F381="No","N/A",COUNTIFS(B$2:B$409, B381, F$2:F$409, "Yes", E$2:E$409, "&gt;"&amp;E381)+1)</f>
        <v>36</v>
      </c>
    </row>
    <row r="382" spans="1:7" x14ac:dyDescent="0.3">
      <c r="A382" t="str">
        <v>Shadow Demon</v>
      </c>
      <c r="B382" t="str">
        <v>Off Lane</v>
      </c>
      <c r="C382">
        <f>COUNTIFS([3]!players[hero_name], A382,
[3]!players[lane_name], B382)</f>
        <v>3</v>
      </c>
      <c r="D382">
        <f>COUNTIFS([3]!players[hero_name], A382,
[3]!players[lane_name], B382,
[3]!players[win], 1)</f>
        <v>0</v>
      </c>
      <c r="E382" s="11">
        <f>D382/C382</f>
        <v>0</v>
      </c>
      <c r="F382" t="str">
        <f>IF(C382&gt;=10, "Yes", "No")</f>
        <v>No</v>
      </c>
      <c r="G382" t="str">
        <f>IF(F382="No","N/A",COUNTIFS(B$2:B$409, B382, F$2:F$409, "Yes", E$2:E$409, "&gt;"&amp;E382)+1)</f>
        <v>N/A</v>
      </c>
    </row>
    <row r="383" spans="1:7" x14ac:dyDescent="0.3">
      <c r="A383" t="str">
        <v>Shadow Demon</v>
      </c>
      <c r="B383" t="str">
        <v>Roam</v>
      </c>
      <c r="C383">
        <f>COUNTIFS([3]!players[hero_name], A383,
[3]!players[lane_name], B383)</f>
        <v>50</v>
      </c>
      <c r="D383">
        <f>COUNTIFS([3]!players[hero_name], A383,
[3]!players[lane_name], B383,
[3]!players[win], 1)</f>
        <v>24</v>
      </c>
      <c r="E383" s="11">
        <f>D383/C383</f>
        <v>0.48</v>
      </c>
      <c r="F383" t="str">
        <f>IF(C383&gt;=10, "Yes", "No")</f>
        <v>Yes</v>
      </c>
      <c r="G383">
        <f>IF(F383="No","N/A",COUNTIFS(B$2:B$409, B383, F$2:F$409, "Yes", E$2:E$409, "&gt;"&amp;E383)+1)</f>
        <v>16</v>
      </c>
    </row>
    <row r="384" spans="1:7" x14ac:dyDescent="0.3">
      <c r="A384" t="str">
        <v>Shadow Demon</v>
      </c>
      <c r="B384" t="str">
        <v>Hard Support</v>
      </c>
      <c r="C384">
        <f>COUNTIFS([3]!players[hero_name], A384,
[3]!players[lane_name], B384)</f>
        <v>142</v>
      </c>
      <c r="D384">
        <f>COUNTIFS([3]!players[hero_name], A384,
[3]!players[lane_name], B384,
[3]!players[win], 1)</f>
        <v>67</v>
      </c>
      <c r="E384" s="11">
        <f>D384/C384</f>
        <v>0.47183098591549294</v>
      </c>
      <c r="F384" t="str">
        <f>IF(C384&gt;=10, "Yes", "No")</f>
        <v>Yes</v>
      </c>
      <c r="G384">
        <f>IF(F384="No","N/A",COUNTIFS(B$2:B$409, B384, F$2:F$409, "Yes", E$2:E$409, "&gt;"&amp;E384)+1)</f>
        <v>23</v>
      </c>
    </row>
    <row r="385" spans="1:7" x14ac:dyDescent="0.3">
      <c r="A385" t="str">
        <v>Shadow Demon</v>
      </c>
      <c r="B385" t="str">
        <v>Carry</v>
      </c>
      <c r="C385">
        <f>COUNTIFS([3]!players[hero_name], A385,
[3]!players[lane_name], B385)</f>
        <v>1</v>
      </c>
      <c r="D385">
        <f>COUNTIFS([3]!players[hero_name], A385,
[3]!players[lane_name], B385,
[3]!players[win], 1)</f>
        <v>1</v>
      </c>
      <c r="E385" s="11">
        <f>D385/C385</f>
        <v>1</v>
      </c>
      <c r="F385" t="str">
        <f>IF(C385&gt;=10, "Yes", "No")</f>
        <v>No</v>
      </c>
      <c r="G385" t="str">
        <f>IF(F385="No","N/A",COUNTIFS(B$2:B$409, B385, F$2:F$409, "Yes", E$2:E$409, "&gt;"&amp;E385)+1)</f>
        <v>N/A</v>
      </c>
    </row>
    <row r="386" spans="1:7" x14ac:dyDescent="0.3">
      <c r="A386" t="str">
        <v>Shadow Demon</v>
      </c>
      <c r="B386" t="str">
        <v>Mid</v>
      </c>
      <c r="C386">
        <f>COUNTIFS([3]!players[hero_name], A386,
[3]!players[lane_name], B386)</f>
        <v>1</v>
      </c>
      <c r="D386">
        <f>COUNTIFS([3]!players[hero_name], A386,
[3]!players[lane_name], B386,
[3]!players[win], 1)</f>
        <v>0</v>
      </c>
      <c r="E386" s="11">
        <f>D386/C386</f>
        <v>0</v>
      </c>
      <c r="F386" t="str">
        <f>IF(C386&gt;=10, "Yes", "No")</f>
        <v>No</v>
      </c>
      <c r="G386" t="str">
        <f>IF(F386="No","N/A",COUNTIFS(B$2:B$409, B386, F$2:F$409, "Yes", E$2:E$409, "&gt;"&amp;E386)+1)</f>
        <v>N/A</v>
      </c>
    </row>
    <row r="387" spans="1:7" x14ac:dyDescent="0.3">
      <c r="A387" t="str">
        <v>Shadow Fiend</v>
      </c>
      <c r="B387" t="str">
        <v>Mid</v>
      </c>
      <c r="C387">
        <f>COUNTIFS([3]!players[hero_name], A387,
[3]!players[lane_name], B387)</f>
        <v>262</v>
      </c>
      <c r="D387">
        <f>COUNTIFS([3]!players[hero_name], A387,
[3]!players[lane_name], B387,
[3]!players[win], 1)</f>
        <v>120</v>
      </c>
      <c r="E387" s="11">
        <f>D387/C387</f>
        <v>0.4580152671755725</v>
      </c>
      <c r="F387" t="str">
        <f>IF(C387&gt;=10, "Yes", "No")</f>
        <v>Yes</v>
      </c>
      <c r="G387">
        <f>IF(F387="No","N/A",COUNTIFS(B$2:B$409, B387, F$2:F$409, "Yes", E$2:E$409, "&gt;"&amp;E387)+1)</f>
        <v>32</v>
      </c>
    </row>
    <row r="388" spans="1:7" x14ac:dyDescent="0.3">
      <c r="A388" t="str">
        <v>Shadow Fiend</v>
      </c>
      <c r="B388" t="str">
        <v>Carry</v>
      </c>
      <c r="C388">
        <f>COUNTIFS([3]!players[hero_name], A388,
[3]!players[lane_name], B388)</f>
        <v>187</v>
      </c>
      <c r="D388">
        <f>COUNTIFS([3]!players[hero_name], A388,
[3]!players[lane_name], B388,
[3]!players[win], 1)</f>
        <v>83</v>
      </c>
      <c r="E388" s="11">
        <f>D388/C388</f>
        <v>0.44385026737967914</v>
      </c>
      <c r="F388" t="str">
        <f>IF(C388&gt;=10, "Yes", "No")</f>
        <v>Yes</v>
      </c>
      <c r="G388">
        <f>IF(F388="No","N/A",COUNTIFS(B$2:B$409, B388, F$2:F$409, "Yes", E$2:E$409, "&gt;"&amp;E388)+1)</f>
        <v>24</v>
      </c>
    </row>
    <row r="389" spans="1:7" x14ac:dyDescent="0.3">
      <c r="A389" t="str">
        <v>Shadow Fiend</v>
      </c>
      <c r="B389" t="str">
        <v>Off Lane</v>
      </c>
      <c r="C389">
        <f>COUNTIFS([3]!players[hero_name], A389,
[3]!players[lane_name], B389)</f>
        <v>1</v>
      </c>
      <c r="D389">
        <f>COUNTIFS([3]!players[hero_name], A389,
[3]!players[lane_name], B389,
[3]!players[win], 1)</f>
        <v>1</v>
      </c>
      <c r="E389" s="11">
        <f>D389/C389</f>
        <v>1</v>
      </c>
      <c r="F389" t="str">
        <f>IF(C389&gt;=10, "Yes", "No")</f>
        <v>No</v>
      </c>
      <c r="G389" t="str">
        <f>IF(F389="No","N/A",COUNTIFS(B$2:B$409, B389, F$2:F$409, "Yes", E$2:E$409, "&gt;"&amp;E389)+1)</f>
        <v>N/A</v>
      </c>
    </row>
    <row r="390" spans="1:7" x14ac:dyDescent="0.3">
      <c r="A390" t="str">
        <v>Shadow Shaman</v>
      </c>
      <c r="B390" t="str">
        <v>Soft Support</v>
      </c>
      <c r="C390">
        <f>COUNTIFS([3]!players[hero_name], A390,
[3]!players[lane_name], B390)</f>
        <v>92</v>
      </c>
      <c r="D390">
        <f>COUNTIFS([3]!players[hero_name], A390,
[3]!players[lane_name], B390,
[3]!players[win], 1)</f>
        <v>45</v>
      </c>
      <c r="E390" s="11">
        <f>D390/C390</f>
        <v>0.4891304347826087</v>
      </c>
      <c r="F390" t="str">
        <f>IF(C390&gt;=10, "Yes", "No")</f>
        <v>Yes</v>
      </c>
      <c r="G390">
        <f>IF(F390="No","N/A",COUNTIFS(B$2:B$409, B390, F$2:F$409, "Yes", E$2:E$409, "&gt;"&amp;E390)+1)</f>
        <v>28</v>
      </c>
    </row>
    <row r="391" spans="1:7" x14ac:dyDescent="0.3">
      <c r="A391" t="str">
        <v>Shadow Shaman</v>
      </c>
      <c r="B391" t="str">
        <v>Hard Support</v>
      </c>
      <c r="C391">
        <f>COUNTIFS([3]!players[hero_name], A391,
[3]!players[lane_name], B391)</f>
        <v>159</v>
      </c>
      <c r="D391">
        <f>COUNTIFS([3]!players[hero_name], A391,
[3]!players[lane_name], B391,
[3]!players[win], 1)</f>
        <v>82</v>
      </c>
      <c r="E391" s="11">
        <f>D391/C391</f>
        <v>0.51572327044025157</v>
      </c>
      <c r="F391" t="str">
        <f>IF(C391&gt;=10, "Yes", "No")</f>
        <v>Yes</v>
      </c>
      <c r="G391">
        <f>IF(F391="No","N/A",COUNTIFS(B$2:B$409, B391, F$2:F$409, "Yes", E$2:E$409, "&gt;"&amp;E391)+1)</f>
        <v>16</v>
      </c>
    </row>
    <row r="392" spans="1:7" x14ac:dyDescent="0.3">
      <c r="A392" t="str">
        <v>Shadow Shaman</v>
      </c>
      <c r="B392" t="str">
        <v>Roam</v>
      </c>
      <c r="C392">
        <f>COUNTIFS([3]!players[hero_name], A392,
[3]!players[lane_name], B392)</f>
        <v>20</v>
      </c>
      <c r="D392">
        <f>COUNTIFS([3]!players[hero_name], A392,
[3]!players[lane_name], B392,
[3]!players[win], 1)</f>
        <v>14</v>
      </c>
      <c r="E392" s="11">
        <f>D392/C392</f>
        <v>0.7</v>
      </c>
      <c r="F392" t="str">
        <f>IF(C392&gt;=10, "Yes", "No")</f>
        <v>Yes</v>
      </c>
      <c r="G392">
        <f>IF(F392="No","N/A",COUNTIFS(B$2:B$409, B392, F$2:F$409, "Yes", E$2:E$409, "&gt;"&amp;E392)+1)</f>
        <v>2</v>
      </c>
    </row>
    <row r="393" spans="1:7" x14ac:dyDescent="0.3">
      <c r="A393" t="str">
        <v>Shadow Shaman</v>
      </c>
      <c r="B393" t="str">
        <v>Off Lane</v>
      </c>
      <c r="C393">
        <f>COUNTIFS([3]!players[hero_name], A393,
[3]!players[lane_name], B393)</f>
        <v>2</v>
      </c>
      <c r="D393">
        <f>COUNTIFS([3]!players[hero_name], A393,
[3]!players[lane_name], B393,
[3]!players[win], 1)</f>
        <v>1</v>
      </c>
      <c r="E393" s="11">
        <f>D393/C393</f>
        <v>0.5</v>
      </c>
      <c r="F393" t="str">
        <f>IF(C393&gt;=10, "Yes", "No")</f>
        <v>No</v>
      </c>
      <c r="G393" t="str">
        <f>IF(F393="No","N/A",COUNTIFS(B$2:B$409, B393, F$2:F$409, "Yes", E$2:E$409, "&gt;"&amp;E393)+1)</f>
        <v>N/A</v>
      </c>
    </row>
    <row r="394" spans="1:7" x14ac:dyDescent="0.3">
      <c r="A394" t="str">
        <v>Shadow Shaman</v>
      </c>
      <c r="B394" t="str">
        <v>Carry</v>
      </c>
      <c r="C394">
        <f>COUNTIFS([3]!players[hero_name], A394,
[3]!players[lane_name], B394)</f>
        <v>1</v>
      </c>
      <c r="D394">
        <f>COUNTIFS([3]!players[hero_name], A394,
[3]!players[lane_name], B394,
[3]!players[win], 1)</f>
        <v>0</v>
      </c>
      <c r="E394" s="11">
        <f>D394/C394</f>
        <v>0</v>
      </c>
      <c r="F394" t="str">
        <f>IF(C394&gt;=10, "Yes", "No")</f>
        <v>No</v>
      </c>
      <c r="G394" t="str">
        <f>IF(F394="No","N/A",COUNTIFS(B$2:B$409, B394, F$2:F$409, "Yes", E$2:E$409, "&gt;"&amp;E394)+1)</f>
        <v>N/A</v>
      </c>
    </row>
    <row r="395" spans="1:7" x14ac:dyDescent="0.3">
      <c r="A395" t="str">
        <v>Silencer</v>
      </c>
      <c r="B395" t="str">
        <v>Soft Support</v>
      </c>
      <c r="C395">
        <f>COUNTIFS([3]!players[hero_name], A395,
[3]!players[lane_name], B395)</f>
        <v>58</v>
      </c>
      <c r="D395">
        <f>COUNTIFS([3]!players[hero_name], A395,
[3]!players[lane_name], B395,
[3]!players[win], 1)</f>
        <v>30</v>
      </c>
      <c r="E395" s="11">
        <f>D395/C395</f>
        <v>0.51724137931034486</v>
      </c>
      <c r="F395" t="str">
        <f>IF(C395&gt;=10, "Yes", "No")</f>
        <v>Yes</v>
      </c>
      <c r="G395">
        <f>IF(F395="No","N/A",COUNTIFS(B$2:B$409, B395, F$2:F$409, "Yes", E$2:E$409, "&gt;"&amp;E395)+1)</f>
        <v>18</v>
      </c>
    </row>
    <row r="396" spans="1:7" x14ac:dyDescent="0.3">
      <c r="A396" t="str">
        <v>Silencer</v>
      </c>
      <c r="B396" t="str">
        <v>Hard Support</v>
      </c>
      <c r="C396">
        <f>COUNTIFS([3]!players[hero_name], A396,
[3]!players[lane_name], B396)</f>
        <v>97</v>
      </c>
      <c r="D396">
        <f>COUNTIFS([3]!players[hero_name], A396,
[3]!players[lane_name], B396,
[3]!players[win], 1)</f>
        <v>38</v>
      </c>
      <c r="E396" s="11">
        <f>D396/C396</f>
        <v>0.39175257731958762</v>
      </c>
      <c r="F396" t="str">
        <f>IF(C396&gt;=10, "Yes", "No")</f>
        <v>Yes</v>
      </c>
      <c r="G396">
        <f>IF(F396="No","N/A",COUNTIFS(B$2:B$409, B396, F$2:F$409, "Yes", E$2:E$409, "&gt;"&amp;E396)+1)</f>
        <v>33</v>
      </c>
    </row>
    <row r="397" spans="1:7" x14ac:dyDescent="0.3">
      <c r="A397" t="str">
        <v>Silencer</v>
      </c>
      <c r="B397" t="str">
        <v>Roam</v>
      </c>
      <c r="C397">
        <f>COUNTIFS([3]!players[hero_name], A397,
[3]!players[lane_name], B397)</f>
        <v>18</v>
      </c>
      <c r="D397">
        <f>COUNTIFS([3]!players[hero_name], A397,
[3]!players[lane_name], B397,
[3]!players[win], 1)</f>
        <v>13</v>
      </c>
      <c r="E397" s="11">
        <f>D397/C397</f>
        <v>0.72222222222222221</v>
      </c>
      <c r="F397" t="str">
        <f>IF(C397&gt;=10, "Yes", "No")</f>
        <v>Yes</v>
      </c>
      <c r="G397">
        <f>IF(F397="No","N/A",COUNTIFS(B$2:B$409, B397, F$2:F$409, "Yes", E$2:E$409, "&gt;"&amp;E397)+1)</f>
        <v>1</v>
      </c>
    </row>
    <row r="398" spans="1:7" x14ac:dyDescent="0.3">
      <c r="A398" t="str">
        <v>Silencer</v>
      </c>
      <c r="B398" t="str">
        <v>Carry</v>
      </c>
      <c r="C398">
        <f>COUNTIFS([3]!players[hero_name], A398,
[3]!players[lane_name], B398)</f>
        <v>1</v>
      </c>
      <c r="D398">
        <f>COUNTIFS([3]!players[hero_name], A398,
[3]!players[lane_name], B398,
[3]!players[win], 1)</f>
        <v>1</v>
      </c>
      <c r="E398" s="11">
        <f>D398/C398</f>
        <v>1</v>
      </c>
      <c r="F398" t="str">
        <f>IF(C398&gt;=10, "Yes", "No")</f>
        <v>No</v>
      </c>
      <c r="G398" t="str">
        <f>IF(F398="No","N/A",COUNTIFS(B$2:B$409, B398, F$2:F$409, "Yes", E$2:E$409, "&gt;"&amp;E398)+1)</f>
        <v>N/A</v>
      </c>
    </row>
    <row r="399" spans="1:7" x14ac:dyDescent="0.3">
      <c r="A399" t="str">
        <v>Skywrath Mage</v>
      </c>
      <c r="B399" t="str">
        <v>Soft Support</v>
      </c>
      <c r="C399">
        <f>COUNTIFS([3]!players[hero_name], A399,
[3]!players[lane_name], B399)</f>
        <v>136</v>
      </c>
      <c r="D399">
        <f>COUNTIFS([3]!players[hero_name], A399,
[3]!players[lane_name], B399,
[3]!players[win], 1)</f>
        <v>70</v>
      </c>
      <c r="E399" s="11">
        <f>D399/C399</f>
        <v>0.51470588235294112</v>
      </c>
      <c r="F399" t="str">
        <f>IF(C399&gt;=10, "Yes", "No")</f>
        <v>Yes</v>
      </c>
      <c r="G399">
        <f>IF(F399="No","N/A",COUNTIFS(B$2:B$409, B399, F$2:F$409, "Yes", E$2:E$409, "&gt;"&amp;E399)+1)</f>
        <v>19</v>
      </c>
    </row>
    <row r="400" spans="1:7" x14ac:dyDescent="0.3">
      <c r="A400" t="str">
        <v>Skywrath Mage</v>
      </c>
      <c r="B400" t="str">
        <v>Hard Support</v>
      </c>
      <c r="C400">
        <f>COUNTIFS([3]!players[hero_name], A400,
[3]!players[lane_name], B400)</f>
        <v>81</v>
      </c>
      <c r="D400">
        <f>COUNTIFS([3]!players[hero_name], A400,
[3]!players[lane_name], B400,
[3]!players[win], 1)</f>
        <v>37</v>
      </c>
      <c r="E400" s="11">
        <f>D400/C400</f>
        <v>0.4567901234567901</v>
      </c>
      <c r="F400" t="str">
        <f>IF(C400&gt;=10, "Yes", "No")</f>
        <v>Yes</v>
      </c>
      <c r="G400">
        <f>IF(F400="No","N/A",COUNTIFS(B$2:B$409, B400, F$2:F$409, "Yes", E$2:E$409, "&gt;"&amp;E400)+1)</f>
        <v>24</v>
      </c>
    </row>
    <row r="401" spans="1:7" x14ac:dyDescent="0.3">
      <c r="A401" t="str">
        <v>Skywrath Mage</v>
      </c>
      <c r="B401" t="str">
        <v>Roam</v>
      </c>
      <c r="C401">
        <f>COUNTIFS([3]!players[hero_name], A401,
[3]!players[lane_name], B401)</f>
        <v>18</v>
      </c>
      <c r="D401">
        <f>COUNTIFS([3]!players[hero_name], A401,
[3]!players[lane_name], B401,
[3]!players[win], 1)</f>
        <v>7</v>
      </c>
      <c r="E401" s="11">
        <f>D401/C401</f>
        <v>0.3888888888888889</v>
      </c>
      <c r="F401" t="str">
        <f>IF(C401&gt;=10, "Yes", "No")</f>
        <v>Yes</v>
      </c>
      <c r="G401">
        <f>IF(F401="No","N/A",COUNTIFS(B$2:B$409, B401, F$2:F$409, "Yes", E$2:E$409, "&gt;"&amp;E401)+1)</f>
        <v>23</v>
      </c>
    </row>
    <row r="402" spans="1:7" x14ac:dyDescent="0.3">
      <c r="A402" t="str">
        <v>Skywrath Mage</v>
      </c>
      <c r="B402" t="str">
        <v>Mid</v>
      </c>
      <c r="C402">
        <f>COUNTIFS([3]!players[hero_name], A402,
[3]!players[lane_name], B402)</f>
        <v>7</v>
      </c>
      <c r="D402">
        <f>COUNTIFS([3]!players[hero_name], A402,
[3]!players[lane_name], B402,
[3]!players[win], 1)</f>
        <v>3</v>
      </c>
      <c r="E402" s="11">
        <f>D402/C402</f>
        <v>0.42857142857142855</v>
      </c>
      <c r="F402" t="str">
        <f>IF(C402&gt;=10, "Yes", "No")</f>
        <v>No</v>
      </c>
      <c r="G402" t="str">
        <f>IF(F402="No","N/A",COUNTIFS(B$2:B$409, B402, F$2:F$409, "Yes", E$2:E$409, "&gt;"&amp;E402)+1)</f>
        <v>N/A</v>
      </c>
    </row>
    <row r="403" spans="1:7" x14ac:dyDescent="0.3">
      <c r="A403" t="str">
        <v>Skywrath Mage</v>
      </c>
      <c r="B403" t="str">
        <v>Off Lane</v>
      </c>
      <c r="C403">
        <f>COUNTIFS([3]!players[hero_name], A403,
[3]!players[lane_name], B403)</f>
        <v>3</v>
      </c>
      <c r="D403">
        <f>COUNTIFS([3]!players[hero_name], A403,
[3]!players[lane_name], B403,
[3]!players[win], 1)</f>
        <v>1</v>
      </c>
      <c r="E403" s="11">
        <f>D403/C403</f>
        <v>0.33333333333333331</v>
      </c>
      <c r="F403" t="str">
        <f>IF(C403&gt;=10, "Yes", "No")</f>
        <v>No</v>
      </c>
      <c r="G403" t="str">
        <f>IF(F403="No","N/A",COUNTIFS(B$2:B$409, B403, F$2:F$409, "Yes", E$2:E$409, "&gt;"&amp;E403)+1)</f>
        <v>N/A</v>
      </c>
    </row>
    <row r="404" spans="1:7" x14ac:dyDescent="0.3">
      <c r="A404" t="str">
        <v>Slardar</v>
      </c>
      <c r="B404" t="str">
        <v>Off Lane</v>
      </c>
      <c r="C404">
        <f>COUNTIFS([3]!players[hero_name], A404,
[3]!players[lane_name], B404)</f>
        <v>310</v>
      </c>
      <c r="D404">
        <f>COUNTIFS([3]!players[hero_name], A404,
[3]!players[lane_name], B404,
[3]!players[win], 1)</f>
        <v>176</v>
      </c>
      <c r="E404" s="11">
        <f>D404/C404</f>
        <v>0.56774193548387097</v>
      </c>
      <c r="F404" t="str">
        <f>IF(C404&gt;=10, "Yes", "No")</f>
        <v>Yes</v>
      </c>
      <c r="G404">
        <f>IF(F404="No","N/A",COUNTIFS(B$2:B$409, B404, F$2:F$409, "Yes", E$2:E$409, "&gt;"&amp;E404)+1)</f>
        <v>8</v>
      </c>
    </row>
    <row r="405" spans="1:7" x14ac:dyDescent="0.3">
      <c r="A405" t="str">
        <v>Slardar</v>
      </c>
      <c r="B405" t="str">
        <v>Mid</v>
      </c>
      <c r="C405">
        <f>COUNTIFS([3]!players[hero_name], A405,
[3]!players[lane_name], B405)</f>
        <v>100</v>
      </c>
      <c r="D405">
        <f>COUNTIFS([3]!players[hero_name], A405,
[3]!players[lane_name], B405,
[3]!players[win], 1)</f>
        <v>53</v>
      </c>
      <c r="E405" s="11">
        <f>D405/C405</f>
        <v>0.53</v>
      </c>
      <c r="F405" t="str">
        <f>IF(C405&gt;=10, "Yes", "No")</f>
        <v>Yes</v>
      </c>
      <c r="G405">
        <f>IF(F405="No","N/A",COUNTIFS(B$2:B$409, B405, F$2:F$409, "Yes", E$2:E$409, "&gt;"&amp;E405)+1)</f>
        <v>16</v>
      </c>
    </row>
    <row r="406" spans="1:7" x14ac:dyDescent="0.3">
      <c r="A406" t="str">
        <v>Slardar</v>
      </c>
      <c r="B406" t="str">
        <v>Carry</v>
      </c>
      <c r="C406">
        <f>COUNTIFS([3]!players[hero_name], A406,
[3]!players[lane_name], B406)</f>
        <v>2</v>
      </c>
      <c r="D406">
        <f>COUNTIFS([3]!players[hero_name], A406,
[3]!players[lane_name], B406,
[3]!players[win], 1)</f>
        <v>1</v>
      </c>
      <c r="E406" s="11">
        <f>D406/C406</f>
        <v>0.5</v>
      </c>
      <c r="F406" t="str">
        <f>IF(C406&gt;=10, "Yes", "No")</f>
        <v>No</v>
      </c>
      <c r="G406" t="str">
        <f>IF(F406="No","N/A",COUNTIFS(B$2:B$409, B406, F$2:F$409, "Yes", E$2:E$409, "&gt;"&amp;E406)+1)</f>
        <v>N/A</v>
      </c>
    </row>
    <row r="407" spans="1:7" x14ac:dyDescent="0.3">
      <c r="A407" t="str">
        <v>Slardar</v>
      </c>
      <c r="B407" t="str">
        <v>Soft Support</v>
      </c>
      <c r="C407">
        <f>COUNTIFS([3]!players[hero_name], A407,
[3]!players[lane_name], B407)</f>
        <v>21</v>
      </c>
      <c r="D407">
        <f>COUNTIFS([3]!players[hero_name], A407,
[3]!players[lane_name], B407,
[3]!players[win], 1)</f>
        <v>9</v>
      </c>
      <c r="E407" s="11">
        <f>D407/C407</f>
        <v>0.42857142857142855</v>
      </c>
      <c r="F407" t="str">
        <f>IF(C407&gt;=10, "Yes", "No")</f>
        <v>Yes</v>
      </c>
      <c r="G407">
        <f>IF(F407="No","N/A",COUNTIFS(B$2:B$409, B407, F$2:F$409, "Yes", E$2:E$409, "&gt;"&amp;E407)+1)</f>
        <v>34</v>
      </c>
    </row>
    <row r="408" spans="1:7" x14ac:dyDescent="0.3">
      <c r="A408" t="str">
        <v>Slardar</v>
      </c>
      <c r="B408" t="str">
        <v>Hard Support</v>
      </c>
      <c r="C408">
        <f>COUNTIFS([3]!players[hero_name], A408,
[3]!players[lane_name], B408)</f>
        <v>2</v>
      </c>
      <c r="D408">
        <f>COUNTIFS([3]!players[hero_name], A408,
[3]!players[lane_name], B408,
[3]!players[win], 1)</f>
        <v>0</v>
      </c>
      <c r="E408" s="11">
        <f>D408/C408</f>
        <v>0</v>
      </c>
      <c r="F408" t="str">
        <f>IF(C408&gt;=10, "Yes", "No")</f>
        <v>No</v>
      </c>
      <c r="G408" t="str">
        <f>IF(F408="No","N/A",COUNTIFS(B$2:B$409, B408, F$2:F$409, "Yes", E$2:E$409, "&gt;"&amp;E408)+1)</f>
        <v>N/A</v>
      </c>
    </row>
    <row r="409" spans="1:7" x14ac:dyDescent="0.3">
      <c r="A409" t="str">
        <v>Slark</v>
      </c>
      <c r="B409" t="str">
        <v>Carry</v>
      </c>
      <c r="C409">
        <f>COUNTIFS([3]!players[hero_name], A409,
[3]!players[lane_name], B409)</f>
        <v>151</v>
      </c>
      <c r="D409">
        <f>COUNTIFS([3]!players[hero_name], A409,
[3]!players[lane_name], B409,
[3]!players[win], 1)</f>
        <v>76</v>
      </c>
      <c r="E409" s="11">
        <f>D409/C409</f>
        <v>0.50331125827814571</v>
      </c>
      <c r="F409" t="str">
        <f>IF(C409&gt;=10, "Yes", "No")</f>
        <v>Yes</v>
      </c>
      <c r="G409">
        <f>IF(F409="No","N/A",COUNTIFS(B$2:B$409, B409, F$2:F$409, "Yes", E$2:E$409, "&gt;"&amp;E409)+1)</f>
        <v>17</v>
      </c>
    </row>
    <row r="410" spans="1:7" x14ac:dyDescent="0.3">
      <c r="A410" t="str">
        <v>Slark</v>
      </c>
      <c r="B410" t="str">
        <v>Mid</v>
      </c>
      <c r="C410">
        <f>COUNTIFS([3]!players[hero_name], A410,
[3]!players[lane_name], B410)</f>
        <v>7</v>
      </c>
      <c r="D410">
        <f>COUNTIFS([3]!players[hero_name], A410,
[3]!players[lane_name], B410,
[3]!players[win], 1)</f>
        <v>3</v>
      </c>
      <c r="E410" s="11">
        <f>D410/C410</f>
        <v>0.42857142857142855</v>
      </c>
      <c r="F410" t="str">
        <f>IF(C410&gt;=10, "Yes", "No")</f>
        <v>No</v>
      </c>
      <c r="G410" t="str">
        <f>IF(F410="No","N/A",COUNTIFS(B$2:B$409, B410, F$2:F$409, "Yes", E$2:E$409, "&gt;"&amp;E410)+1)</f>
        <v>N/A</v>
      </c>
    </row>
    <row r="411" spans="1:7" x14ac:dyDescent="0.3">
      <c r="A411" t="str">
        <v>Slark</v>
      </c>
      <c r="B411" t="str">
        <v>Soft Support</v>
      </c>
      <c r="C411">
        <f>COUNTIFS([3]!players[hero_name], A411,
[3]!players[lane_name], B411)</f>
        <v>3</v>
      </c>
      <c r="D411">
        <f>COUNTIFS([3]!players[hero_name], A411,
[3]!players[lane_name], B411,
[3]!players[win], 1)</f>
        <v>1</v>
      </c>
      <c r="E411" s="11">
        <f>D411/C411</f>
        <v>0.33333333333333331</v>
      </c>
      <c r="F411" t="str">
        <f>IF(C411&gt;=10, "Yes", "No")</f>
        <v>No</v>
      </c>
      <c r="G411" t="str">
        <f>IF(F411="No","N/A",COUNTIFS(B$2:B$409, B411, F$2:F$409, "Yes", E$2:E$409, "&gt;"&amp;E411)+1)</f>
        <v>N/A</v>
      </c>
    </row>
    <row r="412" spans="1:7" x14ac:dyDescent="0.3">
      <c r="A412" t="str">
        <v>Slark</v>
      </c>
      <c r="B412" t="str">
        <v>Off Lane</v>
      </c>
      <c r="C412">
        <f>COUNTIFS([3]!players[hero_name], A412,
[3]!players[lane_name], B412)</f>
        <v>1</v>
      </c>
      <c r="D412">
        <f>COUNTIFS([3]!players[hero_name], A412,
[3]!players[lane_name], B412,
[3]!players[win], 1)</f>
        <v>1</v>
      </c>
      <c r="E412" s="11">
        <f>D412/C412</f>
        <v>1</v>
      </c>
      <c r="F412" t="str">
        <f>IF(C412&gt;=10, "Yes", "No")</f>
        <v>No</v>
      </c>
      <c r="G412" t="str">
        <f>IF(F412="No","N/A",COUNTIFS(B$2:B$409, B412, F$2:F$409, "Yes", E$2:E$409, "&gt;"&amp;E412)+1)</f>
        <v>N/A</v>
      </c>
    </row>
    <row r="413" spans="1:7" x14ac:dyDescent="0.3">
      <c r="A413" t="str">
        <v>Snapfire</v>
      </c>
      <c r="B413" t="str">
        <v>Soft Support</v>
      </c>
      <c r="C413">
        <f>COUNTIFS([3]!players[hero_name], A413,
[3]!players[lane_name], B413)</f>
        <v>91</v>
      </c>
      <c r="D413">
        <f>COUNTIFS([3]!players[hero_name], A413,
[3]!players[lane_name], B413,
[3]!players[win], 1)</f>
        <v>39</v>
      </c>
      <c r="E413" s="11">
        <f>D413/C413</f>
        <v>0.42857142857142855</v>
      </c>
      <c r="F413" t="str">
        <f>IF(C413&gt;=10, "Yes", "No")</f>
        <v>Yes</v>
      </c>
      <c r="G413">
        <f>IF(F413="No","N/A",COUNTIFS(B$2:B$409, B413, F$2:F$409, "Yes", E$2:E$409, "&gt;"&amp;E413)+1)</f>
        <v>34</v>
      </c>
    </row>
    <row r="414" spans="1:7" x14ac:dyDescent="0.3">
      <c r="A414" t="str">
        <v>Snapfire</v>
      </c>
      <c r="B414" t="str">
        <v>Hard Support</v>
      </c>
      <c r="C414">
        <f>COUNTIFS([3]!players[hero_name], A414,
[3]!players[lane_name], B414)</f>
        <v>64</v>
      </c>
      <c r="D414">
        <f>COUNTIFS([3]!players[hero_name], A414,
[3]!players[lane_name], B414,
[3]!players[win], 1)</f>
        <v>31</v>
      </c>
      <c r="E414" s="11">
        <f>D414/C414</f>
        <v>0.484375</v>
      </c>
      <c r="F414" t="str">
        <f>IF(C414&gt;=10, "Yes", "No")</f>
        <v>Yes</v>
      </c>
      <c r="G414">
        <f>IF(F414="No","N/A",COUNTIFS(B$2:B$409, B414, F$2:F$409, "Yes", E$2:E$409, "&gt;"&amp;E414)+1)</f>
        <v>22</v>
      </c>
    </row>
    <row r="415" spans="1:7" x14ac:dyDescent="0.3">
      <c r="A415" t="str">
        <v>Snapfire</v>
      </c>
      <c r="B415" t="str">
        <v>Off Lane</v>
      </c>
      <c r="C415">
        <f>COUNTIFS([3]!players[hero_name], A415,
[3]!players[lane_name], B415)</f>
        <v>16</v>
      </c>
      <c r="D415">
        <f>COUNTIFS([3]!players[hero_name], A415,
[3]!players[lane_name], B415,
[3]!players[win], 1)</f>
        <v>6</v>
      </c>
      <c r="E415" s="11">
        <f>D415/C415</f>
        <v>0.375</v>
      </c>
      <c r="F415" t="str">
        <f>IF(C415&gt;=10, "Yes", "No")</f>
        <v>Yes</v>
      </c>
      <c r="G415">
        <f>IF(F415="No","N/A",COUNTIFS(B$2:B$409, B415, F$2:F$409, "Yes", E$2:E$409, "&gt;"&amp;E415)+1)</f>
        <v>36</v>
      </c>
    </row>
    <row r="416" spans="1:7" x14ac:dyDescent="0.3">
      <c r="A416" t="str">
        <v>Snapfire</v>
      </c>
      <c r="B416" t="str">
        <v>Roam</v>
      </c>
      <c r="C416">
        <f>COUNTIFS([3]!players[hero_name], A416,
[3]!players[lane_name], B416)</f>
        <v>11</v>
      </c>
      <c r="D416">
        <f>COUNTIFS([3]!players[hero_name], A416,
[3]!players[lane_name], B416,
[3]!players[win], 1)</f>
        <v>3</v>
      </c>
      <c r="E416" s="11">
        <f>D416/C416</f>
        <v>0.27272727272727271</v>
      </c>
      <c r="F416" t="str">
        <f>IF(C416&gt;=10, "Yes", "No")</f>
        <v>Yes</v>
      </c>
      <c r="G416">
        <f>IF(F416="No","N/A",COUNTIFS(B$2:B$409, B416, F$2:F$409, "Yes", E$2:E$409, "&gt;"&amp;E416)+1)</f>
        <v>27</v>
      </c>
    </row>
    <row r="417" spans="1:7" x14ac:dyDescent="0.3">
      <c r="A417" t="str">
        <v>Snapfire</v>
      </c>
      <c r="B417" t="str">
        <v>Mid</v>
      </c>
      <c r="C417">
        <f>COUNTIFS([3]!players[hero_name], A417,
[3]!players[lane_name], B417)</f>
        <v>35</v>
      </c>
      <c r="D417">
        <f>COUNTIFS([3]!players[hero_name], A417,
[3]!players[lane_name], B417,
[3]!players[win], 1)</f>
        <v>23</v>
      </c>
      <c r="E417" s="11">
        <f>D417/C417</f>
        <v>0.65714285714285714</v>
      </c>
      <c r="F417" t="str">
        <f>IF(C417&gt;=10, "Yes", "No")</f>
        <v>Yes</v>
      </c>
      <c r="G417">
        <f>IF(F417="No","N/A",COUNTIFS(B$2:B$409, B417, F$2:F$409, "Yes", E$2:E$409, "&gt;"&amp;E417)+1)</f>
        <v>2</v>
      </c>
    </row>
    <row r="418" spans="1:7" x14ac:dyDescent="0.3">
      <c r="A418" t="str">
        <v>Snapfire</v>
      </c>
      <c r="B418" t="str">
        <v>Carry</v>
      </c>
      <c r="C418">
        <f>COUNTIFS([3]!players[hero_name], A418,
[3]!players[lane_name], B418)</f>
        <v>3</v>
      </c>
      <c r="D418">
        <f>COUNTIFS([3]!players[hero_name], A418,
[3]!players[lane_name], B418,
[3]!players[win], 1)</f>
        <v>0</v>
      </c>
      <c r="E418" s="11">
        <f>D418/C418</f>
        <v>0</v>
      </c>
      <c r="F418" t="str">
        <f>IF(C418&gt;=10, "Yes", "No")</f>
        <v>No</v>
      </c>
      <c r="G418" t="str">
        <f>IF(F418="No","N/A",COUNTIFS(B$2:B$409, B418, F$2:F$409, "Yes", E$2:E$409, "&gt;"&amp;E418)+1)</f>
        <v>N/A</v>
      </c>
    </row>
    <row r="419" spans="1:7" x14ac:dyDescent="0.3">
      <c r="A419" t="str">
        <v>Sniper</v>
      </c>
      <c r="B419" t="str">
        <v>Carry</v>
      </c>
      <c r="C419">
        <f>COUNTIFS([3]!players[hero_name], A419,
[3]!players[lane_name], B419)</f>
        <v>51</v>
      </c>
      <c r="D419">
        <f>COUNTIFS([3]!players[hero_name], A419,
[3]!players[lane_name], B419,
[3]!players[win], 1)</f>
        <v>31</v>
      </c>
      <c r="E419" s="11">
        <f>D419/C419</f>
        <v>0.60784313725490191</v>
      </c>
      <c r="F419" t="str">
        <f>IF(C419&gt;=10, "Yes", "No")</f>
        <v>Yes</v>
      </c>
      <c r="G419">
        <f>IF(F419="No","N/A",COUNTIFS(B$2:B$409, B419, F$2:F$409, "Yes", E$2:E$409, "&gt;"&amp;E419)+1)</f>
        <v>5</v>
      </c>
    </row>
    <row r="420" spans="1:7" x14ac:dyDescent="0.3">
      <c r="A420" t="str">
        <v>Sniper</v>
      </c>
      <c r="B420" t="str">
        <v>Mid</v>
      </c>
      <c r="C420">
        <f>COUNTIFS([3]!players[hero_name], A420,
[3]!players[lane_name], B420)</f>
        <v>161</v>
      </c>
      <c r="D420">
        <f>COUNTIFS([3]!players[hero_name], A420,
[3]!players[lane_name], B420,
[3]!players[win], 1)</f>
        <v>76</v>
      </c>
      <c r="E420" s="11">
        <f>D420/C420</f>
        <v>0.47204968944099379</v>
      </c>
      <c r="F420" t="str">
        <f>IF(C420&gt;=10, "Yes", "No")</f>
        <v>Yes</v>
      </c>
      <c r="G420">
        <f>IF(F420="No","N/A",COUNTIFS(B$2:B$409, B420, F$2:F$409, "Yes", E$2:E$409, "&gt;"&amp;E420)+1)</f>
        <v>30</v>
      </c>
    </row>
    <row r="421" spans="1:7" x14ac:dyDescent="0.3">
      <c r="A421" t="str">
        <v>Sniper</v>
      </c>
      <c r="B421" t="str">
        <v>Hard Support</v>
      </c>
      <c r="C421">
        <f>COUNTIFS([3]!players[hero_name], A421,
[3]!players[lane_name], B421)</f>
        <v>1</v>
      </c>
      <c r="D421">
        <f>COUNTIFS([3]!players[hero_name], A421,
[3]!players[lane_name], B421,
[3]!players[win], 1)</f>
        <v>1</v>
      </c>
      <c r="E421" s="11">
        <f>D421/C421</f>
        <v>1</v>
      </c>
      <c r="F421" t="str">
        <f>IF(C421&gt;=10, "Yes", "No")</f>
        <v>No</v>
      </c>
      <c r="G421" t="str">
        <f>IF(F421="No","N/A",COUNTIFS(B$2:B$409, B421, F$2:F$409, "Yes", E$2:E$409, "&gt;"&amp;E421)+1)</f>
        <v>N/A</v>
      </c>
    </row>
    <row r="422" spans="1:7" x14ac:dyDescent="0.3">
      <c r="A422" t="str">
        <v>Sniper</v>
      </c>
      <c r="B422" t="str">
        <v>Off Lane</v>
      </c>
      <c r="C422">
        <f>COUNTIFS([3]!players[hero_name], A422,
[3]!players[lane_name], B422)</f>
        <v>2</v>
      </c>
      <c r="D422">
        <f>COUNTIFS([3]!players[hero_name], A422,
[3]!players[lane_name], B422,
[3]!players[win], 1)</f>
        <v>1</v>
      </c>
      <c r="E422" s="11">
        <f>D422/C422</f>
        <v>0.5</v>
      </c>
      <c r="F422" t="str">
        <f>IF(C422&gt;=10, "Yes", "No")</f>
        <v>No</v>
      </c>
      <c r="G422" t="str">
        <f>IF(F422="No","N/A",COUNTIFS(B$2:B$409, B422, F$2:F$409, "Yes", E$2:E$409, "&gt;"&amp;E422)+1)</f>
        <v>N/A</v>
      </c>
    </row>
    <row r="423" spans="1:7" x14ac:dyDescent="0.3">
      <c r="A423" t="str">
        <v>Spectre</v>
      </c>
      <c r="B423" t="str">
        <v>Carry</v>
      </c>
      <c r="C423">
        <f>COUNTIFS([3]!players[hero_name], A423,
[3]!players[lane_name], B423)</f>
        <v>17</v>
      </c>
      <c r="D423">
        <f>COUNTIFS([3]!players[hero_name], A423,
[3]!players[lane_name], B423,
[3]!players[win], 1)</f>
        <v>8</v>
      </c>
      <c r="E423" s="11">
        <f>D423/C423</f>
        <v>0.47058823529411764</v>
      </c>
      <c r="F423" t="str">
        <f>IF(C423&gt;=10, "Yes", "No")</f>
        <v>Yes</v>
      </c>
      <c r="G423">
        <f>IF(F423="No","N/A",COUNTIFS(B$2:B$409, B423, F$2:F$409, "Yes", E$2:E$409, "&gt;"&amp;E423)+1)</f>
        <v>23</v>
      </c>
    </row>
    <row r="424" spans="1:7" x14ac:dyDescent="0.3">
      <c r="A424" t="str">
        <v>Spirit Breaker</v>
      </c>
      <c r="B424" t="str">
        <v>Off Lane</v>
      </c>
      <c r="C424">
        <f>COUNTIFS([3]!players[hero_name], A424,
[3]!players[lane_name], B424)</f>
        <v>89</v>
      </c>
      <c r="D424">
        <f>COUNTIFS([3]!players[hero_name], A424,
[3]!players[lane_name], B424,
[3]!players[win], 1)</f>
        <v>43</v>
      </c>
      <c r="E424" s="11">
        <f>D424/C424</f>
        <v>0.48314606741573035</v>
      </c>
      <c r="F424" t="str">
        <f>IF(C424&gt;=10, "Yes", "No")</f>
        <v>Yes</v>
      </c>
      <c r="G424">
        <f>IF(F424="No","N/A",COUNTIFS(B$2:B$409, B424, F$2:F$409, "Yes", E$2:E$409, "&gt;"&amp;E424)+1)</f>
        <v>23</v>
      </c>
    </row>
    <row r="425" spans="1:7" x14ac:dyDescent="0.3">
      <c r="A425" t="str">
        <v>Spirit Breaker</v>
      </c>
      <c r="B425" t="str">
        <v>Soft Support</v>
      </c>
      <c r="C425">
        <f>COUNTIFS([3]!players[hero_name], A425,
[3]!players[lane_name], B425)</f>
        <v>129</v>
      </c>
      <c r="D425">
        <f>COUNTIFS([3]!players[hero_name], A425,
[3]!players[lane_name], B425,
[3]!players[win], 1)</f>
        <v>62</v>
      </c>
      <c r="E425" s="11">
        <f>D425/C425</f>
        <v>0.48062015503875971</v>
      </c>
      <c r="F425" t="str">
        <f>IF(C425&gt;=10, "Yes", "No")</f>
        <v>Yes</v>
      </c>
      <c r="G425">
        <f>IF(F425="No","N/A",COUNTIFS(B$2:B$409, B425, F$2:F$409, "Yes", E$2:E$409, "&gt;"&amp;E425)+1)</f>
        <v>29</v>
      </c>
    </row>
    <row r="426" spans="1:7" x14ac:dyDescent="0.3">
      <c r="A426" t="str">
        <v>Spirit Breaker</v>
      </c>
      <c r="B426" t="str">
        <v>Hard Support</v>
      </c>
      <c r="C426">
        <f>COUNTIFS([3]!players[hero_name], A426,
[3]!players[lane_name], B426)</f>
        <v>93</v>
      </c>
      <c r="D426">
        <f>COUNTIFS([3]!players[hero_name], A426,
[3]!players[lane_name], B426,
[3]!players[win], 1)</f>
        <v>51</v>
      </c>
      <c r="E426" s="11">
        <f>D426/C426</f>
        <v>0.54838709677419351</v>
      </c>
      <c r="F426" t="str">
        <f>IF(C426&gt;=10, "Yes", "No")</f>
        <v>Yes</v>
      </c>
      <c r="G426">
        <f>IF(F426="No","N/A",COUNTIFS(B$2:B$409, B426, F$2:F$409, "Yes", E$2:E$409, "&gt;"&amp;E426)+1)</f>
        <v>11</v>
      </c>
    </row>
    <row r="427" spans="1:7" x14ac:dyDescent="0.3">
      <c r="A427" t="str">
        <v>Spirit Breaker</v>
      </c>
      <c r="B427" t="str">
        <v>Roam</v>
      </c>
      <c r="C427">
        <f>COUNTIFS([3]!players[hero_name], A427,
[3]!players[lane_name], B427)</f>
        <v>61</v>
      </c>
      <c r="D427">
        <f>COUNTIFS([3]!players[hero_name], A427,
[3]!players[lane_name], B427,
[3]!players[win], 1)</f>
        <v>21</v>
      </c>
      <c r="E427" s="11">
        <f>D427/C427</f>
        <v>0.34426229508196721</v>
      </c>
      <c r="F427" t="str">
        <f>IF(C427&gt;=10, "Yes", "No")</f>
        <v>Yes</v>
      </c>
      <c r="G427">
        <f>IF(F427="No","N/A",COUNTIFS(B$2:B$409, B427, F$2:F$409, "Yes", E$2:E$409, "&gt;"&amp;E427)+1)</f>
        <v>26</v>
      </c>
    </row>
    <row r="428" spans="1:7" x14ac:dyDescent="0.3">
      <c r="A428" t="str">
        <v>Spirit Breaker</v>
      </c>
      <c r="B428" t="str">
        <v>Mid</v>
      </c>
      <c r="C428">
        <f>COUNTIFS([3]!players[hero_name], A428,
[3]!players[lane_name], B428)</f>
        <v>10</v>
      </c>
      <c r="D428">
        <f>COUNTIFS([3]!players[hero_name], A428,
[3]!players[lane_name], B428,
[3]!players[win], 1)</f>
        <v>8</v>
      </c>
      <c r="E428" s="11">
        <f>D428/C428</f>
        <v>0.8</v>
      </c>
      <c r="F428" t="str">
        <f>IF(C428&gt;=10, "Yes", "No")</f>
        <v>Yes</v>
      </c>
      <c r="G428">
        <f>IF(F428="No","N/A",COUNTIFS(B$2:B$409, B428, F$2:F$409, "Yes", E$2:E$409, "&gt;"&amp;E428)+1)</f>
        <v>1</v>
      </c>
    </row>
    <row r="429" spans="1:7" x14ac:dyDescent="0.3">
      <c r="A429" t="str">
        <v>Spirit Breaker</v>
      </c>
      <c r="B429" t="str">
        <v>Carry</v>
      </c>
      <c r="C429">
        <f>COUNTIFS([3]!players[hero_name], A429,
[3]!players[lane_name], B429)</f>
        <v>1</v>
      </c>
      <c r="D429">
        <f>COUNTIFS([3]!players[hero_name], A429,
[3]!players[lane_name], B429,
[3]!players[win], 1)</f>
        <v>1</v>
      </c>
      <c r="E429" s="11">
        <f>D429/C429</f>
        <v>1</v>
      </c>
      <c r="F429" t="str">
        <f>IF(C429&gt;=10, "Yes", "No")</f>
        <v>No</v>
      </c>
      <c r="G429" t="str">
        <f>IF(F429="No","N/A",COUNTIFS(B$2:B$409, B429, F$2:F$409, "Yes", E$2:E$409, "&gt;"&amp;E429)+1)</f>
        <v>N/A</v>
      </c>
    </row>
    <row r="430" spans="1:7" x14ac:dyDescent="0.3">
      <c r="A430" t="str">
        <v>Storm Spirit</v>
      </c>
      <c r="B430" t="str">
        <v>Mid</v>
      </c>
      <c r="C430">
        <f>COUNTIFS([3]!players[hero_name], A430,
[3]!players[lane_name], B430)</f>
        <v>287</v>
      </c>
      <c r="D430">
        <f>COUNTIFS([3]!players[hero_name], A430,
[3]!players[lane_name], B430,
[3]!players[win], 1)</f>
        <v>146</v>
      </c>
      <c r="E430" s="11">
        <f>D430/C430</f>
        <v>0.50871080139372826</v>
      </c>
      <c r="F430" t="str">
        <f>IF(C430&gt;=10, "Yes", "No")</f>
        <v>Yes</v>
      </c>
      <c r="G430">
        <f>IF(F430="No","N/A",COUNTIFS(B$2:B$409, B430, F$2:F$409, "Yes", E$2:E$409, "&gt;"&amp;E430)+1)</f>
        <v>20</v>
      </c>
    </row>
    <row r="431" spans="1:7" x14ac:dyDescent="0.3">
      <c r="A431" t="str">
        <v>Storm Spirit</v>
      </c>
      <c r="B431" t="str">
        <v>Carry</v>
      </c>
      <c r="C431">
        <f>COUNTIFS([3]!players[hero_name], A431,
[3]!players[lane_name], B431)</f>
        <v>9</v>
      </c>
      <c r="D431">
        <f>COUNTIFS([3]!players[hero_name], A431,
[3]!players[lane_name], B431,
[3]!players[win], 1)</f>
        <v>3</v>
      </c>
      <c r="E431" s="11">
        <f>D431/C431</f>
        <v>0.33333333333333331</v>
      </c>
      <c r="F431" t="str">
        <f>IF(C431&gt;=10, "Yes", "No")</f>
        <v>No</v>
      </c>
      <c r="G431" t="str">
        <f>IF(F431="No","N/A",COUNTIFS(B$2:B$409, B431, F$2:F$409, "Yes", E$2:E$409, "&gt;"&amp;E431)+1)</f>
        <v>N/A</v>
      </c>
    </row>
    <row r="432" spans="1:7" x14ac:dyDescent="0.3">
      <c r="A432" t="str">
        <v>Storm Spirit</v>
      </c>
      <c r="B432" t="str">
        <v>Soft Support</v>
      </c>
      <c r="C432">
        <f>COUNTIFS([3]!players[hero_name], A432,
[3]!players[lane_name], B432)</f>
        <v>1</v>
      </c>
      <c r="D432">
        <f>COUNTIFS([3]!players[hero_name], A432,
[3]!players[lane_name], B432,
[3]!players[win], 1)</f>
        <v>1</v>
      </c>
      <c r="E432" s="11">
        <f>D432/C432</f>
        <v>1</v>
      </c>
      <c r="F432" t="str">
        <f>IF(C432&gt;=10, "Yes", "No")</f>
        <v>No</v>
      </c>
      <c r="G432" t="str">
        <f>IF(F432="No","N/A",COUNTIFS(B$2:B$409, B432, F$2:F$409, "Yes", E$2:E$409, "&gt;"&amp;E432)+1)</f>
        <v>N/A</v>
      </c>
    </row>
    <row r="433" spans="1:7" x14ac:dyDescent="0.3">
      <c r="A433" t="str">
        <v>Sven</v>
      </c>
      <c r="B433" t="str">
        <v>Carry</v>
      </c>
      <c r="C433">
        <f>COUNTIFS([3]!players[hero_name], A433,
[3]!players[lane_name], B433)</f>
        <v>63</v>
      </c>
      <c r="D433">
        <f>COUNTIFS([3]!players[hero_name], A433,
[3]!players[lane_name], B433,
[3]!players[win], 1)</f>
        <v>31</v>
      </c>
      <c r="E433" s="11">
        <f>D433/C433</f>
        <v>0.49206349206349204</v>
      </c>
      <c r="F433" t="str">
        <f>IF(C433&gt;=10, "Yes", "No")</f>
        <v>Yes</v>
      </c>
      <c r="G433">
        <f>IF(F433="No","N/A",COUNTIFS(B$2:B$409, B433, F$2:F$409, "Yes", E$2:E$409, "&gt;"&amp;E433)+1)</f>
        <v>20</v>
      </c>
    </row>
    <row r="434" spans="1:7" x14ac:dyDescent="0.3">
      <c r="A434" t="str">
        <v>Sven</v>
      </c>
      <c r="B434" t="str">
        <v>Soft Support</v>
      </c>
      <c r="C434">
        <f>COUNTIFS([3]!players[hero_name], A434,
[3]!players[lane_name], B434)</f>
        <v>1</v>
      </c>
      <c r="D434">
        <f>COUNTIFS([3]!players[hero_name], A434,
[3]!players[lane_name], B434,
[3]!players[win], 1)</f>
        <v>0</v>
      </c>
      <c r="E434" s="11">
        <f>D434/C434</f>
        <v>0</v>
      </c>
      <c r="F434" t="str">
        <f>IF(C434&gt;=10, "Yes", "No")</f>
        <v>No</v>
      </c>
      <c r="G434" t="str">
        <f>IF(F434="No","N/A",COUNTIFS(B$2:B$409, B434, F$2:F$409, "Yes", E$2:E$409, "&gt;"&amp;E434)+1)</f>
        <v>N/A</v>
      </c>
    </row>
    <row r="435" spans="1:7" x14ac:dyDescent="0.3">
      <c r="A435" t="str">
        <v>Techies</v>
      </c>
      <c r="B435" t="str">
        <v>Soft Support</v>
      </c>
      <c r="C435">
        <f>COUNTIFS([3]!players[hero_name], A435,
[3]!players[lane_name], B435)</f>
        <v>111</v>
      </c>
      <c r="D435">
        <f>COUNTIFS([3]!players[hero_name], A435,
[3]!players[lane_name], B435,
[3]!players[win], 1)</f>
        <v>59</v>
      </c>
      <c r="E435" s="11">
        <f>D435/C435</f>
        <v>0.53153153153153154</v>
      </c>
      <c r="F435" t="str">
        <f>IF(C435&gt;=10, "Yes", "No")</f>
        <v>Yes</v>
      </c>
      <c r="G435">
        <f>IF(F435="No","N/A",COUNTIFS(B$2:B$409, B435, F$2:F$409, "Yes", E$2:E$409, "&gt;"&amp;E435)+1)</f>
        <v>17</v>
      </c>
    </row>
    <row r="436" spans="1:7" x14ac:dyDescent="0.3">
      <c r="A436" t="str">
        <v>Techies</v>
      </c>
      <c r="B436" t="str">
        <v>Off Lane</v>
      </c>
      <c r="C436">
        <f>COUNTIFS([3]!players[hero_name], A436,
[3]!players[lane_name], B436)</f>
        <v>14</v>
      </c>
      <c r="D436">
        <f>COUNTIFS([3]!players[hero_name], A436,
[3]!players[lane_name], B436,
[3]!players[win], 1)</f>
        <v>5</v>
      </c>
      <c r="E436" s="11">
        <f>D436/C436</f>
        <v>0.35714285714285715</v>
      </c>
      <c r="F436" t="str">
        <f>IF(C436&gt;=10, "Yes", "No")</f>
        <v>Yes</v>
      </c>
      <c r="G436">
        <f>IF(F436="No","N/A",COUNTIFS(B$2:B$409, B436, F$2:F$409, "Yes", E$2:E$409, "&gt;"&amp;E436)+1)</f>
        <v>37</v>
      </c>
    </row>
    <row r="437" spans="1:7" x14ac:dyDescent="0.3">
      <c r="A437" t="str">
        <v>Techies</v>
      </c>
      <c r="B437" t="str">
        <v>Hard Support</v>
      </c>
      <c r="C437">
        <f>COUNTIFS([3]!players[hero_name], A437,
[3]!players[lane_name], B437)</f>
        <v>42</v>
      </c>
      <c r="D437">
        <f>COUNTIFS([3]!players[hero_name], A437,
[3]!players[lane_name], B437,
[3]!players[win], 1)</f>
        <v>24</v>
      </c>
      <c r="E437" s="11">
        <f>D437/C437</f>
        <v>0.5714285714285714</v>
      </c>
      <c r="F437" t="str">
        <f>IF(C437&gt;=10, "Yes", "No")</f>
        <v>Yes</v>
      </c>
      <c r="G437">
        <f>IF(F437="No","N/A",COUNTIFS(B$2:B$409, B437, F$2:F$409, "Yes", E$2:E$409, "&gt;"&amp;E437)+1)</f>
        <v>10</v>
      </c>
    </row>
    <row r="438" spans="1:7" x14ac:dyDescent="0.3">
      <c r="A438" t="str">
        <v>Techies</v>
      </c>
      <c r="B438" t="str">
        <v>Roam</v>
      </c>
      <c r="C438">
        <f>COUNTIFS([3]!players[hero_name], A438,
[3]!players[lane_name], B438)</f>
        <v>32</v>
      </c>
      <c r="D438">
        <f>COUNTIFS([3]!players[hero_name], A438,
[3]!players[lane_name], B438,
[3]!players[win], 1)</f>
        <v>15</v>
      </c>
      <c r="E438" s="11">
        <f>D438/C438</f>
        <v>0.46875</v>
      </c>
      <c r="F438" t="str">
        <f>IF(C438&gt;=10, "Yes", "No")</f>
        <v>Yes</v>
      </c>
      <c r="G438">
        <f>IF(F438="No","N/A",COUNTIFS(B$2:B$409, B438, F$2:F$409, "Yes", E$2:E$409, "&gt;"&amp;E438)+1)</f>
        <v>19</v>
      </c>
    </row>
    <row r="439" spans="1:7" x14ac:dyDescent="0.3">
      <c r="A439" t="str">
        <v>Techies</v>
      </c>
      <c r="B439" t="str">
        <v>Mid</v>
      </c>
      <c r="C439">
        <f>COUNTIFS([3]!players[hero_name], A439,
[3]!players[lane_name], B439)</f>
        <v>2</v>
      </c>
      <c r="D439">
        <f>COUNTIFS([3]!players[hero_name], A439,
[3]!players[lane_name], B439,
[3]!players[win], 1)</f>
        <v>2</v>
      </c>
      <c r="E439" s="11">
        <f>D439/C439</f>
        <v>1</v>
      </c>
      <c r="F439" t="str">
        <f>IF(C439&gt;=10, "Yes", "No")</f>
        <v>No</v>
      </c>
      <c r="G439" t="str">
        <f>IF(F439="No","N/A",COUNTIFS(B$2:B$409, B439, F$2:F$409, "Yes", E$2:E$409, "&gt;"&amp;E439)+1)</f>
        <v>N/A</v>
      </c>
    </row>
    <row r="440" spans="1:7" x14ac:dyDescent="0.3">
      <c r="A440" t="str">
        <v>Templar Assassin</v>
      </c>
      <c r="B440" t="str">
        <v>Carry</v>
      </c>
      <c r="C440">
        <f>COUNTIFS([3]!players[hero_name], A440,
[3]!players[lane_name], B440)</f>
        <v>185</v>
      </c>
      <c r="D440">
        <f>COUNTIFS([3]!players[hero_name], A440,
[3]!players[lane_name], B440,
[3]!players[win], 1)</f>
        <v>86</v>
      </c>
      <c r="E440" s="11">
        <f>D440/C440</f>
        <v>0.46486486486486489</v>
      </c>
      <c r="F440" t="str">
        <f>IF(C440&gt;=10, "Yes", "No")</f>
        <v>Yes</v>
      </c>
      <c r="G440">
        <f>IF(F440="No","N/A",COUNTIFS(B$2:B$409, B440, F$2:F$409, "Yes", E$2:E$409, "&gt;"&amp;E440)+1)</f>
        <v>23</v>
      </c>
    </row>
    <row r="441" spans="1:7" x14ac:dyDescent="0.3">
      <c r="A441" t="str">
        <v>Templar Assassin</v>
      </c>
      <c r="B441" t="str">
        <v>Mid</v>
      </c>
      <c r="C441">
        <f>COUNTIFS([3]!players[hero_name], A441,
[3]!players[lane_name], B441)</f>
        <v>51</v>
      </c>
      <c r="D441">
        <f>COUNTIFS([3]!players[hero_name], A441,
[3]!players[lane_name], B441,
[3]!players[win], 1)</f>
        <v>28</v>
      </c>
      <c r="E441" s="11">
        <f>D441/C441</f>
        <v>0.5490196078431373</v>
      </c>
      <c r="F441" t="str">
        <f>IF(C441&gt;=10, "Yes", "No")</f>
        <v>Yes</v>
      </c>
      <c r="G441">
        <f>IF(F441="No","N/A",COUNTIFS(B$2:B$409, B441, F$2:F$409, "Yes", E$2:E$409, "&gt;"&amp;E441)+1)</f>
        <v>13</v>
      </c>
    </row>
    <row r="442" spans="1:7" x14ac:dyDescent="0.3">
      <c r="A442" t="str">
        <v>Templar Assassin</v>
      </c>
      <c r="B442" t="str">
        <v>Soft Support</v>
      </c>
      <c r="C442">
        <f>COUNTIFS([3]!players[hero_name], A442,
[3]!players[lane_name], B442)</f>
        <v>1</v>
      </c>
      <c r="D442">
        <f>COUNTIFS([3]!players[hero_name], A442,
[3]!players[lane_name], B442,
[3]!players[win], 1)</f>
        <v>0</v>
      </c>
      <c r="E442" s="11">
        <f>D442/C442</f>
        <v>0</v>
      </c>
      <c r="F442" t="str">
        <f>IF(C442&gt;=10, "Yes", "No")</f>
        <v>No</v>
      </c>
      <c r="G442" t="str">
        <f>IF(F442="No","N/A",COUNTIFS(B$2:B$409, B442, F$2:F$409, "Yes", E$2:E$409, "&gt;"&amp;E442)+1)</f>
        <v>N/A</v>
      </c>
    </row>
    <row r="443" spans="1:7" x14ac:dyDescent="0.3">
      <c r="A443" t="str">
        <v>Terrorblade</v>
      </c>
      <c r="B443" t="str">
        <v>Carry</v>
      </c>
      <c r="C443">
        <f>COUNTIFS([3]!players[hero_name], A443,
[3]!players[lane_name], B443)</f>
        <v>148</v>
      </c>
      <c r="D443">
        <f>COUNTIFS([3]!players[hero_name], A443,
[3]!players[lane_name], B443,
[3]!players[win], 1)</f>
        <v>87</v>
      </c>
      <c r="E443" s="11">
        <f>D443/C443</f>
        <v>0.58783783783783783</v>
      </c>
      <c r="F443" t="str">
        <f>IF(C443&gt;=10, "Yes", "No")</f>
        <v>Yes</v>
      </c>
      <c r="G443">
        <f>IF(F443="No","N/A",COUNTIFS(B$2:B$409, B443, F$2:F$409, "Yes", E$2:E$409, "&gt;"&amp;E443)+1)</f>
        <v>6</v>
      </c>
    </row>
    <row r="444" spans="1:7" x14ac:dyDescent="0.3">
      <c r="A444" t="str">
        <v>Terrorblade</v>
      </c>
      <c r="B444" t="str">
        <v>Soft Support</v>
      </c>
      <c r="C444">
        <f>COUNTIFS([3]!players[hero_name], A444,
[3]!players[lane_name], B444)</f>
        <v>1</v>
      </c>
      <c r="D444">
        <f>COUNTIFS([3]!players[hero_name], A444,
[3]!players[lane_name], B444,
[3]!players[win], 1)</f>
        <v>1</v>
      </c>
      <c r="E444" s="11">
        <f>D444/C444</f>
        <v>1</v>
      </c>
      <c r="F444" t="str">
        <f>IF(C444&gt;=10, "Yes", "No")</f>
        <v>No</v>
      </c>
      <c r="G444" t="str">
        <f>IF(F444="No","N/A",COUNTIFS(B$2:B$409, B444, F$2:F$409, "Yes", E$2:E$409, "&gt;"&amp;E444)+1)</f>
        <v>N/A</v>
      </c>
    </row>
    <row r="445" spans="1:7" x14ac:dyDescent="0.3">
      <c r="A445" t="str">
        <v>Tidehunter</v>
      </c>
      <c r="B445" t="str">
        <v>Off Lane</v>
      </c>
      <c r="C445">
        <f>COUNTIFS([3]!players[hero_name], A445,
[3]!players[lane_name], B445)</f>
        <v>547</v>
      </c>
      <c r="D445">
        <f>COUNTIFS([3]!players[hero_name], A445,
[3]!players[lane_name], B445,
[3]!players[win], 1)</f>
        <v>254</v>
      </c>
      <c r="E445" s="11">
        <f>D445/C445</f>
        <v>0.46435100548446068</v>
      </c>
      <c r="F445" t="str">
        <f>IF(C445&gt;=10, "Yes", "No")</f>
        <v>Yes</v>
      </c>
      <c r="G445">
        <f>IF(F445="No","N/A",COUNTIFS(B$2:B$409, B445, F$2:F$409, "Yes", E$2:E$409, "&gt;"&amp;E445)+1)</f>
        <v>28</v>
      </c>
    </row>
    <row r="446" spans="1:7" x14ac:dyDescent="0.3">
      <c r="A446" t="str">
        <v>Tidehunter</v>
      </c>
      <c r="B446" t="str">
        <v>Soft Support</v>
      </c>
      <c r="C446">
        <f>COUNTIFS([3]!players[hero_name], A446,
[3]!players[lane_name], B446)</f>
        <v>18</v>
      </c>
      <c r="D446">
        <f>COUNTIFS([3]!players[hero_name], A446,
[3]!players[lane_name], B446,
[3]!players[win], 1)</f>
        <v>10</v>
      </c>
      <c r="E446" s="11">
        <f>D446/C446</f>
        <v>0.55555555555555558</v>
      </c>
      <c r="F446" t="str">
        <f>IF(C446&gt;=10, "Yes", "No")</f>
        <v>Yes</v>
      </c>
      <c r="G446">
        <f>IF(F446="No","N/A",COUNTIFS(B$2:B$409, B446, F$2:F$409, "Yes", E$2:E$409, "&gt;"&amp;E446)+1)</f>
        <v>15</v>
      </c>
    </row>
    <row r="447" spans="1:7" x14ac:dyDescent="0.3">
      <c r="A447" t="str">
        <v>Tidehunter</v>
      </c>
      <c r="B447" t="str">
        <v>Mid</v>
      </c>
      <c r="C447">
        <f>COUNTIFS([3]!players[hero_name], A447,
[3]!players[lane_name], B447)</f>
        <v>5</v>
      </c>
      <c r="D447">
        <f>COUNTIFS([3]!players[hero_name], A447,
[3]!players[lane_name], B447,
[3]!players[win], 1)</f>
        <v>3</v>
      </c>
      <c r="E447" s="11">
        <f>D447/C447</f>
        <v>0.6</v>
      </c>
      <c r="F447" t="str">
        <f>IF(C447&gt;=10, "Yes", "No")</f>
        <v>No</v>
      </c>
      <c r="G447" t="str">
        <f>IF(F447="No","N/A",COUNTIFS(B$2:B$409, B447, F$2:F$409, "Yes", E$2:E$409, "&gt;"&amp;E447)+1)</f>
        <v>N/A</v>
      </c>
    </row>
    <row r="448" spans="1:7" x14ac:dyDescent="0.3">
      <c r="A448" t="str">
        <v>Tidehunter</v>
      </c>
      <c r="B448" t="str">
        <v>Hard Support</v>
      </c>
      <c r="C448">
        <f>COUNTIFS([3]!players[hero_name], A448,
[3]!players[lane_name], B448)</f>
        <v>5</v>
      </c>
      <c r="D448">
        <f>COUNTIFS([3]!players[hero_name], A448,
[3]!players[lane_name], B448,
[3]!players[win], 1)</f>
        <v>1</v>
      </c>
      <c r="E448" s="11">
        <f>D448/C448</f>
        <v>0.2</v>
      </c>
      <c r="F448" t="str">
        <f>IF(C448&gt;=10, "Yes", "No")</f>
        <v>No</v>
      </c>
      <c r="G448" t="str">
        <f>IF(F448="No","N/A",COUNTIFS(B$2:B$409, B448, F$2:F$409, "Yes", E$2:E$409, "&gt;"&amp;E448)+1)</f>
        <v>N/A</v>
      </c>
    </row>
    <row r="449" spans="1:7" x14ac:dyDescent="0.3">
      <c r="A449" t="str">
        <v>Tidehunter</v>
      </c>
      <c r="B449" t="str">
        <v>Carry</v>
      </c>
      <c r="C449">
        <f>COUNTIFS([3]!players[hero_name], A449,
[3]!players[lane_name], B449)</f>
        <v>2</v>
      </c>
      <c r="D449">
        <f>COUNTIFS([3]!players[hero_name], A449,
[3]!players[lane_name], B449,
[3]!players[win], 1)</f>
        <v>1</v>
      </c>
      <c r="E449" s="11">
        <f>D449/C449</f>
        <v>0.5</v>
      </c>
      <c r="F449" t="str">
        <f>IF(C449&gt;=10, "Yes", "No")</f>
        <v>No</v>
      </c>
      <c r="G449" t="str">
        <f>IF(F449="No","N/A",COUNTIFS(B$2:B$409, B449, F$2:F$409, "Yes", E$2:E$409, "&gt;"&amp;E449)+1)</f>
        <v>N/A</v>
      </c>
    </row>
    <row r="450" spans="1:7" x14ac:dyDescent="0.3">
      <c r="A450" t="str">
        <v>Timbersaw</v>
      </c>
      <c r="B450" t="str">
        <v>Off Lane</v>
      </c>
      <c r="C450">
        <f>COUNTIFS([3]!players[hero_name], A450,
[3]!players[lane_name], B450)</f>
        <v>114</v>
      </c>
      <c r="D450">
        <f>COUNTIFS([3]!players[hero_name], A450,
[3]!players[lane_name], B450,
[3]!players[win], 1)</f>
        <v>51</v>
      </c>
      <c r="E450" s="11">
        <f>D450/C450</f>
        <v>0.44736842105263158</v>
      </c>
      <c r="F450" t="str">
        <f>IF(C450&gt;=10, "Yes", "No")</f>
        <v>Yes</v>
      </c>
      <c r="G450">
        <f>IF(F450="No","N/A",COUNTIFS(B$2:B$409, B450, F$2:F$409, "Yes", E$2:E$409, "&gt;"&amp;E450)+1)</f>
        <v>31</v>
      </c>
    </row>
    <row r="451" spans="1:7" x14ac:dyDescent="0.3">
      <c r="A451" t="str">
        <v>Timbersaw</v>
      </c>
      <c r="B451" t="str">
        <v>Mid</v>
      </c>
      <c r="C451">
        <f>COUNTIFS([3]!players[hero_name], A451,
[3]!players[lane_name], B451)</f>
        <v>10</v>
      </c>
      <c r="D451">
        <f>COUNTIFS([3]!players[hero_name], A451,
[3]!players[lane_name], B451,
[3]!players[win], 1)</f>
        <v>4</v>
      </c>
      <c r="E451" s="11">
        <f>D451/C451</f>
        <v>0.4</v>
      </c>
      <c r="F451" t="str">
        <f>IF(C451&gt;=10, "Yes", "No")</f>
        <v>Yes</v>
      </c>
      <c r="G451">
        <f>IF(F451="No","N/A",COUNTIFS(B$2:B$409, B451, F$2:F$409, "Yes", E$2:E$409, "&gt;"&amp;E451)+1)</f>
        <v>34</v>
      </c>
    </row>
    <row r="452" spans="1:7" x14ac:dyDescent="0.3">
      <c r="A452" t="str">
        <v>Timbersaw</v>
      </c>
      <c r="B452" t="str">
        <v>Soft Support</v>
      </c>
      <c r="C452">
        <f>COUNTIFS([3]!players[hero_name], A452,
[3]!players[lane_name], B452)</f>
        <v>2</v>
      </c>
      <c r="D452">
        <f>COUNTIFS([3]!players[hero_name], A452,
[3]!players[lane_name], B452,
[3]!players[win], 1)</f>
        <v>2</v>
      </c>
      <c r="E452" s="11">
        <f>D452/C452</f>
        <v>1</v>
      </c>
      <c r="F452" t="str">
        <f>IF(C452&gt;=10, "Yes", "No")</f>
        <v>No</v>
      </c>
      <c r="G452" t="str">
        <f>IF(F452="No","N/A",COUNTIFS(B$2:B$409, B452, F$2:F$409, "Yes", E$2:E$409, "&gt;"&amp;E452)+1)</f>
        <v>N/A</v>
      </c>
    </row>
    <row r="453" spans="1:7" x14ac:dyDescent="0.3">
      <c r="A453" t="str">
        <v>Timbersaw</v>
      </c>
      <c r="B453" t="str">
        <v>Hard Support</v>
      </c>
      <c r="C453">
        <f>COUNTIFS([3]!players[hero_name], A453,
[3]!players[lane_name], B453)</f>
        <v>1</v>
      </c>
      <c r="D453">
        <f>COUNTIFS([3]!players[hero_name], A453,
[3]!players[lane_name], B453,
[3]!players[win], 1)</f>
        <v>0</v>
      </c>
      <c r="E453" s="11">
        <f>D453/C453</f>
        <v>0</v>
      </c>
      <c r="F453" t="str">
        <f>IF(C453&gt;=10, "Yes", "No")</f>
        <v>No</v>
      </c>
      <c r="G453" t="str">
        <f>IF(F453="No","N/A",COUNTIFS(B$2:B$409, B453, F$2:F$409, "Yes", E$2:E$409, "&gt;"&amp;E453)+1)</f>
        <v>N/A</v>
      </c>
    </row>
    <row r="454" spans="1:7" x14ac:dyDescent="0.3">
      <c r="A454" t="str">
        <v>Tinker</v>
      </c>
      <c r="B454" t="str">
        <v>Mid</v>
      </c>
      <c r="C454">
        <f>COUNTIFS([3]!players[hero_name], A454,
[3]!players[lane_name], B454)</f>
        <v>22</v>
      </c>
      <c r="D454">
        <f>COUNTIFS([3]!players[hero_name], A454,
[3]!players[lane_name], B454,
[3]!players[win], 1)</f>
        <v>8</v>
      </c>
      <c r="E454" s="11">
        <f>D454/C454</f>
        <v>0.36363636363636365</v>
      </c>
      <c r="F454" t="str">
        <f>IF(C454&gt;=10, "Yes", "No")</f>
        <v>Yes</v>
      </c>
      <c r="G454">
        <f>IF(F454="No","N/A",COUNTIFS(B$2:B$409, B454, F$2:F$409, "Yes", E$2:E$409, "&gt;"&amp;E454)+1)</f>
        <v>38</v>
      </c>
    </row>
    <row r="455" spans="1:7" x14ac:dyDescent="0.3">
      <c r="A455" t="str">
        <v>Tinker</v>
      </c>
      <c r="B455" t="str">
        <v>Off Lane</v>
      </c>
      <c r="C455">
        <f>COUNTIFS([3]!players[hero_name], A455,
[3]!players[lane_name], B455)</f>
        <v>2</v>
      </c>
      <c r="D455">
        <f>COUNTIFS([3]!players[hero_name], A455,
[3]!players[lane_name], B455,
[3]!players[win], 1)</f>
        <v>0</v>
      </c>
      <c r="E455" s="11">
        <f>D455/C455</f>
        <v>0</v>
      </c>
      <c r="F455" t="str">
        <f>IF(C455&gt;=10, "Yes", "No")</f>
        <v>No</v>
      </c>
      <c r="G455" t="str">
        <f>IF(F455="No","N/A",COUNTIFS(B$2:B$409, B455, F$2:F$409, "Yes", E$2:E$409, "&gt;"&amp;E455)+1)</f>
        <v>N/A</v>
      </c>
    </row>
    <row r="456" spans="1:7" x14ac:dyDescent="0.3">
      <c r="A456" t="str">
        <v>Tinker</v>
      </c>
      <c r="B456" t="str">
        <v>Carry</v>
      </c>
      <c r="C456">
        <f>COUNTIFS([3]!players[hero_name], A456,
[3]!players[lane_name], B456)</f>
        <v>1</v>
      </c>
      <c r="D456">
        <f>COUNTIFS([3]!players[hero_name], A456,
[3]!players[lane_name], B456,
[3]!players[win], 1)</f>
        <v>0</v>
      </c>
      <c r="E456" s="11">
        <f>D456/C456</f>
        <v>0</v>
      </c>
      <c r="F456" t="str">
        <f>IF(C456&gt;=10, "Yes", "No")</f>
        <v>No</v>
      </c>
      <c r="G456" t="str">
        <f>IF(F456="No","N/A",COUNTIFS(B$2:B$409, B456, F$2:F$409, "Yes", E$2:E$409, "&gt;"&amp;E456)+1)</f>
        <v>N/A</v>
      </c>
    </row>
    <row r="457" spans="1:7" x14ac:dyDescent="0.3">
      <c r="A457" t="str">
        <v>Tiny</v>
      </c>
      <c r="B457" t="str">
        <v>Mid</v>
      </c>
      <c r="C457">
        <f>COUNTIFS([3]!players[hero_name], A457,
[3]!players[lane_name], B457)</f>
        <v>80</v>
      </c>
      <c r="D457">
        <f>COUNTIFS([3]!players[hero_name], A457,
[3]!players[lane_name], B457,
[3]!players[win], 1)</f>
        <v>40</v>
      </c>
      <c r="E457" s="11">
        <f>D457/C457</f>
        <v>0.5</v>
      </c>
      <c r="F457" t="str">
        <f>IF(C457&gt;=10, "Yes", "No")</f>
        <v>Yes</v>
      </c>
      <c r="G457">
        <f>IF(F457="No","N/A",COUNTIFS(B$2:B$409, B457, F$2:F$409, "Yes", E$2:E$409, "&gt;"&amp;E457)+1)</f>
        <v>21</v>
      </c>
    </row>
    <row r="458" spans="1:7" x14ac:dyDescent="0.3">
      <c r="A458" t="str">
        <v>Tiny</v>
      </c>
      <c r="B458" t="str">
        <v>Soft Support</v>
      </c>
      <c r="C458">
        <f>COUNTIFS([3]!players[hero_name], A458,
[3]!players[lane_name], B458)</f>
        <v>20</v>
      </c>
      <c r="D458">
        <f>COUNTIFS([3]!players[hero_name], A458,
[3]!players[lane_name], B458,
[3]!players[win], 1)</f>
        <v>8</v>
      </c>
      <c r="E458" s="11">
        <f>D458/C458</f>
        <v>0.4</v>
      </c>
      <c r="F458" t="str">
        <f>IF(C458&gt;=10, "Yes", "No")</f>
        <v>Yes</v>
      </c>
      <c r="G458">
        <f>IF(F458="No","N/A",COUNTIFS(B$2:B$409, B458, F$2:F$409, "Yes", E$2:E$409, "&gt;"&amp;E458)+1)</f>
        <v>36</v>
      </c>
    </row>
    <row r="459" spans="1:7" x14ac:dyDescent="0.3">
      <c r="A459" t="str">
        <v>Tiny</v>
      </c>
      <c r="B459" t="str">
        <v>Carry</v>
      </c>
      <c r="C459">
        <f>COUNTIFS([3]!players[hero_name], A459,
[3]!players[lane_name], B459)</f>
        <v>290</v>
      </c>
      <c r="D459">
        <f>COUNTIFS([3]!players[hero_name], A459,
[3]!players[lane_name], B459,
[3]!players[win], 1)</f>
        <v>154</v>
      </c>
      <c r="E459" s="11">
        <f>D459/C459</f>
        <v>0.53103448275862064</v>
      </c>
      <c r="F459" t="str">
        <f>IF(C459&gt;=10, "Yes", "No")</f>
        <v>Yes</v>
      </c>
      <c r="G459">
        <f>IF(F459="No","N/A",COUNTIFS(B$2:B$409, B459, F$2:F$409, "Yes", E$2:E$409, "&gt;"&amp;E459)+1)</f>
        <v>11</v>
      </c>
    </row>
    <row r="460" spans="1:7" x14ac:dyDescent="0.3">
      <c r="A460" t="str">
        <v>Tiny</v>
      </c>
      <c r="B460" t="str">
        <v>Hard Support</v>
      </c>
      <c r="C460">
        <f>COUNTIFS([3]!players[hero_name], A460,
[3]!players[lane_name], B460)</f>
        <v>10</v>
      </c>
      <c r="D460">
        <f>COUNTIFS([3]!players[hero_name], A460,
[3]!players[lane_name], B460,
[3]!players[win], 1)</f>
        <v>5</v>
      </c>
      <c r="E460" s="11">
        <f>D460/C460</f>
        <v>0.5</v>
      </c>
      <c r="F460" t="str">
        <f>IF(C460&gt;=10, "Yes", "No")</f>
        <v>Yes</v>
      </c>
      <c r="G460">
        <f>IF(F460="No","N/A",COUNTIFS(B$2:B$409, B460, F$2:F$409, "Yes", E$2:E$409, "&gt;"&amp;E460)+1)</f>
        <v>19</v>
      </c>
    </row>
    <row r="461" spans="1:7" x14ac:dyDescent="0.3">
      <c r="A461" t="str">
        <v>Tiny</v>
      </c>
      <c r="B461" t="str">
        <v>Off Lane</v>
      </c>
      <c r="C461">
        <f>COUNTIFS([3]!players[hero_name], A461,
[3]!players[lane_name], B461)</f>
        <v>13</v>
      </c>
      <c r="D461">
        <f>COUNTIFS([3]!players[hero_name], A461,
[3]!players[lane_name], B461,
[3]!players[win], 1)</f>
        <v>6</v>
      </c>
      <c r="E461" s="11">
        <f>D461/C461</f>
        <v>0.46153846153846156</v>
      </c>
      <c r="F461" t="str">
        <f>IF(C461&gt;=10, "Yes", "No")</f>
        <v>Yes</v>
      </c>
      <c r="G461">
        <f>IF(F461="No","N/A",COUNTIFS(B$2:B$409, B461, F$2:F$409, "Yes", E$2:E$409, "&gt;"&amp;E461)+1)</f>
        <v>28</v>
      </c>
    </row>
    <row r="462" spans="1:7" x14ac:dyDescent="0.3">
      <c r="A462" t="str">
        <v>Tiny</v>
      </c>
      <c r="B462" t="str">
        <v>Roam</v>
      </c>
      <c r="C462">
        <f>COUNTIFS([3]!players[hero_name], A462,
[3]!players[lane_name], B462)</f>
        <v>5</v>
      </c>
      <c r="D462">
        <f>COUNTIFS([3]!players[hero_name], A462,
[3]!players[lane_name], B462,
[3]!players[win], 1)</f>
        <v>3</v>
      </c>
      <c r="E462" s="11">
        <f>D462/C462</f>
        <v>0.6</v>
      </c>
      <c r="F462" t="str">
        <f>IF(C462&gt;=10, "Yes", "No")</f>
        <v>No</v>
      </c>
      <c r="G462" t="str">
        <f>IF(F462="No","N/A",COUNTIFS(B$2:B$409, B462, F$2:F$409, "Yes", E$2:E$409, "&gt;"&amp;E462)+1)</f>
        <v>N/A</v>
      </c>
    </row>
    <row r="463" spans="1:7" x14ac:dyDescent="0.3">
      <c r="A463" t="str">
        <v>Treant Protector</v>
      </c>
      <c r="B463" t="str">
        <v>Hard Support</v>
      </c>
      <c r="C463">
        <f>COUNTIFS([3]!players[hero_name], A463,
[3]!players[lane_name], B463)</f>
        <v>153</v>
      </c>
      <c r="D463">
        <f>COUNTIFS([3]!players[hero_name], A463,
[3]!players[lane_name], B463,
[3]!players[win], 1)</f>
        <v>84</v>
      </c>
      <c r="E463" s="11">
        <f>D463/C463</f>
        <v>0.5490196078431373</v>
      </c>
      <c r="F463" t="str">
        <f>IF(C463&gt;=10, "Yes", "No")</f>
        <v>Yes</v>
      </c>
      <c r="G463">
        <f>IF(F463="No","N/A",COUNTIFS(B$2:B$409, B463, F$2:F$409, "Yes", E$2:E$409, "&gt;"&amp;E463)+1)</f>
        <v>11</v>
      </c>
    </row>
    <row r="464" spans="1:7" x14ac:dyDescent="0.3">
      <c r="A464" t="str">
        <v>Treant Protector</v>
      </c>
      <c r="B464" t="str">
        <v>Roam</v>
      </c>
      <c r="C464">
        <f>COUNTIFS([3]!players[hero_name], A464,
[3]!players[lane_name], B464)</f>
        <v>16</v>
      </c>
      <c r="D464">
        <f>COUNTIFS([3]!players[hero_name], A464,
[3]!players[lane_name], B464,
[3]!players[win], 1)</f>
        <v>7</v>
      </c>
      <c r="E464" s="11">
        <f>D464/C464</f>
        <v>0.4375</v>
      </c>
      <c r="F464" t="str">
        <f>IF(C464&gt;=10, "Yes", "No")</f>
        <v>Yes</v>
      </c>
      <c r="G464">
        <f>IF(F464="No","N/A",COUNTIFS(B$2:B$409, B464, F$2:F$409, "Yes", E$2:E$409, "&gt;"&amp;E464)+1)</f>
        <v>22</v>
      </c>
    </row>
    <row r="465" spans="1:7" x14ac:dyDescent="0.3">
      <c r="A465" t="str">
        <v>Treant Protector</v>
      </c>
      <c r="B465" t="str">
        <v>Soft Support</v>
      </c>
      <c r="C465">
        <f>COUNTIFS([3]!players[hero_name], A465,
[3]!players[lane_name], B465)</f>
        <v>33</v>
      </c>
      <c r="D465">
        <f>COUNTIFS([3]!players[hero_name], A465,
[3]!players[lane_name], B465,
[3]!players[win], 1)</f>
        <v>19</v>
      </c>
      <c r="E465" s="11">
        <f>D465/C465</f>
        <v>0.5757575757575758</v>
      </c>
      <c r="F465" t="str">
        <f>IF(C465&gt;=10, "Yes", "No")</f>
        <v>Yes</v>
      </c>
      <c r="G465">
        <f>IF(F465="No","N/A",COUNTIFS(B$2:B$409, B465, F$2:F$409, "Yes", E$2:E$409, "&gt;"&amp;E465)+1)</f>
        <v>9</v>
      </c>
    </row>
    <row r="466" spans="1:7" x14ac:dyDescent="0.3">
      <c r="A466" t="str">
        <v>Treant Protector</v>
      </c>
      <c r="B466" t="str">
        <v>Off Lane</v>
      </c>
      <c r="C466">
        <f>COUNTIFS([3]!players[hero_name], A466,
[3]!players[lane_name], B466)</f>
        <v>1</v>
      </c>
      <c r="D466">
        <f>COUNTIFS([3]!players[hero_name], A466,
[3]!players[lane_name], B466,
[3]!players[win], 1)</f>
        <v>1</v>
      </c>
      <c r="E466" s="11">
        <f>D466/C466</f>
        <v>1</v>
      </c>
      <c r="F466" t="str">
        <f>IF(C466&gt;=10, "Yes", "No")</f>
        <v>No</v>
      </c>
      <c r="G466" t="str">
        <f>IF(F466="No","N/A",COUNTIFS(B$2:B$409, B466, F$2:F$409, "Yes", E$2:E$409, "&gt;"&amp;E466)+1)</f>
        <v>N/A</v>
      </c>
    </row>
    <row r="467" spans="1:7" x14ac:dyDescent="0.3">
      <c r="A467" t="str">
        <v>Troll Warlord</v>
      </c>
      <c r="B467" t="str">
        <v>Carry</v>
      </c>
      <c r="C467">
        <f>COUNTIFS([3]!players[hero_name], A467,
[3]!players[lane_name], B467)</f>
        <v>72</v>
      </c>
      <c r="D467">
        <f>COUNTIFS([3]!players[hero_name], A467,
[3]!players[lane_name], B467,
[3]!players[win], 1)</f>
        <v>35</v>
      </c>
      <c r="E467" s="11">
        <f>D467/C467</f>
        <v>0.4861111111111111</v>
      </c>
      <c r="F467" t="str">
        <f>IF(C467&gt;=10, "Yes", "No")</f>
        <v>Yes</v>
      </c>
      <c r="G467">
        <f>IF(F467="No","N/A",COUNTIFS(B$2:B$409, B467, F$2:F$409, "Yes", E$2:E$409, "&gt;"&amp;E467)+1)</f>
        <v>21</v>
      </c>
    </row>
    <row r="468" spans="1:7" x14ac:dyDescent="0.3">
      <c r="A468" t="str">
        <v>Troll Warlord</v>
      </c>
      <c r="B468" t="str">
        <v>Mid</v>
      </c>
      <c r="C468">
        <f>COUNTIFS([3]!players[hero_name], A468,
[3]!players[lane_name], B468)</f>
        <v>1</v>
      </c>
      <c r="D468">
        <f>COUNTIFS([3]!players[hero_name], A468,
[3]!players[lane_name], B468,
[3]!players[win], 1)</f>
        <v>1</v>
      </c>
      <c r="E468" s="11">
        <f>D468/C468</f>
        <v>1</v>
      </c>
      <c r="F468" t="str">
        <f>IF(C468&gt;=10, "Yes", "No")</f>
        <v>No</v>
      </c>
      <c r="G468" t="str">
        <f>IF(F468="No","N/A",COUNTIFS(B$2:B$409, B468, F$2:F$409, "Yes", E$2:E$409, "&gt;"&amp;E468)+1)</f>
        <v>N/A</v>
      </c>
    </row>
    <row r="469" spans="1:7" x14ac:dyDescent="0.3">
      <c r="A469" t="str">
        <v>Troll Warlord</v>
      </c>
      <c r="B469" t="str">
        <v>Off Lane</v>
      </c>
      <c r="C469">
        <f>COUNTIFS([3]!players[hero_name], A469,
[3]!players[lane_name], B469)</f>
        <v>1</v>
      </c>
      <c r="D469">
        <f>COUNTIFS([3]!players[hero_name], A469,
[3]!players[lane_name], B469,
[3]!players[win], 1)</f>
        <v>0</v>
      </c>
      <c r="E469" s="11">
        <f>D469/C469</f>
        <v>0</v>
      </c>
      <c r="F469" t="str">
        <f>IF(C469&gt;=10, "Yes", "No")</f>
        <v>No</v>
      </c>
      <c r="G469" t="str">
        <f>IF(F469="No","N/A",COUNTIFS(B$2:B$409, B469, F$2:F$409, "Yes", E$2:E$409, "&gt;"&amp;E469)+1)</f>
        <v>N/A</v>
      </c>
    </row>
    <row r="470" spans="1:7" x14ac:dyDescent="0.3">
      <c r="A470" t="str">
        <v>Tusk</v>
      </c>
      <c r="B470" t="str">
        <v>Hard Support</v>
      </c>
      <c r="C470">
        <f>COUNTIFS([3]!players[hero_name], A470,
[3]!players[lane_name], B470)</f>
        <v>299</v>
      </c>
      <c r="D470">
        <f>COUNTIFS([3]!players[hero_name], A470,
[3]!players[lane_name], B470,
[3]!players[win], 1)</f>
        <v>157</v>
      </c>
      <c r="E470" s="11">
        <f>D470/C470</f>
        <v>0.52508361204013376</v>
      </c>
      <c r="F470" t="str">
        <f>IF(C470&gt;=10, "Yes", "No")</f>
        <v>Yes</v>
      </c>
      <c r="G470">
        <f>IF(F470="No","N/A",COUNTIFS(B$2:B$409, B470, F$2:F$409, "Yes", E$2:E$409, "&gt;"&amp;E470)+1)</f>
        <v>16</v>
      </c>
    </row>
    <row r="471" spans="1:7" x14ac:dyDescent="0.3">
      <c r="A471" t="str">
        <v>Tusk</v>
      </c>
      <c r="B471" t="str">
        <v>Soft Support</v>
      </c>
      <c r="C471">
        <f>COUNTIFS([3]!players[hero_name], A471,
[3]!players[lane_name], B471)</f>
        <v>102</v>
      </c>
      <c r="D471">
        <f>COUNTIFS([3]!players[hero_name], A471,
[3]!players[lane_name], B471,
[3]!players[win], 1)</f>
        <v>57</v>
      </c>
      <c r="E471" s="11">
        <f>D471/C471</f>
        <v>0.55882352941176472</v>
      </c>
      <c r="F471" t="str">
        <f>IF(C471&gt;=10, "Yes", "No")</f>
        <v>Yes</v>
      </c>
      <c r="G471">
        <f>IF(F471="No","N/A",COUNTIFS(B$2:B$409, B471, F$2:F$409, "Yes", E$2:E$409, "&gt;"&amp;E471)+1)</f>
        <v>15</v>
      </c>
    </row>
    <row r="472" spans="1:7" x14ac:dyDescent="0.3">
      <c r="A472" t="str">
        <v>Tusk</v>
      </c>
      <c r="B472" t="str">
        <v>Roam</v>
      </c>
      <c r="C472">
        <f>COUNTIFS([3]!players[hero_name], A472,
[3]!players[lane_name], B472)</f>
        <v>134</v>
      </c>
      <c r="D472">
        <f>COUNTIFS([3]!players[hero_name], A472,
[3]!players[lane_name], B472,
[3]!players[win], 1)</f>
        <v>75</v>
      </c>
      <c r="E472" s="11">
        <f>D472/C472</f>
        <v>0.55970149253731338</v>
      </c>
      <c r="F472" t="str">
        <f>IF(C472&gt;=10, "Yes", "No")</f>
        <v>Yes</v>
      </c>
      <c r="G472">
        <f>IF(F472="No","N/A",COUNTIFS(B$2:B$409, B472, F$2:F$409, "Yes", E$2:E$409, "&gt;"&amp;E472)+1)</f>
        <v>6</v>
      </c>
    </row>
    <row r="473" spans="1:7" x14ac:dyDescent="0.3">
      <c r="A473" t="str">
        <v>Tusk</v>
      </c>
      <c r="B473" t="str">
        <v>Carry</v>
      </c>
      <c r="C473">
        <f>COUNTIFS([3]!players[hero_name], A473,
[3]!players[lane_name], B473)</f>
        <v>1</v>
      </c>
      <c r="D473">
        <f>COUNTIFS([3]!players[hero_name], A473,
[3]!players[lane_name], B473,
[3]!players[win], 1)</f>
        <v>0</v>
      </c>
      <c r="E473" s="11">
        <f>D473/C473</f>
        <v>0</v>
      </c>
      <c r="F473" t="str">
        <f>IF(C473&gt;=10, "Yes", "No")</f>
        <v>No</v>
      </c>
      <c r="G473" t="str">
        <f>IF(F473="No","N/A",COUNTIFS(B$2:B$409, B473, F$2:F$409, "Yes", E$2:E$409, "&gt;"&amp;E473)+1)</f>
        <v>N/A</v>
      </c>
    </row>
    <row r="474" spans="1:7" x14ac:dyDescent="0.3">
      <c r="A474" t="str">
        <v>Tusk</v>
      </c>
      <c r="B474" t="str">
        <v>Mid</v>
      </c>
      <c r="C474">
        <f>COUNTIFS([3]!players[hero_name], A474,
[3]!players[lane_name], B474)</f>
        <v>5</v>
      </c>
      <c r="D474">
        <f>COUNTIFS([3]!players[hero_name], A474,
[3]!players[lane_name], B474,
[3]!players[win], 1)</f>
        <v>4</v>
      </c>
      <c r="E474" s="11">
        <f>D474/C474</f>
        <v>0.8</v>
      </c>
      <c r="F474" t="str">
        <f>IF(C474&gt;=10, "Yes", "No")</f>
        <v>No</v>
      </c>
      <c r="G474" t="str">
        <f>IF(F474="No","N/A",COUNTIFS(B$2:B$409, B474, F$2:F$409, "Yes", E$2:E$409, "&gt;"&amp;E474)+1)</f>
        <v>N/A</v>
      </c>
    </row>
    <row r="475" spans="1:7" x14ac:dyDescent="0.3">
      <c r="A475" t="str">
        <v>Underlord</v>
      </c>
      <c r="B475" t="str">
        <v>Off Lane</v>
      </c>
      <c r="C475">
        <f>COUNTIFS([3]!players[hero_name], A475,
[3]!players[lane_name], B475)</f>
        <v>227</v>
      </c>
      <c r="D475">
        <f>COUNTIFS([3]!players[hero_name], A475,
[3]!players[lane_name], B475,
[3]!players[win], 1)</f>
        <v>101</v>
      </c>
      <c r="E475" s="11">
        <f>D475/C475</f>
        <v>0.44493392070484583</v>
      </c>
      <c r="F475" t="str">
        <f>IF(C475&gt;=10, "Yes", "No")</f>
        <v>Yes</v>
      </c>
      <c r="G475">
        <f>IF(F475="No","N/A",COUNTIFS(B$2:B$409, B475, F$2:F$409, "Yes", E$2:E$409, "&gt;"&amp;E475)+1)</f>
        <v>31</v>
      </c>
    </row>
    <row r="476" spans="1:7" x14ac:dyDescent="0.3">
      <c r="A476" t="str">
        <v>Underlord</v>
      </c>
      <c r="B476" t="str">
        <v>Soft Support</v>
      </c>
      <c r="C476">
        <f>COUNTIFS([3]!players[hero_name], A476,
[3]!players[lane_name], B476)</f>
        <v>4</v>
      </c>
      <c r="D476">
        <f>COUNTIFS([3]!players[hero_name], A476,
[3]!players[lane_name], B476,
[3]!players[win], 1)</f>
        <v>3</v>
      </c>
      <c r="E476" s="11">
        <f>D476/C476</f>
        <v>0.75</v>
      </c>
      <c r="F476" t="str">
        <f>IF(C476&gt;=10, "Yes", "No")</f>
        <v>No</v>
      </c>
      <c r="G476" t="str">
        <f>IF(F476="No","N/A",COUNTIFS(B$2:B$409, B476, F$2:F$409, "Yes", E$2:E$409, "&gt;"&amp;E476)+1)</f>
        <v>N/A</v>
      </c>
    </row>
    <row r="477" spans="1:7" x14ac:dyDescent="0.3">
      <c r="A477" t="str">
        <v>Undying</v>
      </c>
      <c r="B477" t="str">
        <v>Off Lane</v>
      </c>
      <c r="C477">
        <f>COUNTIFS([3]!players[hero_name], A477,
[3]!players[lane_name], B477)</f>
        <v>25</v>
      </c>
      <c r="D477">
        <f>COUNTIFS([3]!players[hero_name], A477,
[3]!players[lane_name], B477,
[3]!players[win], 1)</f>
        <v>10</v>
      </c>
      <c r="E477" s="11">
        <f>D477/C477</f>
        <v>0.4</v>
      </c>
      <c r="F477" t="str">
        <f>IF(C477&gt;=10, "Yes", "No")</f>
        <v>Yes</v>
      </c>
      <c r="G477">
        <f>IF(F477="No","N/A",COUNTIFS(B$2:B$409, B477, F$2:F$409, "Yes", E$2:E$409, "&gt;"&amp;E477)+1)</f>
        <v>35</v>
      </c>
    </row>
    <row r="478" spans="1:7" x14ac:dyDescent="0.3">
      <c r="A478" t="str">
        <v>Undying</v>
      </c>
      <c r="B478" t="str">
        <v>Soft Support</v>
      </c>
      <c r="C478">
        <f>COUNTIFS([3]!players[hero_name], A478,
[3]!players[lane_name], B478)</f>
        <v>23</v>
      </c>
      <c r="D478">
        <f>COUNTIFS([3]!players[hero_name], A478,
[3]!players[lane_name], B478,
[3]!players[win], 1)</f>
        <v>10</v>
      </c>
      <c r="E478" s="11">
        <f>D478/C478</f>
        <v>0.43478260869565216</v>
      </c>
      <c r="F478" t="str">
        <f>IF(C478&gt;=10, "Yes", "No")</f>
        <v>Yes</v>
      </c>
      <c r="G478">
        <f>IF(F478="No","N/A",COUNTIFS(B$2:B$409, B478, F$2:F$409, "Yes", E$2:E$409, "&gt;"&amp;E478)+1)</f>
        <v>34</v>
      </c>
    </row>
    <row r="479" spans="1:7" x14ac:dyDescent="0.3">
      <c r="A479" t="str">
        <v>Undying</v>
      </c>
      <c r="B479" t="str">
        <v>Hard Support</v>
      </c>
      <c r="C479">
        <f>COUNTIFS([3]!players[hero_name], A479,
[3]!players[lane_name], B479)</f>
        <v>26</v>
      </c>
      <c r="D479">
        <f>COUNTIFS([3]!players[hero_name], A479,
[3]!players[lane_name], B479,
[3]!players[win], 1)</f>
        <v>12</v>
      </c>
      <c r="E479" s="11">
        <f>D479/C479</f>
        <v>0.46153846153846156</v>
      </c>
      <c r="F479" t="str">
        <f>IF(C479&gt;=10, "Yes", "No")</f>
        <v>Yes</v>
      </c>
      <c r="G479">
        <f>IF(F479="No","N/A",COUNTIFS(B$2:B$409, B479, F$2:F$409, "Yes", E$2:E$409, "&gt;"&amp;E479)+1)</f>
        <v>24</v>
      </c>
    </row>
    <row r="480" spans="1:7" x14ac:dyDescent="0.3">
      <c r="A480" t="str">
        <v>Undying</v>
      </c>
      <c r="B480" t="str">
        <v>Roam</v>
      </c>
      <c r="C480">
        <f>COUNTIFS([3]!players[hero_name], A480,
[3]!players[lane_name], B480)</f>
        <v>2</v>
      </c>
      <c r="D480">
        <f>COUNTIFS([3]!players[hero_name], A480,
[3]!players[lane_name], B480,
[3]!players[win], 1)</f>
        <v>1</v>
      </c>
      <c r="E480" s="11">
        <f>D480/C480</f>
        <v>0.5</v>
      </c>
      <c r="F480" t="str">
        <f>IF(C480&gt;=10, "Yes", "No")</f>
        <v>No</v>
      </c>
      <c r="G480" t="str">
        <f>IF(F480="No","N/A",COUNTIFS(B$2:B$409, B480, F$2:F$409, "Yes", E$2:E$409, "&gt;"&amp;E480)+1)</f>
        <v>N/A</v>
      </c>
    </row>
    <row r="481" spans="1:7" x14ac:dyDescent="0.3">
      <c r="A481" t="str">
        <v>Undying</v>
      </c>
      <c r="B481" t="str">
        <v>Carry</v>
      </c>
      <c r="C481">
        <f>COUNTIFS([3]!players[hero_name], A481,
[3]!players[lane_name], B481)</f>
        <v>9</v>
      </c>
      <c r="D481">
        <f>COUNTIFS([3]!players[hero_name], A481,
[3]!players[lane_name], B481,
[3]!players[win], 1)</f>
        <v>2</v>
      </c>
      <c r="E481" s="11">
        <f>D481/C481</f>
        <v>0.22222222222222221</v>
      </c>
      <c r="F481" t="str">
        <f>IF(C481&gt;=10, "Yes", "No")</f>
        <v>No</v>
      </c>
      <c r="G481" t="str">
        <f>IF(F481="No","N/A",COUNTIFS(B$2:B$409, B481, F$2:F$409, "Yes", E$2:E$409, "&gt;"&amp;E481)+1)</f>
        <v>N/A</v>
      </c>
    </row>
    <row r="482" spans="1:7" x14ac:dyDescent="0.3">
      <c r="A482" t="str">
        <v>Undying</v>
      </c>
      <c r="B482" t="str">
        <v>Mid</v>
      </c>
      <c r="C482">
        <f>COUNTIFS([3]!players[hero_name], A482,
[3]!players[lane_name], B482)</f>
        <v>2</v>
      </c>
      <c r="D482">
        <f>COUNTIFS([3]!players[hero_name], A482,
[3]!players[lane_name], B482,
[3]!players[win], 1)</f>
        <v>0</v>
      </c>
      <c r="E482" s="11">
        <f>D482/C482</f>
        <v>0</v>
      </c>
      <c r="F482" t="str">
        <f>IF(C482&gt;=10, "Yes", "No")</f>
        <v>No</v>
      </c>
      <c r="G482" t="str">
        <f>IF(F482="No","N/A",COUNTIFS(B$2:B$409, B482, F$2:F$409, "Yes", E$2:E$409, "&gt;"&amp;E482)+1)</f>
        <v>N/A</v>
      </c>
    </row>
    <row r="483" spans="1:7" x14ac:dyDescent="0.3">
      <c r="A483" t="str">
        <v>Ursa</v>
      </c>
      <c r="B483" t="str">
        <v>Carry</v>
      </c>
      <c r="C483">
        <f>COUNTIFS([3]!players[hero_name], A483,
[3]!players[lane_name], B483)</f>
        <v>212</v>
      </c>
      <c r="D483">
        <f>COUNTIFS([3]!players[hero_name], A483,
[3]!players[lane_name], B483,
[3]!players[win], 1)</f>
        <v>102</v>
      </c>
      <c r="E483" s="11">
        <f>D483/C483</f>
        <v>0.48113207547169812</v>
      </c>
      <c r="F483" t="str">
        <f>IF(C483&gt;=10, "Yes", "No")</f>
        <v>Yes</v>
      </c>
      <c r="G483">
        <f>IF(F483="No","N/A",COUNTIFS(B$2:B$409, B483, F$2:F$409, "Yes", E$2:E$409, "&gt;"&amp;E483)+1)</f>
        <v>21</v>
      </c>
    </row>
    <row r="484" spans="1:7" x14ac:dyDescent="0.3">
      <c r="A484" t="str">
        <v>Ursa</v>
      </c>
      <c r="B484" t="str">
        <v>Off Lane</v>
      </c>
      <c r="C484">
        <f>COUNTIFS([3]!players[hero_name], A484,
[3]!players[lane_name], B484)</f>
        <v>2</v>
      </c>
      <c r="D484">
        <f>COUNTIFS([3]!players[hero_name], A484,
[3]!players[lane_name], B484,
[3]!players[win], 1)</f>
        <v>1</v>
      </c>
      <c r="E484" s="11">
        <f>D484/C484</f>
        <v>0.5</v>
      </c>
      <c r="F484" t="str">
        <f>IF(C484&gt;=10, "Yes", "No")</f>
        <v>No</v>
      </c>
      <c r="G484" t="str">
        <f>IF(F484="No","N/A",COUNTIFS(B$2:B$409, B484, F$2:F$409, "Yes", E$2:E$409, "&gt;"&amp;E484)+1)</f>
        <v>N/A</v>
      </c>
    </row>
    <row r="485" spans="1:7" x14ac:dyDescent="0.3">
      <c r="A485" t="str">
        <v>Ursa</v>
      </c>
      <c r="B485" t="str">
        <v>Mid</v>
      </c>
      <c r="C485">
        <f>COUNTIFS([3]!players[hero_name], A485,
[3]!players[lane_name], B485)</f>
        <v>1</v>
      </c>
      <c r="D485">
        <f>COUNTIFS([3]!players[hero_name], A485,
[3]!players[lane_name], B485,
[3]!players[win], 1)</f>
        <v>0</v>
      </c>
      <c r="E485" s="11">
        <f>D485/C485</f>
        <v>0</v>
      </c>
      <c r="F485" t="str">
        <f>IF(C485&gt;=10, "Yes", "No")</f>
        <v>No</v>
      </c>
      <c r="G485" t="str">
        <f>IF(F485="No","N/A",COUNTIFS(B$2:B$409, B485, F$2:F$409, "Yes", E$2:E$409, "&gt;"&amp;E485)+1)</f>
        <v>N/A</v>
      </c>
    </row>
    <row r="486" spans="1:7" x14ac:dyDescent="0.3">
      <c r="A486" t="str">
        <v>Ursa</v>
      </c>
      <c r="B486" t="str">
        <v>Soft Support</v>
      </c>
      <c r="C486">
        <f>COUNTIFS([3]!players[hero_name], A486,
[3]!players[lane_name], B486)</f>
        <v>2</v>
      </c>
      <c r="D486">
        <f>COUNTIFS([3]!players[hero_name], A486,
[3]!players[lane_name], B486,
[3]!players[win], 1)</f>
        <v>0</v>
      </c>
      <c r="E486" s="11">
        <f>D486/C486</f>
        <v>0</v>
      </c>
      <c r="F486" t="str">
        <f>IF(C486&gt;=10, "Yes", "No")</f>
        <v>No</v>
      </c>
      <c r="G486" t="str">
        <f>IF(F486="No","N/A",COUNTIFS(B$2:B$409, B486, F$2:F$409, "Yes", E$2:E$409, "&gt;"&amp;E486)+1)</f>
        <v>N/A</v>
      </c>
    </row>
    <row r="487" spans="1:7" x14ac:dyDescent="0.3">
      <c r="A487" t="str">
        <v>Vengeful Spirit</v>
      </c>
      <c r="B487" t="str">
        <v>Hard Support</v>
      </c>
      <c r="C487">
        <f>COUNTIFS([3]!players[hero_name], A487,
[3]!players[lane_name], B487)</f>
        <v>73</v>
      </c>
      <c r="D487">
        <f>COUNTIFS([3]!players[hero_name], A487,
[3]!players[lane_name], B487,
[3]!players[win], 1)</f>
        <v>30</v>
      </c>
      <c r="E487" s="11">
        <f>D487/C487</f>
        <v>0.41095890410958902</v>
      </c>
      <c r="F487" t="str">
        <f>IF(C487&gt;=10, "Yes", "No")</f>
        <v>Yes</v>
      </c>
      <c r="G487">
        <f>IF(F487="No","N/A",COUNTIFS(B$2:B$409, B487, F$2:F$409, "Yes", E$2:E$409, "&gt;"&amp;E487)+1)</f>
        <v>32</v>
      </c>
    </row>
    <row r="488" spans="1:7" x14ac:dyDescent="0.3">
      <c r="A488" t="str">
        <v>Vengeful Spirit</v>
      </c>
      <c r="B488" t="str">
        <v>Mid</v>
      </c>
      <c r="C488">
        <f>COUNTIFS([3]!players[hero_name], A488,
[3]!players[lane_name], B488)</f>
        <v>1</v>
      </c>
      <c r="D488">
        <f>COUNTIFS([3]!players[hero_name], A488,
[3]!players[lane_name], B488,
[3]!players[win], 1)</f>
        <v>1</v>
      </c>
      <c r="E488" s="11">
        <f>D488/C488</f>
        <v>1</v>
      </c>
      <c r="F488" t="str">
        <f>IF(C488&gt;=10, "Yes", "No")</f>
        <v>No</v>
      </c>
      <c r="G488" t="str">
        <f>IF(F488="No","N/A",COUNTIFS(B$2:B$409, B488, F$2:F$409, "Yes", E$2:E$409, "&gt;"&amp;E488)+1)</f>
        <v>N/A</v>
      </c>
    </row>
    <row r="489" spans="1:7" x14ac:dyDescent="0.3">
      <c r="A489" t="str">
        <v>Vengeful Spirit</v>
      </c>
      <c r="B489" t="str">
        <v>Off Lane</v>
      </c>
      <c r="C489">
        <f>COUNTIFS([3]!players[hero_name], A489,
[3]!players[lane_name], B489)</f>
        <v>5</v>
      </c>
      <c r="D489">
        <f>COUNTIFS([3]!players[hero_name], A489,
[3]!players[lane_name], B489,
[3]!players[win], 1)</f>
        <v>2</v>
      </c>
      <c r="E489" s="11">
        <f>D489/C489</f>
        <v>0.4</v>
      </c>
      <c r="F489" t="str">
        <f>IF(C489&gt;=10, "Yes", "No")</f>
        <v>No</v>
      </c>
      <c r="G489" t="str">
        <f>IF(F489="No","N/A",COUNTIFS(B$2:B$409, B489, F$2:F$409, "Yes", E$2:E$409, "&gt;"&amp;E489)+1)</f>
        <v>N/A</v>
      </c>
    </row>
    <row r="490" spans="1:7" x14ac:dyDescent="0.3">
      <c r="A490" t="str">
        <v>Vengeful Spirit</v>
      </c>
      <c r="B490" t="str">
        <v>Soft Support</v>
      </c>
      <c r="C490">
        <f>COUNTIFS([3]!players[hero_name], A490,
[3]!players[lane_name], B490)</f>
        <v>26</v>
      </c>
      <c r="D490">
        <f>COUNTIFS([3]!players[hero_name], A490,
[3]!players[lane_name], B490,
[3]!players[win], 1)</f>
        <v>13</v>
      </c>
      <c r="E490" s="11">
        <f>D490/C490</f>
        <v>0.5</v>
      </c>
      <c r="F490" t="str">
        <f>IF(C490&gt;=10, "Yes", "No")</f>
        <v>Yes</v>
      </c>
      <c r="G490">
        <f>IF(F490="No","N/A",COUNTIFS(B$2:B$409, B490, F$2:F$409, "Yes", E$2:E$409, "&gt;"&amp;E490)+1)</f>
        <v>22</v>
      </c>
    </row>
    <row r="491" spans="1:7" x14ac:dyDescent="0.3">
      <c r="A491" t="str">
        <v>Vengeful Spirit</v>
      </c>
      <c r="B491" t="str">
        <v>Carry</v>
      </c>
      <c r="C491">
        <f>COUNTIFS([3]!players[hero_name], A491,
[3]!players[lane_name], B491)</f>
        <v>6</v>
      </c>
      <c r="D491">
        <f>COUNTIFS([3]!players[hero_name], A491,
[3]!players[lane_name], B491,
[3]!players[win], 1)</f>
        <v>1</v>
      </c>
      <c r="E491" s="11">
        <f>D491/C491</f>
        <v>0.16666666666666666</v>
      </c>
      <c r="F491" t="str">
        <f>IF(C491&gt;=10, "Yes", "No")</f>
        <v>No</v>
      </c>
      <c r="G491" t="str">
        <f>IF(F491="No","N/A",COUNTIFS(B$2:B$409, B491, F$2:F$409, "Yes", E$2:E$409, "&gt;"&amp;E491)+1)</f>
        <v>N/A</v>
      </c>
    </row>
    <row r="492" spans="1:7" x14ac:dyDescent="0.3">
      <c r="A492" t="str">
        <v>Vengeful Spirit</v>
      </c>
      <c r="B492" t="str">
        <v>Roam</v>
      </c>
      <c r="C492">
        <f>COUNTIFS([3]!players[hero_name], A492,
[3]!players[lane_name], B492)</f>
        <v>1</v>
      </c>
      <c r="D492">
        <f>COUNTIFS([3]!players[hero_name], A492,
[3]!players[lane_name], B492,
[3]!players[win], 1)</f>
        <v>0</v>
      </c>
      <c r="E492" s="11">
        <f>D492/C492</f>
        <v>0</v>
      </c>
      <c r="F492" t="str">
        <f>IF(C492&gt;=10, "Yes", "No")</f>
        <v>No</v>
      </c>
      <c r="G492" t="str">
        <f>IF(F492="No","N/A",COUNTIFS(B$2:B$409, B492, F$2:F$409, "Yes", E$2:E$409, "&gt;"&amp;E492)+1)</f>
        <v>N/A</v>
      </c>
    </row>
    <row r="493" spans="1:7" x14ac:dyDescent="0.3">
      <c r="A493" t="str">
        <v>Venomancer</v>
      </c>
      <c r="B493" t="str">
        <v>Soft Support</v>
      </c>
      <c r="C493">
        <f>COUNTIFS([3]!players[hero_name], A493,
[3]!players[lane_name], B493)</f>
        <v>173</v>
      </c>
      <c r="D493">
        <f>COUNTIFS([3]!players[hero_name], A493,
[3]!players[lane_name], B493,
[3]!players[win], 1)</f>
        <v>90</v>
      </c>
      <c r="E493" s="11">
        <f>D493/C493</f>
        <v>0.52023121387283233</v>
      </c>
      <c r="F493" t="str">
        <f>IF(C493&gt;=10, "Yes", "No")</f>
        <v>Yes</v>
      </c>
      <c r="G493">
        <f>IF(F493="No","N/A",COUNTIFS(B$2:B$409, B493, F$2:F$409, "Yes", E$2:E$409, "&gt;"&amp;E493)+1)</f>
        <v>18</v>
      </c>
    </row>
    <row r="494" spans="1:7" x14ac:dyDescent="0.3">
      <c r="A494" t="str">
        <v>Venomancer</v>
      </c>
      <c r="B494" t="str">
        <v>Hard Support</v>
      </c>
      <c r="C494">
        <f>COUNTIFS([3]!players[hero_name], A494,
[3]!players[lane_name], B494)</f>
        <v>43</v>
      </c>
      <c r="D494">
        <f>COUNTIFS([3]!players[hero_name], A494,
[3]!players[lane_name], B494,
[3]!players[win], 1)</f>
        <v>15</v>
      </c>
      <c r="E494" s="11">
        <f>D494/C494</f>
        <v>0.34883720930232559</v>
      </c>
      <c r="F494" t="str">
        <f>IF(C494&gt;=10, "Yes", "No")</f>
        <v>Yes</v>
      </c>
      <c r="G494">
        <f>IF(F494="No","N/A",COUNTIFS(B$2:B$409, B494, F$2:F$409, "Yes", E$2:E$409, "&gt;"&amp;E494)+1)</f>
        <v>35</v>
      </c>
    </row>
    <row r="495" spans="1:7" x14ac:dyDescent="0.3">
      <c r="A495" t="str">
        <v>Venomancer</v>
      </c>
      <c r="B495" t="str">
        <v>Roam</v>
      </c>
      <c r="C495">
        <f>COUNTIFS([3]!players[hero_name], A495,
[3]!players[lane_name], B495)</f>
        <v>52</v>
      </c>
      <c r="D495">
        <f>COUNTIFS([3]!players[hero_name], A495,
[3]!players[lane_name], B495,
[3]!players[win], 1)</f>
        <v>31</v>
      </c>
      <c r="E495" s="11">
        <f>D495/C495</f>
        <v>0.59615384615384615</v>
      </c>
      <c r="F495" t="str">
        <f>IF(C495&gt;=10, "Yes", "No")</f>
        <v>Yes</v>
      </c>
      <c r="G495">
        <f>IF(F495="No","N/A",COUNTIFS(B$2:B$409, B495, F$2:F$409, "Yes", E$2:E$409, "&gt;"&amp;E495)+1)</f>
        <v>5</v>
      </c>
    </row>
    <row r="496" spans="1:7" x14ac:dyDescent="0.3">
      <c r="A496" t="str">
        <v>Venomancer</v>
      </c>
      <c r="B496" t="str">
        <v>Carry</v>
      </c>
      <c r="C496">
        <f>COUNTIFS([3]!players[hero_name], A496,
[3]!players[lane_name], B496)</f>
        <v>8</v>
      </c>
      <c r="D496">
        <f>COUNTIFS([3]!players[hero_name], A496,
[3]!players[lane_name], B496,
[3]!players[win], 1)</f>
        <v>3</v>
      </c>
      <c r="E496" s="11">
        <f>D496/C496</f>
        <v>0.375</v>
      </c>
      <c r="F496" t="str">
        <f>IF(C496&gt;=10, "Yes", "No")</f>
        <v>No</v>
      </c>
      <c r="G496" t="str">
        <f>IF(F496="No","N/A",COUNTIFS(B$2:B$409, B496, F$2:F$409, "Yes", E$2:E$409, "&gt;"&amp;E496)+1)</f>
        <v>N/A</v>
      </c>
    </row>
    <row r="497" spans="1:7" x14ac:dyDescent="0.3">
      <c r="A497" t="str">
        <v>Venomancer</v>
      </c>
      <c r="B497" t="str">
        <v>Off Lane</v>
      </c>
      <c r="C497">
        <f>COUNTIFS([3]!players[hero_name], A497,
[3]!players[lane_name], B497)</f>
        <v>10</v>
      </c>
      <c r="D497">
        <f>COUNTIFS([3]!players[hero_name], A497,
[3]!players[lane_name], B497,
[3]!players[win], 1)</f>
        <v>4</v>
      </c>
      <c r="E497" s="11">
        <f>D497/C497</f>
        <v>0.4</v>
      </c>
      <c r="F497" t="str">
        <f>IF(C497&gt;=10, "Yes", "No")</f>
        <v>Yes</v>
      </c>
      <c r="G497">
        <f>IF(F497="No","N/A",COUNTIFS(B$2:B$409, B497, F$2:F$409, "Yes", E$2:E$409, "&gt;"&amp;E497)+1)</f>
        <v>35</v>
      </c>
    </row>
    <row r="498" spans="1:7" x14ac:dyDescent="0.3">
      <c r="A498" t="str">
        <v>Venomancer</v>
      </c>
      <c r="B498" t="str">
        <v>Mid</v>
      </c>
      <c r="C498">
        <f>COUNTIFS([3]!players[hero_name], A498,
[3]!players[lane_name], B498)</f>
        <v>3</v>
      </c>
      <c r="D498">
        <f>COUNTIFS([3]!players[hero_name], A498,
[3]!players[lane_name], B498,
[3]!players[win], 1)</f>
        <v>2</v>
      </c>
      <c r="E498" s="11">
        <f>D498/C498</f>
        <v>0.66666666666666663</v>
      </c>
      <c r="F498" t="str">
        <f>IF(C498&gt;=10, "Yes", "No")</f>
        <v>No</v>
      </c>
      <c r="G498" t="str">
        <f>IF(F498="No","N/A",COUNTIFS(B$2:B$409, B498, F$2:F$409, "Yes", E$2:E$409, "&gt;"&amp;E498)+1)</f>
        <v>N/A</v>
      </c>
    </row>
    <row r="499" spans="1:7" x14ac:dyDescent="0.3">
      <c r="A499" t="str">
        <v>Viper</v>
      </c>
      <c r="B499" t="str">
        <v>Mid</v>
      </c>
      <c r="C499">
        <f>COUNTIFS([3]!players[hero_name], A499,
[3]!players[lane_name], B499)</f>
        <v>128</v>
      </c>
      <c r="D499">
        <f>COUNTIFS([3]!players[hero_name], A499,
[3]!players[lane_name], B499,
[3]!players[win], 1)</f>
        <v>65</v>
      </c>
      <c r="E499" s="11">
        <f>D499/C499</f>
        <v>0.5078125</v>
      </c>
      <c r="F499" t="str">
        <f>IF(C499&gt;=10, "Yes", "No")</f>
        <v>Yes</v>
      </c>
      <c r="G499">
        <f>IF(F499="No","N/A",COUNTIFS(B$2:B$409, B499, F$2:F$409, "Yes", E$2:E$409, "&gt;"&amp;E499)+1)</f>
        <v>20</v>
      </c>
    </row>
    <row r="500" spans="1:7" x14ac:dyDescent="0.3">
      <c r="A500" t="str">
        <v>Viper</v>
      </c>
      <c r="B500" t="str">
        <v>Off Lane</v>
      </c>
      <c r="C500">
        <f>COUNTIFS([3]!players[hero_name], A500,
[3]!players[lane_name], B500)</f>
        <v>44</v>
      </c>
      <c r="D500">
        <f>COUNTIFS([3]!players[hero_name], A500,
[3]!players[lane_name], B500,
[3]!players[win], 1)</f>
        <v>22</v>
      </c>
      <c r="E500" s="11">
        <f>D500/C500</f>
        <v>0.5</v>
      </c>
      <c r="F500" t="str">
        <f>IF(C500&gt;=10, "Yes", "No")</f>
        <v>Yes</v>
      </c>
      <c r="G500">
        <f>IF(F500="No","N/A",COUNTIFS(B$2:B$409, B500, F$2:F$409, "Yes", E$2:E$409, "&gt;"&amp;E500)+1)</f>
        <v>21</v>
      </c>
    </row>
    <row r="501" spans="1:7" x14ac:dyDescent="0.3">
      <c r="A501" t="str">
        <v>Viper</v>
      </c>
      <c r="B501" t="str">
        <v>Carry</v>
      </c>
      <c r="C501">
        <f>COUNTIFS([3]!players[hero_name], A501,
[3]!players[lane_name], B501)</f>
        <v>18</v>
      </c>
      <c r="D501">
        <f>COUNTIFS([3]!players[hero_name], A501,
[3]!players[lane_name], B501,
[3]!players[win], 1)</f>
        <v>10</v>
      </c>
      <c r="E501" s="11">
        <f>D501/C501</f>
        <v>0.55555555555555558</v>
      </c>
      <c r="F501" t="str">
        <f>IF(C501&gt;=10, "Yes", "No")</f>
        <v>Yes</v>
      </c>
      <c r="G501">
        <f>IF(F501="No","N/A",COUNTIFS(B$2:B$409, B501, F$2:F$409, "Yes", E$2:E$409, "&gt;"&amp;E501)+1)</f>
        <v>9</v>
      </c>
    </row>
    <row r="502" spans="1:7" x14ac:dyDescent="0.3">
      <c r="A502" t="str">
        <v>Visage</v>
      </c>
      <c r="B502" t="str">
        <v>Off Lane</v>
      </c>
      <c r="C502">
        <f>COUNTIFS([3]!players[hero_name], A502,
[3]!players[lane_name], B502)</f>
        <v>21</v>
      </c>
      <c r="D502">
        <f>COUNTIFS([3]!players[hero_name], A502,
[3]!players[lane_name], B502,
[3]!players[win], 1)</f>
        <v>13</v>
      </c>
      <c r="E502" s="11">
        <f>D502/C502</f>
        <v>0.61904761904761907</v>
      </c>
      <c r="F502" t="str">
        <f>IF(C502&gt;=10, "Yes", "No")</f>
        <v>Yes</v>
      </c>
      <c r="G502">
        <f>IF(F502="No","N/A",COUNTIFS(B$2:B$409, B502, F$2:F$409, "Yes", E$2:E$409, "&gt;"&amp;E502)+1)</f>
        <v>5</v>
      </c>
    </row>
    <row r="503" spans="1:7" x14ac:dyDescent="0.3">
      <c r="A503" t="str">
        <v>Visage</v>
      </c>
      <c r="B503" t="str">
        <v>Roam</v>
      </c>
      <c r="C503">
        <f>COUNTIFS([3]!players[hero_name], A503,
[3]!players[lane_name], B503)</f>
        <v>1</v>
      </c>
      <c r="D503">
        <f>COUNTIFS([3]!players[hero_name], A503,
[3]!players[lane_name], B503,
[3]!players[win], 1)</f>
        <v>0</v>
      </c>
      <c r="E503" s="11">
        <f>D503/C503</f>
        <v>0</v>
      </c>
      <c r="F503" t="str">
        <f>IF(C503&gt;=10, "Yes", "No")</f>
        <v>No</v>
      </c>
      <c r="G503" t="str">
        <f>IF(F503="No","N/A",COUNTIFS(B$2:B$409, B503, F$2:F$409, "Yes", E$2:E$409, "&gt;"&amp;E503)+1)</f>
        <v>N/A</v>
      </c>
    </row>
    <row r="504" spans="1:7" x14ac:dyDescent="0.3">
      <c r="A504" t="str">
        <v>Void Spirit</v>
      </c>
      <c r="B504" t="str">
        <v>Mid</v>
      </c>
      <c r="C504">
        <f>COUNTIFS([3]!players[hero_name], A504,
[3]!players[lane_name], B504)</f>
        <v>303</v>
      </c>
      <c r="D504">
        <f>COUNTIFS([3]!players[hero_name], A504,
[3]!players[lane_name], B504,
[3]!players[win], 1)</f>
        <v>121</v>
      </c>
      <c r="E504" s="11">
        <f>D504/C504</f>
        <v>0.39933993399339934</v>
      </c>
      <c r="F504" t="str">
        <f>IF(C504&gt;=10, "Yes", "No")</f>
        <v>Yes</v>
      </c>
      <c r="G504">
        <f>IF(F504="No","N/A",COUNTIFS(B$2:B$409, B504, F$2:F$409, "Yes", E$2:E$409, "&gt;"&amp;E504)+1)</f>
        <v>35</v>
      </c>
    </row>
    <row r="505" spans="1:7" x14ac:dyDescent="0.3">
      <c r="A505" t="str">
        <v>Void Spirit</v>
      </c>
      <c r="B505" t="str">
        <v>Soft Support</v>
      </c>
      <c r="C505">
        <f>COUNTIFS([3]!players[hero_name], A505,
[3]!players[lane_name], B505)</f>
        <v>3</v>
      </c>
      <c r="D505">
        <f>COUNTIFS([3]!players[hero_name], A505,
[3]!players[lane_name], B505,
[3]!players[win], 1)</f>
        <v>1</v>
      </c>
      <c r="E505" s="11">
        <f>D505/C505</f>
        <v>0.33333333333333331</v>
      </c>
      <c r="F505" t="str">
        <f>IF(C505&gt;=10, "Yes", "No")</f>
        <v>No</v>
      </c>
      <c r="G505" t="str">
        <f>IF(F505="No","N/A",COUNTIFS(B$2:B$409, B505, F$2:F$409, "Yes", E$2:E$409, "&gt;"&amp;E505)+1)</f>
        <v>N/A</v>
      </c>
    </row>
    <row r="506" spans="1:7" x14ac:dyDescent="0.3">
      <c r="A506" t="str">
        <v>Void Spirit</v>
      </c>
      <c r="B506" t="str">
        <v>Off Lane</v>
      </c>
      <c r="C506">
        <f>COUNTIFS([3]!players[hero_name], A506,
[3]!players[lane_name], B506)</f>
        <v>5</v>
      </c>
      <c r="D506">
        <f>COUNTIFS([3]!players[hero_name], A506,
[3]!players[lane_name], B506,
[3]!players[win], 1)</f>
        <v>1</v>
      </c>
      <c r="E506" s="11">
        <f>D506/C506</f>
        <v>0.2</v>
      </c>
      <c r="F506" t="str">
        <f>IF(C506&gt;=10, "Yes", "No")</f>
        <v>No</v>
      </c>
      <c r="G506" t="str">
        <f>IF(F506="No","N/A",COUNTIFS(B$2:B$409, B506, F$2:F$409, "Yes", E$2:E$409, "&gt;"&amp;E506)+1)</f>
        <v>N/A</v>
      </c>
    </row>
    <row r="507" spans="1:7" x14ac:dyDescent="0.3">
      <c r="A507" t="str">
        <v>Void Spirit</v>
      </c>
      <c r="B507" t="str">
        <v>Carry</v>
      </c>
      <c r="C507">
        <f>COUNTIFS([3]!players[hero_name], A507,
[3]!players[lane_name], B507)</f>
        <v>3</v>
      </c>
      <c r="D507">
        <f>COUNTIFS([3]!players[hero_name], A507,
[3]!players[lane_name], B507,
[3]!players[win], 1)</f>
        <v>2</v>
      </c>
      <c r="E507" s="11">
        <f>D507/C507</f>
        <v>0.66666666666666663</v>
      </c>
      <c r="F507" t="str">
        <f>IF(C507&gt;=10, "Yes", "No")</f>
        <v>No</v>
      </c>
      <c r="G507" t="str">
        <f>IF(F507="No","N/A",COUNTIFS(B$2:B$409, B507, F$2:F$409, "Yes", E$2:E$409, "&gt;"&amp;E507)+1)</f>
        <v>N/A</v>
      </c>
    </row>
    <row r="508" spans="1:7" x14ac:dyDescent="0.3">
      <c r="A508" t="str">
        <v>Void Spirit</v>
      </c>
      <c r="B508" t="str">
        <v>Hard Support</v>
      </c>
      <c r="C508">
        <f>COUNTIFS([3]!players[hero_name], A508,
[3]!players[lane_name], B508)</f>
        <v>2</v>
      </c>
      <c r="D508">
        <f>COUNTIFS([3]!players[hero_name], A508,
[3]!players[lane_name], B508,
[3]!players[win], 1)</f>
        <v>0</v>
      </c>
      <c r="E508" s="11">
        <f>D508/C508</f>
        <v>0</v>
      </c>
      <c r="F508" t="str">
        <f>IF(C508&gt;=10, "Yes", "No")</f>
        <v>No</v>
      </c>
      <c r="G508" t="str">
        <f>IF(F508="No","N/A",COUNTIFS(B$2:B$409, B508, F$2:F$409, "Yes", E$2:E$409, "&gt;"&amp;E508)+1)</f>
        <v>N/A</v>
      </c>
    </row>
    <row r="509" spans="1:7" x14ac:dyDescent="0.3">
      <c r="A509" t="str">
        <v>Warlock</v>
      </c>
      <c r="B509" t="str">
        <v>Soft Support</v>
      </c>
      <c r="C509">
        <f>COUNTIFS([3]!players[hero_name], A509,
[3]!players[lane_name], B509)</f>
        <v>80</v>
      </c>
      <c r="D509">
        <f>COUNTIFS([3]!players[hero_name], A509,
[3]!players[lane_name], B509,
[3]!players[win], 1)</f>
        <v>38</v>
      </c>
      <c r="E509" s="11">
        <f>D509/C509</f>
        <v>0.47499999999999998</v>
      </c>
      <c r="F509" t="str">
        <f>IF(C509&gt;=10, "Yes", "No")</f>
        <v>Yes</v>
      </c>
      <c r="G509">
        <f>IF(F509="No","N/A",COUNTIFS(B$2:B$409, B509, F$2:F$409, "Yes", E$2:E$409, "&gt;"&amp;E509)+1)</f>
        <v>31</v>
      </c>
    </row>
    <row r="510" spans="1:7" x14ac:dyDescent="0.3">
      <c r="A510" t="str">
        <v>Warlock</v>
      </c>
      <c r="B510" t="str">
        <v>Hard Support</v>
      </c>
      <c r="C510">
        <f>COUNTIFS([3]!players[hero_name], A510,
[3]!players[lane_name], B510)</f>
        <v>52</v>
      </c>
      <c r="D510">
        <f>COUNTIFS([3]!players[hero_name], A510,
[3]!players[lane_name], B510,
[3]!players[win], 1)</f>
        <v>24</v>
      </c>
      <c r="E510" s="11">
        <f>D510/C510</f>
        <v>0.46153846153846156</v>
      </c>
      <c r="F510" t="str">
        <f>IF(C510&gt;=10, "Yes", "No")</f>
        <v>Yes</v>
      </c>
      <c r="G510">
        <f>IF(F510="No","N/A",COUNTIFS(B$2:B$409, B510, F$2:F$409, "Yes", E$2:E$409, "&gt;"&amp;E510)+1)</f>
        <v>24</v>
      </c>
    </row>
    <row r="511" spans="1:7" x14ac:dyDescent="0.3">
      <c r="A511" t="str">
        <v>Warlock</v>
      </c>
      <c r="B511" t="str">
        <v>Carry</v>
      </c>
      <c r="C511">
        <f>COUNTIFS([3]!players[hero_name], A511,
[3]!players[lane_name], B511)</f>
        <v>3</v>
      </c>
      <c r="D511">
        <f>COUNTIFS([3]!players[hero_name], A511,
[3]!players[lane_name], B511,
[3]!players[win], 1)</f>
        <v>2</v>
      </c>
      <c r="E511" s="11">
        <f>D511/C511</f>
        <v>0.66666666666666663</v>
      </c>
      <c r="F511" t="str">
        <f>IF(C511&gt;=10, "Yes", "No")</f>
        <v>No</v>
      </c>
      <c r="G511" t="str">
        <f>IF(F511="No","N/A",COUNTIFS(B$2:B$409, B511, F$2:F$409, "Yes", E$2:E$409, "&gt;"&amp;E511)+1)</f>
        <v>N/A</v>
      </c>
    </row>
    <row r="512" spans="1:7" x14ac:dyDescent="0.3">
      <c r="A512" t="str">
        <v>Warlock</v>
      </c>
      <c r="B512" t="str">
        <v>Roam</v>
      </c>
      <c r="C512">
        <f>COUNTIFS([3]!players[hero_name], A512,
[3]!players[lane_name], B512)</f>
        <v>10</v>
      </c>
      <c r="D512">
        <f>COUNTIFS([3]!players[hero_name], A512,
[3]!players[lane_name], B512,
[3]!players[win], 1)</f>
        <v>4</v>
      </c>
      <c r="E512" s="11">
        <f>D512/C512</f>
        <v>0.4</v>
      </c>
      <c r="F512" t="str">
        <f>IF(C512&gt;=10, "Yes", "No")</f>
        <v>Yes</v>
      </c>
      <c r="G512">
        <f>IF(F512="No","N/A",COUNTIFS(B$2:B$409, B512, F$2:F$409, "Yes", E$2:E$409, "&gt;"&amp;E512)+1)</f>
        <v>23</v>
      </c>
    </row>
    <row r="513" spans="1:7" x14ac:dyDescent="0.3">
      <c r="A513" t="str">
        <v>Weaver</v>
      </c>
      <c r="B513" t="str">
        <v>Carry</v>
      </c>
      <c r="C513">
        <f>COUNTIFS([3]!players[hero_name], A513,
[3]!players[lane_name], B513)</f>
        <v>156</v>
      </c>
      <c r="D513">
        <f>COUNTIFS([3]!players[hero_name], A513,
[3]!players[lane_name], B513,
[3]!players[win], 1)</f>
        <v>68</v>
      </c>
      <c r="E513" s="11">
        <f>D513/C513</f>
        <v>0.4358974358974359</v>
      </c>
      <c r="F513" t="str">
        <f>IF(C513&gt;=10, "Yes", "No")</f>
        <v>Yes</v>
      </c>
      <c r="G513">
        <f>IF(F513="No","N/A",COUNTIFS(B$2:B$409, B513, F$2:F$409, "Yes", E$2:E$409, "&gt;"&amp;E513)+1)</f>
        <v>26</v>
      </c>
    </row>
    <row r="514" spans="1:7" x14ac:dyDescent="0.3">
      <c r="A514" t="str">
        <v>Weaver</v>
      </c>
      <c r="B514" t="str">
        <v>Soft Support</v>
      </c>
      <c r="C514">
        <f>COUNTIFS([3]!players[hero_name], A514,
[3]!players[lane_name], B514)</f>
        <v>15</v>
      </c>
      <c r="D514">
        <f>COUNTIFS([3]!players[hero_name], A514,
[3]!players[lane_name], B514,
[3]!players[win], 1)</f>
        <v>6</v>
      </c>
      <c r="E514" s="11">
        <f>D514/C514</f>
        <v>0.4</v>
      </c>
      <c r="F514" t="str">
        <f>IF(C514&gt;=10, "Yes", "No")</f>
        <v>Yes</v>
      </c>
      <c r="G514">
        <f>IF(F514="No","N/A",COUNTIFS(B$2:B$409, B514, F$2:F$409, "Yes", E$2:E$409, "&gt;"&amp;E514)+1)</f>
        <v>36</v>
      </c>
    </row>
    <row r="515" spans="1:7" x14ac:dyDescent="0.3">
      <c r="A515" t="str">
        <v>Weaver</v>
      </c>
      <c r="B515" t="str">
        <v>Mid</v>
      </c>
      <c r="C515">
        <f>COUNTIFS([3]!players[hero_name], A515,
[3]!players[lane_name], B515)</f>
        <v>2</v>
      </c>
      <c r="D515">
        <f>COUNTIFS([3]!players[hero_name], A515,
[3]!players[lane_name], B515,
[3]!players[win], 1)</f>
        <v>1</v>
      </c>
      <c r="E515" s="11">
        <f>D515/C515</f>
        <v>0.5</v>
      </c>
      <c r="F515" t="str">
        <f>IF(C515&gt;=10, "Yes", "No")</f>
        <v>No</v>
      </c>
      <c r="G515" t="str">
        <f>IF(F515="No","N/A",COUNTIFS(B$2:B$409, B515, F$2:F$409, "Yes", E$2:E$409, "&gt;"&amp;E515)+1)</f>
        <v>N/A</v>
      </c>
    </row>
    <row r="516" spans="1:7" x14ac:dyDescent="0.3">
      <c r="A516" t="str">
        <v>Weaver</v>
      </c>
      <c r="B516" t="str">
        <v>Hard Support</v>
      </c>
      <c r="C516">
        <f>COUNTIFS([3]!players[hero_name], A516,
[3]!players[lane_name], B516)</f>
        <v>5</v>
      </c>
      <c r="D516">
        <f>COUNTIFS([3]!players[hero_name], A516,
[3]!players[lane_name], B516,
[3]!players[win], 1)</f>
        <v>2</v>
      </c>
      <c r="E516" s="11">
        <f>D516/C516</f>
        <v>0.4</v>
      </c>
      <c r="F516" t="str">
        <f>IF(C516&gt;=10, "Yes", "No")</f>
        <v>No</v>
      </c>
      <c r="G516" t="str">
        <f>IF(F516="No","N/A",COUNTIFS(B$2:B$409, B516, F$2:F$409, "Yes", E$2:E$409, "&gt;"&amp;E516)+1)</f>
        <v>N/A</v>
      </c>
    </row>
    <row r="517" spans="1:7" x14ac:dyDescent="0.3">
      <c r="A517" t="str">
        <v>Weaver</v>
      </c>
      <c r="B517" t="str">
        <v>Off Lane</v>
      </c>
      <c r="C517">
        <f>COUNTIFS([3]!players[hero_name], A517,
[3]!players[lane_name], B517)</f>
        <v>9</v>
      </c>
      <c r="D517">
        <f>COUNTIFS([3]!players[hero_name], A517,
[3]!players[lane_name], B517,
[3]!players[win], 1)</f>
        <v>7</v>
      </c>
      <c r="E517" s="11">
        <f>D517/C517</f>
        <v>0.77777777777777779</v>
      </c>
      <c r="F517" t="str">
        <f>IF(C517&gt;=10, "Yes", "No")</f>
        <v>No</v>
      </c>
      <c r="G517" t="str">
        <f>IF(F517="No","N/A",COUNTIFS(B$2:B$409, B517, F$2:F$409, "Yes", E$2:E$409, "&gt;"&amp;E517)+1)</f>
        <v>N/A</v>
      </c>
    </row>
    <row r="518" spans="1:7" x14ac:dyDescent="0.3">
      <c r="A518" t="str">
        <v>Weaver</v>
      </c>
      <c r="B518" t="str">
        <v>Roam</v>
      </c>
      <c r="C518">
        <f>COUNTIFS([3]!players[hero_name], A518,
[3]!players[lane_name], B518)</f>
        <v>3</v>
      </c>
      <c r="D518">
        <f>COUNTIFS([3]!players[hero_name], A518,
[3]!players[lane_name], B518,
[3]!players[win], 1)</f>
        <v>1</v>
      </c>
      <c r="E518" s="11">
        <f>D518/C518</f>
        <v>0.33333333333333331</v>
      </c>
      <c r="F518" t="str">
        <f>IF(C518&gt;=10, "Yes", "No")</f>
        <v>No</v>
      </c>
      <c r="G518" t="str">
        <f>IF(F518="No","N/A",COUNTIFS(B$2:B$409, B518, F$2:F$409, "Yes", E$2:E$409, "&gt;"&amp;E518)+1)</f>
        <v>N/A</v>
      </c>
    </row>
    <row r="519" spans="1:7" x14ac:dyDescent="0.3">
      <c r="A519" t="str">
        <v>Windranger</v>
      </c>
      <c r="B519" t="str">
        <v>Soft Support</v>
      </c>
      <c r="C519">
        <f>COUNTIFS([3]!players[hero_name], A519,
[3]!players[lane_name], B519)</f>
        <v>33</v>
      </c>
      <c r="D519">
        <f>COUNTIFS([3]!players[hero_name], A519,
[3]!players[lane_name], B519,
[3]!players[win], 1)</f>
        <v>19</v>
      </c>
      <c r="E519" s="11">
        <f>D519/C519</f>
        <v>0.5757575757575758</v>
      </c>
      <c r="F519" t="str">
        <f>IF(C519&gt;=10, "Yes", "No")</f>
        <v>Yes</v>
      </c>
      <c r="G519">
        <f>IF(F519="No","N/A",COUNTIFS(B$2:B$409, B519, F$2:F$409, "Yes", E$2:E$409, "&gt;"&amp;E519)+1)</f>
        <v>9</v>
      </c>
    </row>
    <row r="520" spans="1:7" x14ac:dyDescent="0.3">
      <c r="A520" t="str">
        <v>Windranger</v>
      </c>
      <c r="B520" t="str">
        <v>Hard Support</v>
      </c>
      <c r="C520">
        <f>COUNTIFS([3]!players[hero_name], A520,
[3]!players[lane_name], B520)</f>
        <v>18</v>
      </c>
      <c r="D520">
        <f>COUNTIFS([3]!players[hero_name], A520,
[3]!players[lane_name], B520,
[3]!players[win], 1)</f>
        <v>12</v>
      </c>
      <c r="E520" s="11">
        <f>D520/C520</f>
        <v>0.66666666666666663</v>
      </c>
      <c r="F520" t="str">
        <f>IF(C520&gt;=10, "Yes", "No")</f>
        <v>Yes</v>
      </c>
      <c r="G520">
        <f>IF(F520="No","N/A",COUNTIFS(B$2:B$409, B520, F$2:F$409, "Yes", E$2:E$409, "&gt;"&amp;E520)+1)</f>
        <v>4</v>
      </c>
    </row>
    <row r="521" spans="1:7" x14ac:dyDescent="0.3">
      <c r="A521" t="str">
        <v>Windranger</v>
      </c>
      <c r="B521" t="str">
        <v>Off Lane</v>
      </c>
      <c r="C521">
        <f>COUNTIFS([3]!players[hero_name], A521,
[3]!players[lane_name], B521)</f>
        <v>25</v>
      </c>
      <c r="D521">
        <f>COUNTIFS([3]!players[hero_name], A521,
[3]!players[lane_name], B521,
[3]!players[win], 1)</f>
        <v>14</v>
      </c>
      <c r="E521" s="11">
        <f>D521/C521</f>
        <v>0.56000000000000005</v>
      </c>
      <c r="F521" t="str">
        <f>IF(C521&gt;=10, "Yes", "No")</f>
        <v>Yes</v>
      </c>
      <c r="G521">
        <f>IF(F521="No","N/A",COUNTIFS(B$2:B$409, B521, F$2:F$409, "Yes", E$2:E$409, "&gt;"&amp;E521)+1)</f>
        <v>10</v>
      </c>
    </row>
    <row r="522" spans="1:7" x14ac:dyDescent="0.3">
      <c r="A522" t="str">
        <v>Windranger</v>
      </c>
      <c r="B522" t="str">
        <v>Carry</v>
      </c>
      <c r="C522">
        <f>COUNTIFS([3]!players[hero_name], A522,
[3]!players[lane_name], B522)</f>
        <v>60</v>
      </c>
      <c r="D522">
        <f>COUNTIFS([3]!players[hero_name], A522,
[3]!players[lane_name], B522,
[3]!players[win], 1)</f>
        <v>35</v>
      </c>
      <c r="E522" s="11">
        <f>D522/C522</f>
        <v>0.58333333333333337</v>
      </c>
      <c r="F522" t="str">
        <f>IF(C522&gt;=10, "Yes", "No")</f>
        <v>Yes</v>
      </c>
      <c r="G522">
        <f>IF(F522="No","N/A",COUNTIFS(B$2:B$409, B522, F$2:F$409, "Yes", E$2:E$409, "&gt;"&amp;E522)+1)</f>
        <v>6</v>
      </c>
    </row>
    <row r="523" spans="1:7" x14ac:dyDescent="0.3">
      <c r="A523" t="str">
        <v>Windranger</v>
      </c>
      <c r="B523" t="str">
        <v>Mid</v>
      </c>
      <c r="C523">
        <f>COUNTIFS([3]!players[hero_name], A523,
[3]!players[lane_name], B523)</f>
        <v>12</v>
      </c>
      <c r="D523">
        <f>COUNTIFS([3]!players[hero_name], A523,
[3]!players[lane_name], B523,
[3]!players[win], 1)</f>
        <v>5</v>
      </c>
      <c r="E523" s="11">
        <f>D523/C523</f>
        <v>0.41666666666666669</v>
      </c>
      <c r="F523" t="str">
        <f>IF(C523&gt;=10, "Yes", "No")</f>
        <v>Yes</v>
      </c>
      <c r="G523">
        <f>IF(F523="No","N/A",COUNTIFS(B$2:B$409, B523, F$2:F$409, "Yes", E$2:E$409, "&gt;"&amp;E523)+1)</f>
        <v>34</v>
      </c>
    </row>
    <row r="524" spans="1:7" x14ac:dyDescent="0.3">
      <c r="A524" t="str">
        <v>Windranger</v>
      </c>
      <c r="B524" t="str">
        <v>Roam</v>
      </c>
      <c r="C524">
        <f>COUNTIFS([3]!players[hero_name], A524,
[3]!players[lane_name], B524)</f>
        <v>13</v>
      </c>
      <c r="D524">
        <f>COUNTIFS([3]!players[hero_name], A524,
[3]!players[lane_name], B524,
[3]!players[win], 1)</f>
        <v>8</v>
      </c>
      <c r="E524" s="11">
        <f>D524/C524</f>
        <v>0.61538461538461542</v>
      </c>
      <c r="F524" t="str">
        <f>IF(C524&gt;=10, "Yes", "No")</f>
        <v>Yes</v>
      </c>
      <c r="G524">
        <f>IF(F524="No","N/A",COUNTIFS(B$2:B$409, B524, F$2:F$409, "Yes", E$2:E$409, "&gt;"&amp;E524)+1)</f>
        <v>4</v>
      </c>
    </row>
    <row r="525" spans="1:7" x14ac:dyDescent="0.3">
      <c r="A525" t="str">
        <v>Winter Wyvern</v>
      </c>
      <c r="B525" t="str">
        <v>Soft Support</v>
      </c>
      <c r="C525">
        <f>COUNTIFS([3]!players[hero_name], A525,
[3]!players[lane_name], B525)</f>
        <v>50</v>
      </c>
      <c r="D525">
        <f>COUNTIFS([3]!players[hero_name], A525,
[3]!players[lane_name], B525,
[3]!players[win], 1)</f>
        <v>19</v>
      </c>
      <c r="E525" s="11">
        <f>D525/C525</f>
        <v>0.38</v>
      </c>
      <c r="F525" t="str">
        <f>IF(C525&gt;=10, "Yes", "No")</f>
        <v>Yes</v>
      </c>
      <c r="G525">
        <f>IF(F525="No","N/A",COUNTIFS(B$2:B$409, B525, F$2:F$409, "Yes", E$2:E$409, "&gt;"&amp;E525)+1)</f>
        <v>38</v>
      </c>
    </row>
    <row r="526" spans="1:7" x14ac:dyDescent="0.3">
      <c r="A526" t="str">
        <v>Winter Wyvern</v>
      </c>
      <c r="B526" t="str">
        <v>Roam</v>
      </c>
      <c r="C526">
        <f>COUNTIFS([3]!players[hero_name], A526,
[3]!players[lane_name], B526)</f>
        <v>10</v>
      </c>
      <c r="D526">
        <f>COUNTIFS([3]!players[hero_name], A526,
[3]!players[lane_name], B526,
[3]!players[win], 1)</f>
        <v>3</v>
      </c>
      <c r="E526" s="11">
        <f>D526/C526</f>
        <v>0.3</v>
      </c>
      <c r="F526" t="str">
        <f>IF(C526&gt;=10, "Yes", "No")</f>
        <v>Yes</v>
      </c>
      <c r="G526">
        <f>IF(F526="No","N/A",COUNTIFS(B$2:B$409, B526, F$2:F$409, "Yes", E$2:E$409, "&gt;"&amp;E526)+1)</f>
        <v>27</v>
      </c>
    </row>
    <row r="527" spans="1:7" x14ac:dyDescent="0.3">
      <c r="A527" t="str">
        <v>Winter Wyvern</v>
      </c>
      <c r="B527" t="str">
        <v>Hard Support</v>
      </c>
      <c r="C527">
        <f>COUNTIFS([3]!players[hero_name], A527,
[3]!players[lane_name], B527)</f>
        <v>48</v>
      </c>
      <c r="D527">
        <f>COUNTIFS([3]!players[hero_name], A527,
[3]!players[lane_name], B527,
[3]!players[win], 1)</f>
        <v>24</v>
      </c>
      <c r="E527" s="11">
        <f>D527/C527</f>
        <v>0.5</v>
      </c>
      <c r="F527" t="str">
        <f>IF(C527&gt;=10, "Yes", "No")</f>
        <v>Yes</v>
      </c>
      <c r="G527">
        <f>IF(F527="No","N/A",COUNTIFS(B$2:B$409, B527, F$2:F$409, "Yes", E$2:E$409, "&gt;"&amp;E527)+1)</f>
        <v>19</v>
      </c>
    </row>
    <row r="528" spans="1:7" x14ac:dyDescent="0.3">
      <c r="A528" t="str">
        <v>Winter Wyvern</v>
      </c>
      <c r="B528" t="str">
        <v>Off Lane</v>
      </c>
      <c r="C528">
        <f>COUNTIFS([3]!players[hero_name], A528,
[3]!players[lane_name], B528)</f>
        <v>3</v>
      </c>
      <c r="D528">
        <f>COUNTIFS([3]!players[hero_name], A528,
[3]!players[lane_name], B528,
[3]!players[win], 1)</f>
        <v>1</v>
      </c>
      <c r="E528" s="11">
        <f>D528/C528</f>
        <v>0.33333333333333331</v>
      </c>
      <c r="F528" t="str">
        <f>IF(C528&gt;=10, "Yes", "No")</f>
        <v>No</v>
      </c>
      <c r="G528" t="str">
        <f>IF(F528="No","N/A",COUNTIFS(B$2:B$409, B528, F$2:F$409, "Yes", E$2:E$409, "&gt;"&amp;E528)+1)</f>
        <v>N/A</v>
      </c>
    </row>
    <row r="529" spans="1:7" x14ac:dyDescent="0.3">
      <c r="A529" t="str">
        <v>Witch Doctor</v>
      </c>
      <c r="B529" t="str">
        <v>Hard Support</v>
      </c>
      <c r="C529">
        <f>COUNTIFS([3]!players[hero_name], A529,
[3]!players[lane_name], B529)</f>
        <v>40</v>
      </c>
      <c r="D529">
        <f>COUNTIFS([3]!players[hero_name], A529,
[3]!players[lane_name], B529,
[3]!players[win], 1)</f>
        <v>24</v>
      </c>
      <c r="E529" s="11">
        <f>D529/C529</f>
        <v>0.6</v>
      </c>
      <c r="F529" t="str">
        <f>IF(C529&gt;=10, "Yes", "No")</f>
        <v>Yes</v>
      </c>
      <c r="G529">
        <f>IF(F529="No","N/A",COUNTIFS(B$2:B$409, B529, F$2:F$409, "Yes", E$2:E$409, "&gt;"&amp;E529)+1)</f>
        <v>7</v>
      </c>
    </row>
    <row r="530" spans="1:7" x14ac:dyDescent="0.3">
      <c r="A530" t="str">
        <v>Witch Doctor</v>
      </c>
      <c r="B530" t="str">
        <v>Carry</v>
      </c>
      <c r="C530">
        <f>COUNTIFS([3]!players[hero_name], A530,
[3]!players[lane_name], B530)</f>
        <v>2</v>
      </c>
      <c r="D530">
        <f>COUNTIFS([3]!players[hero_name], A530,
[3]!players[lane_name], B530,
[3]!players[win], 1)</f>
        <v>1</v>
      </c>
      <c r="E530" s="11">
        <f>D530/C530</f>
        <v>0.5</v>
      </c>
      <c r="F530" t="str">
        <f>IF(C530&gt;=10, "Yes", "No")</f>
        <v>No</v>
      </c>
      <c r="G530" t="str">
        <f>IF(F530="No","N/A",COUNTIFS(B$2:B$409, B530, F$2:F$409, "Yes", E$2:E$409, "&gt;"&amp;E530)+1)</f>
        <v>N/A</v>
      </c>
    </row>
    <row r="531" spans="1:7" x14ac:dyDescent="0.3">
      <c r="A531" t="str">
        <v>Witch Doctor</v>
      </c>
      <c r="B531" t="str">
        <v>Soft Support</v>
      </c>
      <c r="C531">
        <f>COUNTIFS([3]!players[hero_name], A531,
[3]!players[lane_name], B531)</f>
        <v>50</v>
      </c>
      <c r="D531">
        <f>COUNTIFS([3]!players[hero_name], A531,
[3]!players[lane_name], B531,
[3]!players[win], 1)</f>
        <v>25</v>
      </c>
      <c r="E531" s="11">
        <f>D531/C531</f>
        <v>0.5</v>
      </c>
      <c r="F531" t="str">
        <f>IF(C531&gt;=10, "Yes", "No")</f>
        <v>Yes</v>
      </c>
      <c r="G531">
        <f>IF(F531="No","N/A",COUNTIFS(B$2:B$409, B531, F$2:F$409, "Yes", E$2:E$409, "&gt;"&amp;E531)+1)</f>
        <v>22</v>
      </c>
    </row>
    <row r="532" spans="1:7" x14ac:dyDescent="0.3">
      <c r="A532" t="str">
        <v>Witch Doctor</v>
      </c>
      <c r="B532" t="str">
        <v>Roam</v>
      </c>
      <c r="C532">
        <f>COUNTIFS([3]!players[hero_name], A532,
[3]!players[lane_name], B532)</f>
        <v>3</v>
      </c>
      <c r="D532">
        <f>COUNTIFS([3]!players[hero_name], A532,
[3]!players[lane_name], B532,
[3]!players[win], 1)</f>
        <v>1</v>
      </c>
      <c r="E532" s="11">
        <f>D532/C532</f>
        <v>0.33333333333333331</v>
      </c>
      <c r="F532" t="str">
        <f>IF(C532&gt;=10, "Yes", "No")</f>
        <v>No</v>
      </c>
      <c r="G532" t="str">
        <f>IF(F532="No","N/A",COUNTIFS(B$2:B$409, B532, F$2:F$409, "Yes", E$2:E$409, "&gt;"&amp;E532)+1)</f>
        <v>N/A</v>
      </c>
    </row>
    <row r="533" spans="1:7" x14ac:dyDescent="0.3">
      <c r="A533" t="str">
        <v>Wraith King</v>
      </c>
      <c r="B533" t="str">
        <v>Carry</v>
      </c>
      <c r="C533">
        <f>COUNTIFS([3]!players[hero_name], A533,
[3]!players[lane_name], B533)</f>
        <v>63</v>
      </c>
      <c r="D533">
        <f>COUNTIFS([3]!players[hero_name], A533,
[3]!players[lane_name], B533,
[3]!players[win], 1)</f>
        <v>29</v>
      </c>
      <c r="E533" s="11">
        <f>D533/C533</f>
        <v>0.46031746031746029</v>
      </c>
      <c r="F533" t="str">
        <f>IF(C533&gt;=10, "Yes", "No")</f>
        <v>Yes</v>
      </c>
      <c r="G533">
        <f>IF(F533="No","N/A",COUNTIFS(B$2:B$409, B533, F$2:F$409, "Yes", E$2:E$409, "&gt;"&amp;E533)+1)</f>
        <v>23</v>
      </c>
    </row>
    <row r="534" spans="1:7" x14ac:dyDescent="0.3">
      <c r="A534" t="str">
        <v>Wraith King</v>
      </c>
      <c r="B534" t="str">
        <v>Off Lane</v>
      </c>
      <c r="C534">
        <f>COUNTIFS([3]!players[hero_name], A534,
[3]!players[lane_name], B534)</f>
        <v>52</v>
      </c>
      <c r="D534">
        <f>COUNTIFS([3]!players[hero_name], A534,
[3]!players[lane_name], B534,
[3]!players[win], 1)</f>
        <v>29</v>
      </c>
      <c r="E534" s="11">
        <f>D534/C534</f>
        <v>0.55769230769230771</v>
      </c>
      <c r="F534" t="str">
        <f>IF(C534&gt;=10, "Yes", "No")</f>
        <v>Yes</v>
      </c>
      <c r="G534">
        <f>IF(F534="No","N/A",COUNTIFS(B$2:B$409, B534, F$2:F$409, "Yes", E$2:E$409, "&gt;"&amp;E534)+1)</f>
        <v>10</v>
      </c>
    </row>
    <row r="535" spans="1:7" x14ac:dyDescent="0.3">
      <c r="A535" t="str">
        <v>Wraith King</v>
      </c>
      <c r="B535" t="str">
        <v>Soft Support</v>
      </c>
      <c r="C535">
        <f>COUNTIFS([3]!players[hero_name], A535,
[3]!players[lane_name], B535)</f>
        <v>1</v>
      </c>
      <c r="D535">
        <f>COUNTIFS([3]!players[hero_name], A535,
[3]!players[lane_name], B535,
[3]!players[win], 1)</f>
        <v>1</v>
      </c>
      <c r="E535" s="11">
        <f>D535/C535</f>
        <v>1</v>
      </c>
      <c r="F535" t="str">
        <f>IF(C535&gt;=10, "Yes", "No")</f>
        <v>No</v>
      </c>
      <c r="G535" t="str">
        <f>IF(F535="No","N/A",COUNTIFS(B$2:B$409, B535, F$2:F$409, "Yes", E$2:E$409, "&gt;"&amp;E535)+1)</f>
        <v>N/A</v>
      </c>
    </row>
    <row r="536" spans="1:7" x14ac:dyDescent="0.3">
      <c r="A536" t="str">
        <v>Zeus</v>
      </c>
      <c r="B536" t="str">
        <v>Soft Support</v>
      </c>
      <c r="C536">
        <f>COUNTIFS([3]!players[hero_name], A536,
[3]!players[lane_name], B536)</f>
        <v>59</v>
      </c>
      <c r="D536">
        <f>COUNTIFS([3]!players[hero_name], A536,
[3]!players[lane_name], B536,
[3]!players[win], 1)</f>
        <v>31</v>
      </c>
      <c r="E536" s="11">
        <f>D536/C536</f>
        <v>0.52542372881355937</v>
      </c>
      <c r="F536" t="str">
        <f>IF(C536&gt;=10, "Yes", "No")</f>
        <v>Yes</v>
      </c>
      <c r="G536">
        <f>IF(F536="No","N/A",COUNTIFS(B$2:B$409, B536, F$2:F$409, "Yes", E$2:E$409, "&gt;"&amp;E536)+1)</f>
        <v>17</v>
      </c>
    </row>
    <row r="537" spans="1:7" x14ac:dyDescent="0.3">
      <c r="A537" t="str">
        <v>Zeus</v>
      </c>
      <c r="B537" t="str">
        <v>Hard Support</v>
      </c>
      <c r="C537">
        <f>COUNTIFS([3]!players[hero_name], A537,
[3]!players[lane_name], B537)</f>
        <v>41</v>
      </c>
      <c r="D537">
        <f>COUNTIFS([3]!players[hero_name], A537,
[3]!players[lane_name], B537,
[3]!players[win], 1)</f>
        <v>19</v>
      </c>
      <c r="E537" s="11">
        <f>D537/C537</f>
        <v>0.46341463414634149</v>
      </c>
      <c r="F537" t="str">
        <f>IF(C537&gt;=10, "Yes", "No")</f>
        <v>Yes</v>
      </c>
      <c r="G537">
        <f>IF(F537="No","N/A",COUNTIFS(B$2:B$409, B537, F$2:F$409, "Yes", E$2:E$409, "&gt;"&amp;E537)+1)</f>
        <v>24</v>
      </c>
    </row>
    <row r="538" spans="1:7" x14ac:dyDescent="0.3">
      <c r="A538" t="str">
        <v>Zeus</v>
      </c>
      <c r="B538" t="str">
        <v>Mid</v>
      </c>
      <c r="C538">
        <f>COUNTIFS([3]!players[hero_name], A538,
[3]!players[lane_name], B538)</f>
        <v>40</v>
      </c>
      <c r="D538">
        <f>COUNTIFS([3]!players[hero_name], A538,
[3]!players[lane_name], B538,
[3]!players[win], 1)</f>
        <v>15</v>
      </c>
      <c r="E538" s="11">
        <f>D538/C538</f>
        <v>0.375</v>
      </c>
      <c r="F538" t="str">
        <f>IF(C538&gt;=10, "Yes", "No")</f>
        <v>Yes</v>
      </c>
      <c r="G538">
        <f>IF(F538="No","N/A",COUNTIFS(B$2:B$409, B538, F$2:F$409, "Yes", E$2:E$409, "&gt;"&amp;E538)+1)</f>
        <v>38</v>
      </c>
    </row>
    <row r="539" spans="1:7" x14ac:dyDescent="0.3">
      <c r="A539" t="str">
        <v>Zeus</v>
      </c>
      <c r="B539" t="str">
        <v>Off Lane</v>
      </c>
      <c r="C539">
        <f>COUNTIFS([3]!players[hero_name], A539,
[3]!players[lane_name], B539)</f>
        <v>15</v>
      </c>
      <c r="D539">
        <f>COUNTIFS([3]!players[hero_name], A539,
[3]!players[lane_name], B539,
[3]!players[win], 1)</f>
        <v>11</v>
      </c>
      <c r="E539" s="11">
        <f>D539/C539</f>
        <v>0.73333333333333328</v>
      </c>
      <c r="F539" t="str">
        <f>IF(C539&gt;=10, "Yes", "No")</f>
        <v>Yes</v>
      </c>
      <c r="G539">
        <f>IF(F539="No","N/A",COUNTIFS(B$2:B$409, B539, F$2:F$409, "Yes", E$2:E$409, "&gt;"&amp;E539)+1)</f>
        <v>1</v>
      </c>
    </row>
    <row r="540" spans="1:7" x14ac:dyDescent="0.3">
      <c r="A540" t="str">
        <v>Zeus</v>
      </c>
      <c r="B540" t="str">
        <v>Carry</v>
      </c>
      <c r="C540">
        <f>COUNTIFS([3]!players[hero_name], A540,
[3]!players[lane_name], B540)</f>
        <v>4</v>
      </c>
      <c r="D540">
        <f>COUNTIFS([3]!players[hero_name], A540,
[3]!players[lane_name], B540,
[3]!players[win], 1)</f>
        <v>2</v>
      </c>
      <c r="E540" s="11">
        <f>D540/C540</f>
        <v>0.5</v>
      </c>
      <c r="F540" t="str">
        <f>IF(C540&gt;=10, "Yes", "No")</f>
        <v>No</v>
      </c>
      <c r="G540" t="str">
        <f>IF(F540="No","N/A",COUNTIFS(B$2:B$409, B540, F$2:F$409, "Yes", E$2:E$409, "&gt;"&amp;E540)+1)</f>
        <v>N/A</v>
      </c>
    </row>
    <row r="541" spans="1:7" x14ac:dyDescent="0.3">
      <c r="A541" t="str">
        <v>Zeus</v>
      </c>
      <c r="B541" t="str">
        <v>Roam</v>
      </c>
      <c r="C541">
        <f>COUNTIFS([3]!players[hero_name], A541,
[3]!players[lane_name], B541)</f>
        <v>11</v>
      </c>
      <c r="D541">
        <f>COUNTIFS([3]!players[hero_name], A541,
[3]!players[lane_name], B541,
[3]!players[win], 1)</f>
        <v>5</v>
      </c>
      <c r="E541" s="11">
        <f>D541/C541</f>
        <v>0.45454545454545453</v>
      </c>
      <c r="F541" t="str">
        <f>IF(C541&gt;=10, "Yes", "No")</f>
        <v>Yes</v>
      </c>
      <c r="G541">
        <f>IF(F541="No","N/A",COUNTIFS(B$2:B$409, B541, F$2:F$409, "Yes", E$2:E$409, "&gt;"&amp;E541)+1)</f>
        <v>21</v>
      </c>
    </row>
  </sheetData>
  <autoFilter ref="A1:G541" xr:uid="{F0AC45A1-866E-4AD5-9E75-A57092A9CAE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716B9-1DF7-4910-8EB5-2BF0F26B54B6}">
  <dimension ref="A3:C14"/>
  <sheetViews>
    <sheetView workbookViewId="0">
      <selection activeCell="M16" sqref="M16"/>
    </sheetView>
  </sheetViews>
  <sheetFormatPr defaultRowHeight="14.4" x14ac:dyDescent="0.3"/>
  <cols>
    <col min="1" max="1" width="14.88671875" bestFit="1" customWidth="1"/>
    <col min="2" max="2" width="18.77734375" bestFit="1" customWidth="1"/>
    <col min="3" max="3" width="16.77734375" bestFit="1" customWidth="1"/>
    <col min="4" max="11" width="2" bestFit="1" customWidth="1"/>
    <col min="12" max="84" width="3" bestFit="1" customWidth="1"/>
    <col min="85" max="149" width="4" bestFit="1" customWidth="1"/>
    <col min="150" max="150" width="10.77734375" bestFit="1" customWidth="1"/>
  </cols>
  <sheetData>
    <row r="3" spans="1:3" x14ac:dyDescent="0.3">
      <c r="A3" s="14" t="s">
        <v>14</v>
      </c>
      <c r="B3" t="s">
        <v>16</v>
      </c>
      <c r="C3" t="s">
        <v>27</v>
      </c>
    </row>
    <row r="4" spans="1:3" x14ac:dyDescent="0.3">
      <c r="A4" s="15" t="s">
        <v>17</v>
      </c>
      <c r="B4" s="16">
        <v>436</v>
      </c>
      <c r="C4" s="16">
        <v>218</v>
      </c>
    </row>
    <row r="5" spans="1:3" x14ac:dyDescent="0.3">
      <c r="A5" s="15" t="s">
        <v>18</v>
      </c>
      <c r="B5" s="16">
        <v>293</v>
      </c>
      <c r="C5" s="16">
        <v>143</v>
      </c>
    </row>
    <row r="6" spans="1:3" x14ac:dyDescent="0.3">
      <c r="A6" s="15" t="s">
        <v>19</v>
      </c>
      <c r="B6" s="16">
        <v>290</v>
      </c>
      <c r="C6" s="16">
        <v>154</v>
      </c>
    </row>
    <row r="7" spans="1:3" x14ac:dyDescent="0.3">
      <c r="A7" s="15" t="s">
        <v>20</v>
      </c>
      <c r="B7" s="16">
        <v>277</v>
      </c>
      <c r="C7" s="16">
        <v>141</v>
      </c>
    </row>
    <row r="8" spans="1:3" x14ac:dyDescent="0.3">
      <c r="A8" s="15" t="s">
        <v>21</v>
      </c>
      <c r="B8" s="16">
        <v>262</v>
      </c>
      <c r="C8" s="16">
        <v>152</v>
      </c>
    </row>
    <row r="9" spans="1:3" x14ac:dyDescent="0.3">
      <c r="A9" s="15" t="s">
        <v>22</v>
      </c>
      <c r="B9" s="16">
        <v>247</v>
      </c>
      <c r="C9" s="16">
        <v>126</v>
      </c>
    </row>
    <row r="10" spans="1:3" x14ac:dyDescent="0.3">
      <c r="A10" s="15" t="s">
        <v>23</v>
      </c>
      <c r="B10" s="16">
        <v>212</v>
      </c>
      <c r="C10" s="16">
        <v>102</v>
      </c>
    </row>
    <row r="11" spans="1:3" x14ac:dyDescent="0.3">
      <c r="A11" s="15" t="s">
        <v>24</v>
      </c>
      <c r="B11" s="16">
        <v>187</v>
      </c>
      <c r="C11" s="16">
        <v>83</v>
      </c>
    </row>
    <row r="12" spans="1:3" x14ac:dyDescent="0.3">
      <c r="A12" s="15" t="s">
        <v>25</v>
      </c>
      <c r="B12" s="16">
        <v>185</v>
      </c>
      <c r="C12" s="16">
        <v>86</v>
      </c>
    </row>
    <row r="13" spans="1:3" x14ac:dyDescent="0.3">
      <c r="A13" s="15" t="s">
        <v>26</v>
      </c>
      <c r="B13" s="16">
        <v>156</v>
      </c>
      <c r="C13" s="16">
        <v>68</v>
      </c>
    </row>
    <row r="14" spans="1:3" x14ac:dyDescent="0.3">
      <c r="A14" s="15" t="s">
        <v>15</v>
      </c>
      <c r="B14" s="16">
        <v>2545</v>
      </c>
      <c r="C14" s="16">
        <v>1273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hero_summary</vt:lpstr>
      <vt:lpstr>lane_hero_summary</vt:lpstr>
      <vt:lpstr>most_played_pivot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HaiFoh Twitch</dc:creator>
  <cp:lastModifiedBy>HaiFoh Twitch</cp:lastModifiedBy>
  <dcterms:created xsi:type="dcterms:W3CDTF">2015-06-05T18:17:20Z</dcterms:created>
  <dcterms:modified xsi:type="dcterms:W3CDTF">2026-06-21T13:30:08Z</dcterms:modified>
</cp:coreProperties>
</file>